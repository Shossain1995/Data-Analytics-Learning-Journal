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Problems/Problem 1/"/>
    </mc:Choice>
  </mc:AlternateContent>
  <xr:revisionPtr revIDLastSave="2" documentId="8_{01F69BB7-E7A2-4748-9674-90EB11CB5233}" xr6:coauthVersionLast="47" xr6:coauthVersionMax="47" xr10:uidLastSave="{09A781CA-C494-48CD-9C3D-1EEE64652C89}"/>
  <bookViews>
    <workbookView xWindow="-120" yWindow="-120" windowWidth="19440" windowHeight="15000" activeTab="3" xr2:uid="{77858D10-0B47-4AD0-831B-25F44B9B292F}"/>
  </bookViews>
  <sheets>
    <sheet name="Problem_1 (2)" sheetId="6" r:id="rId1"/>
    <sheet name="Problem_1" sheetId="5" r:id="rId2"/>
    <sheet name="With Helper Function" sheetId="1" r:id="rId3"/>
    <sheet name="Sheet2" sheetId="4" r:id="rId4"/>
  </sheets>
  <definedNames>
    <definedName name="ExternalData_1" localSheetId="1" hidden="1">Problem_1!$A$1:$B$26</definedName>
    <definedName name="ExternalData_2" localSheetId="0" hidden="1">'Problem_1 (2)'!$A$1:$C$39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 a="1"/>
  <c r="E21" i="4" a="1"/>
  <c r="E22" i="4" a="1"/>
  <c r="E23" i="4" a="1"/>
  <c r="E24" i="4" a="1"/>
  <c r="E25" i="4" a="1"/>
  <c r="E26" i="4" a="1"/>
  <c r="E2" i="4" a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" i="4"/>
  <c r="C12" i="4" a="1"/>
  <c r="C13" i="4" a="1"/>
  <c r="C14" i="4" a="1"/>
  <c r="C15" i="4" a="1"/>
  <c r="C16" i="4" a="1"/>
  <c r="C17" i="4" a="1"/>
  <c r="C18" i="4" a="1"/>
  <c r="C19" i="4" a="1"/>
  <c r="C20" i="4" a="1"/>
  <c r="C21" i="4" a="1"/>
  <c r="C22" i="4" a="1"/>
  <c r="C23" i="4" a="1"/>
  <c r="C24" i="4" a="1"/>
  <c r="C25" i="4" a="1"/>
  <c r="C26" i="4" a="1"/>
  <c r="C2" i="4" a="1"/>
  <c r="C3" i="4" a="1"/>
  <c r="C4" i="4" a="1"/>
  <c r="C5" i="4" a="1"/>
  <c r="C7" i="4" a="1"/>
  <c r="C8" i="4" a="1"/>
  <c r="C9" i="4" a="1"/>
  <c r="C10" i="4" a="1"/>
  <c r="C11" i="4" a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F3" i="1"/>
  <c r="G3" i="1" s="1"/>
  <c r="H3" i="1" s="1"/>
  <c r="F4" i="1"/>
  <c r="G4" i="1"/>
  <c r="H4" i="1" s="1"/>
  <c r="F5" i="1"/>
  <c r="G5" i="1" s="1"/>
  <c r="H5" i="1" s="1"/>
  <c r="F6" i="1"/>
  <c r="G6" i="1" s="1"/>
  <c r="H6" i="1" s="1"/>
  <c r="F7" i="1"/>
  <c r="G7" i="1" s="1"/>
  <c r="H7" i="1" s="1"/>
  <c r="F8" i="1"/>
  <c r="G8" i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/>
  <c r="H13" i="1" s="1"/>
  <c r="F14" i="1"/>
  <c r="G14" i="1"/>
  <c r="H14" i="1" s="1"/>
  <c r="F15" i="1"/>
  <c r="G15" i="1" s="1"/>
  <c r="H15" i="1" s="1"/>
  <c r="F16" i="1"/>
  <c r="G16" i="1"/>
  <c r="H16" i="1"/>
  <c r="F17" i="1"/>
  <c r="G17" i="1"/>
  <c r="H17" i="1"/>
  <c r="F18" i="1"/>
  <c r="G18" i="1"/>
  <c r="H18" i="1"/>
  <c r="F19" i="1"/>
  <c r="G19" i="1" s="1"/>
  <c r="H19" i="1" s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G24" i="1" s="1"/>
  <c r="H24" i="1" s="1"/>
  <c r="F25" i="1"/>
  <c r="G25" i="1" s="1"/>
  <c r="H25" i="1" s="1"/>
  <c r="F26" i="1"/>
  <c r="G26" i="1" s="1"/>
  <c r="H26" i="1" s="1"/>
  <c r="G2" i="1"/>
  <c r="H2" i="1" s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E4" i="4" l="1" a="1"/>
  <c r="E6" i="4" a="1"/>
  <c r="E9" i="4" a="1"/>
  <c r="E11" i="4" a="1"/>
  <c r="E13" i="4" a="1"/>
  <c r="E16" i="4" a="1"/>
  <c r="E18" i="4" a="1"/>
  <c r="E20" i="4" a="1"/>
  <c r="E3" i="4" a="1"/>
  <c r="E7" i="4" a="1"/>
  <c r="E14" i="4" a="1"/>
  <c r="E5" i="4" a="1"/>
  <c r="E8" i="4" a="1"/>
  <c r="E10" i="4" a="1"/>
  <c r="E12" i="4" a="1"/>
  <c r="E15" i="4" a="1"/>
  <c r="E17" i="4" a="1"/>
  <c r="E19" i="4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B2BD0D-4F22-45A2-BAAB-A14E0621F4C8}" keepAlive="1" name="Query - Problem_1 (2)" description="Connection to the 'Problem_1 (2)' query in the workbook." type="5" refreshedVersion="8" background="1" saveData="1">
    <dbPr connection="Provider=Microsoft.Mashup.OleDb.1;Data Source=$Workbook$;Location=&quot;Problem_1 (2)&quot;;Extended Properties=&quot;&quot;" command="SELECT * FROM [Problem_1 (2)]"/>
  </connection>
  <connection id="2" xr16:uid="{6FC47929-FFBE-459B-B394-168D1A7B00BD}" keepAlive="1" name="Query - Problem_1(1)" description="Connection to the 'Problem_1' query in the workbook." type="5" refreshedVersion="8" background="1" saveData="1">
    <dbPr connection="Provider=Microsoft.Mashup.OleDb.1;Data Source=$Workbook$;Location=Problem_1;Extended Properties=&quot;&quot;" command="SELECT * FROM [Problem_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<sst xmlns="http://schemas.openxmlformats.org/spreadsheetml/2006/main" count="263" uniqueCount="39">
  <si>
    <t>Employee Name</t>
  </si>
  <si>
    <t>Manager Name</t>
  </si>
  <si>
    <t>Bill Lumbergh</t>
  </si>
  <si>
    <t>Bob Slydell</t>
  </si>
  <si>
    <t>Bob Porter</t>
  </si>
  <si>
    <t>Linda M. Grayson</t>
  </si>
  <si>
    <t>Dom Portwood</t>
  </si>
  <si>
    <t>Wendy L. Hargrove</t>
  </si>
  <si>
    <t>Tom Smykowski</t>
  </si>
  <si>
    <t>Nathan R. Ross</t>
  </si>
  <si>
    <t>Peter Gibbons</t>
  </si>
  <si>
    <t>Cheryl T. Ackerman</t>
  </si>
  <si>
    <t>Samir Nagheenanajar</t>
  </si>
  <si>
    <t>Michael Bolton</t>
  </si>
  <si>
    <t>Nathan C. Carter</t>
  </si>
  <si>
    <t>Lydia Bennett</t>
  </si>
  <si>
    <t>Greg S. Torres</t>
  </si>
  <si>
    <t>Alice L. Munroe</t>
  </si>
  <si>
    <t>Peggy Carlson</t>
  </si>
  <si>
    <t>Anne Martinez</t>
  </si>
  <si>
    <t>Fred Wilkinson</t>
  </si>
  <si>
    <t>Derek P. Phillips</t>
  </si>
  <si>
    <t>Sarah J. Greene</t>
  </si>
  <si>
    <t>Alan B. Peterson</t>
  </si>
  <si>
    <t>Maria D. Sanchez</t>
  </si>
  <si>
    <t>Bobbie K. Jenkins</t>
  </si>
  <si>
    <t>Milton Waddams</t>
  </si>
  <si>
    <t>Direct Reports</t>
  </si>
  <si>
    <t>Manager Level 1</t>
  </si>
  <si>
    <t>Manager Level 2</t>
  </si>
  <si>
    <t>Manager Level 3</t>
  </si>
  <si>
    <t>Manager Level 4</t>
  </si>
  <si>
    <t>Manager Level 5</t>
  </si>
  <si>
    <t>Reporting Hierarchy</t>
  </si>
  <si>
    <t>Employees</t>
  </si>
  <si>
    <t>Managers</t>
  </si>
  <si>
    <t>Report Hieritage</t>
  </si>
  <si>
    <t>Direct Report</t>
  </si>
  <si>
    <t>Total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</si>
</sst>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B6FA98B-6890-4208-A5E0-0E1BC8B71CA5}" autoFormatId="16" applyNumberFormats="0" applyBorderFormats="0" applyFontFormats="0" applyPatternFormats="0" applyAlignmentFormats="0" applyWidthHeightFormats="0">
  <queryTableRefresh nextId="4">
    <queryTableFields count="3">
      <queryTableField id="1" name="Employees" tableColumnId="1"/>
      <queryTableField id="2" name="Managers" tableColumnId="2"/>
      <queryTableField id="3" name="Manager Na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601C03-7832-4240-9C43-355F79D4652E}" autoFormatId="16" applyNumberFormats="0" applyBorderFormats="0" applyFontFormats="0" applyPatternFormats="0" applyAlignmentFormats="0" applyWidthHeightFormats="0">
  <queryTableRefresh nextId="3">
    <queryTableFields count="2">
      <queryTableField id="1" name="Employee Name" tableColumnId="1"/>
      <queryTableField id="2" name="Manager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E6FCB9-1A3C-4C93-A1FE-96C8FD67E8D5}" name="Problem_1__2" displayName="Problem_1__2" ref="A1:C39" tableType="queryTable" totalsRowShown="0">
  <autoFilter ref="A1:C39" xr:uid="{CDE6FCB9-1A3C-4C93-A1FE-96C8FD67E8D5}"/>
  <tableColumns count="3">
    <tableColumn id="1" xr3:uid="{B1AF6C69-2631-44CD-98EE-C59611515CB7}" uniqueName="1" name="Employees" queryTableFieldId="1" dataDxfId="8"/>
    <tableColumn id="2" xr3:uid="{6E57F468-B7EF-47DD-ADEE-E2CE4579F2AF}" uniqueName="2" name="Managers" queryTableFieldId="2" dataDxfId="7"/>
    <tableColumn id="3" xr3:uid="{9C2B8899-5C3F-4980-BAFE-2205CE9F0E10}" uniqueName="3" name="Manager Name" queryTableFieldId="3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602865-9EBA-4BDC-8726-142B3127A064}" name="Problem_1" displayName="Problem_1" ref="A1:B26" tableType="queryTable" totalsRowShown="0">
  <autoFilter ref="A1:B26" xr:uid="{E0602865-9EBA-4BDC-8726-142B3127A064}"/>
  <tableColumns count="2">
    <tableColumn id="1" xr3:uid="{8E7A12D8-4AB0-47B0-A6A1-3CD063F6367A}" uniqueName="1" name="Employee Name" queryTableFieldId="1" dataDxfId="5"/>
    <tableColumn id="2" xr3:uid="{956B8885-22C0-4FFA-9479-8FF0C1564C76}" uniqueName="2" name="Manager Name" queryTableFieldId="2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99E073-A1B9-49C8-94F5-DAB5F1B7A3F8}" name="Table4" displayName="Table4" ref="A1:B26" totalsRowShown="0" headerRowDxfId="3" dataDxfId="2">
  <autoFilter ref="A1:B26" xr:uid="{4899E073-A1B9-49C8-94F5-DAB5F1B7A3F8}"/>
  <tableColumns count="2">
    <tableColumn id="1" xr3:uid="{84BBC70D-97E0-47A2-B22F-C6D2322EC8D5}" name="Employee Name" dataDxfId="1"/>
    <tableColumn id="2" xr3:uid="{EAE1758C-616E-4E0B-A782-769000D40281}" name="Manager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3AA7-2F6A-48ED-80FC-30C6293C5D93}">
  <dimension ref="A1:C39"/>
  <sheetViews>
    <sheetView workbookViewId="0"/>
  </sheetViews>
  <sheetFormatPr defaultRowHeight="15" x14ac:dyDescent="0.25"/>
  <cols>
    <col min="1" max="3" width="20.5703125" bestFit="1" customWidth="1"/>
  </cols>
  <sheetData>
    <row r="1" spans="1:3" x14ac:dyDescent="0.25">
      <c r="A1" t="s">
        <v>34</v>
      </c>
      <c r="B1" t="s">
        <v>35</v>
      </c>
      <c r="C1" t="s">
        <v>1</v>
      </c>
    </row>
    <row r="2" spans="1:3" x14ac:dyDescent="0.25">
      <c r="A2" t="s">
        <v>2</v>
      </c>
      <c r="C2" t="s">
        <v>2</v>
      </c>
    </row>
    <row r="3" spans="1:3" x14ac:dyDescent="0.25">
      <c r="A3" t="s">
        <v>2</v>
      </c>
      <c r="C3" t="s">
        <v>2</v>
      </c>
    </row>
    <row r="4" spans="1:3" x14ac:dyDescent="0.25">
      <c r="A4" t="s">
        <v>2</v>
      </c>
      <c r="C4" t="s">
        <v>2</v>
      </c>
    </row>
    <row r="5" spans="1:3" x14ac:dyDescent="0.25">
      <c r="A5" t="s">
        <v>5</v>
      </c>
      <c r="B5" t="s">
        <v>2</v>
      </c>
      <c r="C5" t="s">
        <v>5</v>
      </c>
    </row>
    <row r="6" spans="1:3" x14ac:dyDescent="0.25">
      <c r="A6" t="s">
        <v>5</v>
      </c>
      <c r="B6" t="s">
        <v>2</v>
      </c>
      <c r="C6" t="s">
        <v>5</v>
      </c>
    </row>
    <row r="7" spans="1:3" x14ac:dyDescent="0.25">
      <c r="A7" t="s">
        <v>5</v>
      </c>
      <c r="B7" t="s">
        <v>2</v>
      </c>
      <c r="C7" t="s">
        <v>5</v>
      </c>
    </row>
    <row r="8" spans="1:3" x14ac:dyDescent="0.25">
      <c r="A8" t="s">
        <v>5</v>
      </c>
      <c r="B8" t="s">
        <v>2</v>
      </c>
      <c r="C8" t="s">
        <v>5</v>
      </c>
    </row>
    <row r="9" spans="1:3" x14ac:dyDescent="0.25">
      <c r="A9" t="s">
        <v>6</v>
      </c>
      <c r="B9" t="s">
        <v>5</v>
      </c>
      <c r="C9" t="s">
        <v>6</v>
      </c>
    </row>
    <row r="10" spans="1:3" x14ac:dyDescent="0.25">
      <c r="A10" t="s">
        <v>6</v>
      </c>
      <c r="B10" t="s">
        <v>5</v>
      </c>
      <c r="C10" t="s">
        <v>6</v>
      </c>
    </row>
    <row r="11" spans="1:3" x14ac:dyDescent="0.25">
      <c r="A11" t="s">
        <v>6</v>
      </c>
      <c r="B11" t="s">
        <v>5</v>
      </c>
      <c r="C11" t="s">
        <v>6</v>
      </c>
    </row>
    <row r="12" spans="1:3" x14ac:dyDescent="0.25">
      <c r="A12" t="s">
        <v>7</v>
      </c>
      <c r="B12" t="s">
        <v>5</v>
      </c>
      <c r="C12" t="s">
        <v>7</v>
      </c>
    </row>
    <row r="13" spans="1:3" x14ac:dyDescent="0.25">
      <c r="A13" t="s">
        <v>7</v>
      </c>
      <c r="B13" t="s">
        <v>5</v>
      </c>
      <c r="C13" t="s">
        <v>7</v>
      </c>
    </row>
    <row r="14" spans="1:3" x14ac:dyDescent="0.25">
      <c r="A14" t="s">
        <v>7</v>
      </c>
      <c r="B14" t="s">
        <v>5</v>
      </c>
      <c r="C14" t="s">
        <v>7</v>
      </c>
    </row>
    <row r="15" spans="1:3" x14ac:dyDescent="0.25">
      <c r="A15" t="s">
        <v>8</v>
      </c>
      <c r="B15" t="s">
        <v>5</v>
      </c>
      <c r="C15" t="s">
        <v>8</v>
      </c>
    </row>
    <row r="16" spans="1:3" x14ac:dyDescent="0.25">
      <c r="A16" t="s">
        <v>8</v>
      </c>
      <c r="B16" t="s">
        <v>5</v>
      </c>
      <c r="C16" t="s">
        <v>8</v>
      </c>
    </row>
    <row r="17" spans="1:3" x14ac:dyDescent="0.25">
      <c r="A17" t="s">
        <v>9</v>
      </c>
      <c r="B17" t="s">
        <v>5</v>
      </c>
      <c r="C17" t="s">
        <v>9</v>
      </c>
    </row>
    <row r="18" spans="1:3" x14ac:dyDescent="0.25">
      <c r="A18" t="s">
        <v>10</v>
      </c>
      <c r="B18" t="s">
        <v>6</v>
      </c>
      <c r="C18" t="s">
        <v>10</v>
      </c>
    </row>
    <row r="19" spans="1:3" x14ac:dyDescent="0.25">
      <c r="A19" t="s">
        <v>12</v>
      </c>
      <c r="B19" t="s">
        <v>6</v>
      </c>
      <c r="C19" t="s">
        <v>12</v>
      </c>
    </row>
    <row r="20" spans="1:3" x14ac:dyDescent="0.25">
      <c r="A20" t="s">
        <v>14</v>
      </c>
      <c r="B20" t="s">
        <v>6</v>
      </c>
      <c r="C20" t="s">
        <v>14</v>
      </c>
    </row>
    <row r="21" spans="1:3" x14ac:dyDescent="0.25">
      <c r="A21" t="s">
        <v>14</v>
      </c>
      <c r="B21" t="s">
        <v>6</v>
      </c>
      <c r="C21" t="s">
        <v>14</v>
      </c>
    </row>
    <row r="22" spans="1:3" x14ac:dyDescent="0.25">
      <c r="A22" t="s">
        <v>14</v>
      </c>
      <c r="B22" t="s">
        <v>6</v>
      </c>
      <c r="C22" t="s">
        <v>14</v>
      </c>
    </row>
    <row r="23" spans="1:3" x14ac:dyDescent="0.25">
      <c r="A23" t="s">
        <v>21</v>
      </c>
      <c r="B23" t="s">
        <v>8</v>
      </c>
      <c r="C23" t="s">
        <v>21</v>
      </c>
    </row>
    <row r="24" spans="1:3" x14ac:dyDescent="0.25">
      <c r="A24" t="s">
        <v>23</v>
      </c>
      <c r="B24" t="s">
        <v>9</v>
      </c>
      <c r="C24" t="s">
        <v>23</v>
      </c>
    </row>
    <row r="25" spans="1:3" x14ac:dyDescent="0.25">
      <c r="A25" t="s">
        <v>23</v>
      </c>
      <c r="B25" t="s">
        <v>9</v>
      </c>
      <c r="C25" t="s">
        <v>23</v>
      </c>
    </row>
    <row r="26" spans="1:3" x14ac:dyDescent="0.25">
      <c r="A26" t="s">
        <v>3</v>
      </c>
      <c r="B26" t="s">
        <v>2</v>
      </c>
    </row>
    <row r="27" spans="1:3" x14ac:dyDescent="0.25">
      <c r="A27" t="s">
        <v>4</v>
      </c>
      <c r="B27" t="s">
        <v>2</v>
      </c>
    </row>
    <row r="28" spans="1:3" x14ac:dyDescent="0.25">
      <c r="A28" t="s">
        <v>11</v>
      </c>
      <c r="B28" t="s">
        <v>10</v>
      </c>
    </row>
    <row r="29" spans="1:3" x14ac:dyDescent="0.25">
      <c r="A29" t="s">
        <v>13</v>
      </c>
      <c r="B29" t="s">
        <v>12</v>
      </c>
    </row>
    <row r="30" spans="1:3" x14ac:dyDescent="0.25">
      <c r="A30" t="s">
        <v>15</v>
      </c>
      <c r="B30" t="s">
        <v>14</v>
      </c>
    </row>
    <row r="31" spans="1:3" x14ac:dyDescent="0.25">
      <c r="A31" t="s">
        <v>16</v>
      </c>
      <c r="B31" t="s">
        <v>14</v>
      </c>
    </row>
    <row r="32" spans="1:3" x14ac:dyDescent="0.25">
      <c r="A32" t="s">
        <v>17</v>
      </c>
      <c r="B32" t="s">
        <v>14</v>
      </c>
    </row>
    <row r="33" spans="1:2" x14ac:dyDescent="0.25">
      <c r="A33" t="s">
        <v>18</v>
      </c>
      <c r="B33" t="s">
        <v>7</v>
      </c>
    </row>
    <row r="34" spans="1:2" x14ac:dyDescent="0.25">
      <c r="A34" t="s">
        <v>19</v>
      </c>
      <c r="B34" t="s">
        <v>7</v>
      </c>
    </row>
    <row r="35" spans="1:2" x14ac:dyDescent="0.25">
      <c r="A35" t="s">
        <v>20</v>
      </c>
      <c r="B35" t="s">
        <v>7</v>
      </c>
    </row>
    <row r="36" spans="1:2" x14ac:dyDescent="0.25">
      <c r="A36" t="s">
        <v>22</v>
      </c>
      <c r="B36" t="s">
        <v>21</v>
      </c>
    </row>
    <row r="37" spans="1:2" x14ac:dyDescent="0.25">
      <c r="A37" t="s">
        <v>24</v>
      </c>
      <c r="B37" t="s">
        <v>23</v>
      </c>
    </row>
    <row r="38" spans="1:2" x14ac:dyDescent="0.25">
      <c r="A38" t="s">
        <v>25</v>
      </c>
      <c r="B38" t="s">
        <v>23</v>
      </c>
    </row>
    <row r="39" spans="1:2" x14ac:dyDescent="0.25">
      <c r="A39" t="s">
        <v>26</v>
      </c>
      <c r="B39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B3CC-3D0B-4A47-B79B-89DEDF4D28A2}">
  <dimension ref="A1:B26"/>
  <sheetViews>
    <sheetView workbookViewId="0"/>
  </sheetViews>
  <sheetFormatPr defaultRowHeight="15" x14ac:dyDescent="0.25"/>
  <cols>
    <col min="1" max="2" width="2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2" x14ac:dyDescent="0.25">
      <c r="A5" t="s">
        <v>5</v>
      </c>
      <c r="B5" t="s">
        <v>2</v>
      </c>
    </row>
    <row r="6" spans="1:2" x14ac:dyDescent="0.25">
      <c r="A6" t="s">
        <v>6</v>
      </c>
      <c r="B6" t="s">
        <v>5</v>
      </c>
    </row>
    <row r="7" spans="1:2" x14ac:dyDescent="0.25">
      <c r="A7" t="s">
        <v>7</v>
      </c>
      <c r="B7" t="s">
        <v>5</v>
      </c>
    </row>
    <row r="8" spans="1:2" x14ac:dyDescent="0.25">
      <c r="A8" t="s">
        <v>8</v>
      </c>
      <c r="B8" t="s">
        <v>5</v>
      </c>
    </row>
    <row r="9" spans="1:2" x14ac:dyDescent="0.25">
      <c r="A9" t="s">
        <v>9</v>
      </c>
      <c r="B9" t="s">
        <v>5</v>
      </c>
    </row>
    <row r="10" spans="1:2" x14ac:dyDescent="0.25">
      <c r="A10" t="s">
        <v>10</v>
      </c>
      <c r="B10" t="s">
        <v>6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6</v>
      </c>
    </row>
    <row r="13" spans="1:2" x14ac:dyDescent="0.25">
      <c r="A13" t="s">
        <v>13</v>
      </c>
      <c r="B13" t="s">
        <v>12</v>
      </c>
    </row>
    <row r="14" spans="1:2" x14ac:dyDescent="0.25">
      <c r="A14" t="s">
        <v>14</v>
      </c>
      <c r="B14" t="s">
        <v>6</v>
      </c>
    </row>
    <row r="15" spans="1:2" x14ac:dyDescent="0.25">
      <c r="A15" t="s">
        <v>15</v>
      </c>
      <c r="B15" t="s">
        <v>14</v>
      </c>
    </row>
    <row r="16" spans="1:2" x14ac:dyDescent="0.25">
      <c r="A16" t="s">
        <v>16</v>
      </c>
      <c r="B16" t="s">
        <v>14</v>
      </c>
    </row>
    <row r="17" spans="1:2" x14ac:dyDescent="0.25">
      <c r="A17" t="s">
        <v>17</v>
      </c>
      <c r="B17" t="s">
        <v>14</v>
      </c>
    </row>
    <row r="18" spans="1:2" x14ac:dyDescent="0.25">
      <c r="A18" t="s">
        <v>18</v>
      </c>
      <c r="B18" t="s">
        <v>7</v>
      </c>
    </row>
    <row r="19" spans="1:2" x14ac:dyDescent="0.25">
      <c r="A19" t="s">
        <v>19</v>
      </c>
      <c r="B19" t="s">
        <v>7</v>
      </c>
    </row>
    <row r="20" spans="1:2" x14ac:dyDescent="0.25">
      <c r="A20" t="s">
        <v>20</v>
      </c>
      <c r="B20" t="s">
        <v>7</v>
      </c>
    </row>
    <row r="21" spans="1:2" x14ac:dyDescent="0.25">
      <c r="A21" t="s">
        <v>21</v>
      </c>
      <c r="B21" t="s">
        <v>8</v>
      </c>
    </row>
    <row r="22" spans="1:2" x14ac:dyDescent="0.25">
      <c r="A22" t="s">
        <v>22</v>
      </c>
      <c r="B22" t="s">
        <v>21</v>
      </c>
    </row>
    <row r="23" spans="1:2" x14ac:dyDescent="0.25">
      <c r="A23" t="s">
        <v>23</v>
      </c>
      <c r="B23" t="s">
        <v>9</v>
      </c>
    </row>
    <row r="24" spans="1:2" x14ac:dyDescent="0.25">
      <c r="A24" t="s">
        <v>24</v>
      </c>
      <c r="B24" t="s">
        <v>23</v>
      </c>
    </row>
    <row r="25" spans="1:2" x14ac:dyDescent="0.25">
      <c r="A25" t="s">
        <v>25</v>
      </c>
      <c r="B25" t="s">
        <v>23</v>
      </c>
    </row>
    <row r="26" spans="1:2" x14ac:dyDescent="0.25">
      <c r="A26" t="s">
        <v>26</v>
      </c>
      <c r="B26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B763-F6C4-4AD1-A2A3-1A2D2D9A9D52}">
  <dimension ref="A1:I26"/>
  <sheetViews>
    <sheetView topLeftCell="A6" workbookViewId="0">
      <selection sqref="A1:B26"/>
    </sheetView>
  </sheetViews>
  <sheetFormatPr defaultRowHeight="20.100000000000001" customHeight="1" x14ac:dyDescent="0.25"/>
  <cols>
    <col min="1" max="2" width="20.5703125" bestFit="1" customWidth="1"/>
    <col min="3" max="3" width="13.42578125" bestFit="1" customWidth="1"/>
    <col min="4" max="4" width="23.140625" customWidth="1"/>
    <col min="5" max="5" width="16.28515625" bestFit="1" customWidth="1"/>
    <col min="6" max="7" width="15" bestFit="1" customWidth="1"/>
    <col min="8" max="8" width="16.28515625" bestFit="1" customWidth="1"/>
    <col min="9" max="9" width="102.140625" bestFit="1" customWidth="1"/>
  </cols>
  <sheetData>
    <row r="1" spans="1:9" ht="24.95" customHeight="1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t="s">
        <v>33</v>
      </c>
    </row>
    <row r="2" spans="1:9" ht="20.100000000000001" customHeight="1" x14ac:dyDescent="0.25">
      <c r="A2" s="1" t="s">
        <v>2</v>
      </c>
      <c r="B2" s="1"/>
      <c r="C2" s="1">
        <f>COUNTIF($B$2:$B$26,A2)</f>
        <v>3</v>
      </c>
      <c r="D2" s="1">
        <f>B2</f>
        <v>0</v>
      </c>
      <c r="E2" s="1" t="str">
        <f>IF(D2="","",_xlfn.XLOOKUP(D2,$A$2:$A$26,$B$2:$B$26,""))</f>
        <v/>
      </c>
      <c r="F2" s="1" t="str">
        <f>IF(E2="","",_xlfn.XLOOKUP(D2,$A$2:$A$26,$B$2:$B$26,""))</f>
        <v/>
      </c>
      <c r="G2" s="1" t="str">
        <f t="shared" ref="G2:H2" si="0">IF(F2="","",_xlfn.XLOOKUP(E2,$A$2:$A$26,$B$2:$B$26,""))</f>
        <v/>
      </c>
      <c r="H2" s="1" t="str">
        <f t="shared" si="0"/>
        <v/>
      </c>
      <c r="I2" t="str">
        <f>_xlfn.TEXTJOIN(" &gt; ",TRUE,H2,G2,F2,E2,D2,A2)</f>
        <v>0 &gt; Bill Lumbergh</v>
      </c>
    </row>
    <row r="3" spans="1:9" ht="20.100000000000001" customHeight="1" x14ac:dyDescent="0.25">
      <c r="A3" s="1" t="s">
        <v>3</v>
      </c>
      <c r="B3" s="1" t="s">
        <v>2</v>
      </c>
      <c r="C3" s="1">
        <f t="shared" ref="C3:C26" si="1">COUNTIF($B$2:$B$26,A3)</f>
        <v>0</v>
      </c>
      <c r="D3" s="1" t="str">
        <f t="shared" ref="D3:D26" si="2">B3</f>
        <v>Bill Lumbergh</v>
      </c>
      <c r="E3" s="1">
        <f t="shared" ref="E3:E26" si="3">IF(D3="","",_xlfn.XLOOKUP(D3,$A$2:$A$26,$B$2:$B$26,""))</f>
        <v>0</v>
      </c>
      <c r="F3" s="1">
        <f t="shared" ref="F3:F26" si="4">IF(E3="","",_xlfn.XLOOKUP(D3,$A$2:$A$26,$B$2:$B$26,""))</f>
        <v>0</v>
      </c>
      <c r="G3" s="1" t="str">
        <f t="shared" ref="G3:G26" si="5">IF(F3="","",_xlfn.XLOOKUP(E3,$A$2:$A$26,$B$2:$B$26,""))</f>
        <v/>
      </c>
      <c r="H3" s="1" t="str">
        <f t="shared" ref="H3:H26" si="6">IF(G3="","",_xlfn.XLOOKUP(F3,$A$2:$A$26,$B$2:$B$26,""))</f>
        <v/>
      </c>
      <c r="I3" t="str">
        <f t="shared" ref="I3:I26" si="7">_xlfn.TEXTJOIN(" &gt; ",TRUE,H3,G3,F3,E3,D3,A3)</f>
        <v>0 &gt; 0 &gt; Bill Lumbergh &gt; Bob Slydell</v>
      </c>
    </row>
    <row r="4" spans="1:9" ht="20.100000000000001" customHeight="1" x14ac:dyDescent="0.25">
      <c r="A4" s="1" t="s">
        <v>4</v>
      </c>
      <c r="B4" s="1" t="s">
        <v>2</v>
      </c>
      <c r="C4" s="1">
        <f t="shared" si="1"/>
        <v>0</v>
      </c>
      <c r="D4" s="1" t="str">
        <f t="shared" si="2"/>
        <v>Bill Lumbergh</v>
      </c>
      <c r="E4" s="1">
        <f t="shared" si="3"/>
        <v>0</v>
      </c>
      <c r="F4" s="1">
        <f t="shared" si="4"/>
        <v>0</v>
      </c>
      <c r="G4" s="1" t="str">
        <f t="shared" si="5"/>
        <v/>
      </c>
      <c r="H4" s="1" t="str">
        <f t="shared" si="6"/>
        <v/>
      </c>
      <c r="I4" t="str">
        <f t="shared" si="7"/>
        <v>0 &gt; 0 &gt; Bill Lumbergh &gt; Bob Porter</v>
      </c>
    </row>
    <row r="5" spans="1:9" ht="20.100000000000001" customHeight="1" x14ac:dyDescent="0.25">
      <c r="A5" s="1" t="s">
        <v>5</v>
      </c>
      <c r="B5" s="1" t="s">
        <v>2</v>
      </c>
      <c r="C5" s="1">
        <f t="shared" si="1"/>
        <v>4</v>
      </c>
      <c r="D5" s="1" t="str">
        <f t="shared" si="2"/>
        <v>Bill Lumbergh</v>
      </c>
      <c r="E5" s="1">
        <f t="shared" si="3"/>
        <v>0</v>
      </c>
      <c r="F5" s="1">
        <f t="shared" si="4"/>
        <v>0</v>
      </c>
      <c r="G5" s="1" t="str">
        <f t="shared" si="5"/>
        <v/>
      </c>
      <c r="H5" s="1" t="str">
        <f t="shared" si="6"/>
        <v/>
      </c>
      <c r="I5" t="str">
        <f t="shared" si="7"/>
        <v>0 &gt; 0 &gt; Bill Lumbergh &gt; Linda M. Grayson</v>
      </c>
    </row>
    <row r="6" spans="1:9" ht="20.100000000000001" customHeight="1" x14ac:dyDescent="0.25">
      <c r="A6" s="1" t="s">
        <v>6</v>
      </c>
      <c r="B6" s="1" t="s">
        <v>5</v>
      </c>
      <c r="C6" s="1">
        <f t="shared" si="1"/>
        <v>3</v>
      </c>
      <c r="D6" s="1" t="str">
        <f t="shared" si="2"/>
        <v>Linda M. Grayson</v>
      </c>
      <c r="E6" s="1" t="str">
        <f t="shared" si="3"/>
        <v>Bill Lumbergh</v>
      </c>
      <c r="F6" s="1" t="str">
        <f t="shared" si="4"/>
        <v>Bill Lumbergh</v>
      </c>
      <c r="G6" s="1">
        <f t="shared" si="5"/>
        <v>0</v>
      </c>
      <c r="H6" s="1">
        <f t="shared" si="6"/>
        <v>0</v>
      </c>
      <c r="I6" t="str">
        <f t="shared" si="7"/>
        <v>0 &gt; 0 &gt; Bill Lumbergh &gt; Bill Lumbergh &gt; Linda M. Grayson &gt; Dom Portwood</v>
      </c>
    </row>
    <row r="7" spans="1:9" ht="20.100000000000001" customHeight="1" x14ac:dyDescent="0.25">
      <c r="A7" s="1" t="s">
        <v>7</v>
      </c>
      <c r="B7" s="1" t="s">
        <v>5</v>
      </c>
      <c r="C7" s="1">
        <f t="shared" si="1"/>
        <v>3</v>
      </c>
      <c r="D7" s="1" t="str">
        <f t="shared" si="2"/>
        <v>Linda M. Grayson</v>
      </c>
      <c r="E7" s="1" t="str">
        <f t="shared" si="3"/>
        <v>Bill Lumbergh</v>
      </c>
      <c r="F7" s="1" t="str">
        <f t="shared" si="4"/>
        <v>Bill Lumbergh</v>
      </c>
      <c r="G7" s="1">
        <f t="shared" si="5"/>
        <v>0</v>
      </c>
      <c r="H7" s="1">
        <f t="shared" si="6"/>
        <v>0</v>
      </c>
      <c r="I7" t="str">
        <f t="shared" si="7"/>
        <v>0 &gt; 0 &gt; Bill Lumbergh &gt; Bill Lumbergh &gt; Linda M. Grayson &gt; Wendy L. Hargrove</v>
      </c>
    </row>
    <row r="8" spans="1:9" ht="20.100000000000001" customHeight="1" x14ac:dyDescent="0.25">
      <c r="A8" s="1" t="s">
        <v>8</v>
      </c>
      <c r="B8" s="1" t="s">
        <v>5</v>
      </c>
      <c r="C8" s="1">
        <f t="shared" si="1"/>
        <v>2</v>
      </c>
      <c r="D8" s="1" t="str">
        <f t="shared" si="2"/>
        <v>Linda M. Grayson</v>
      </c>
      <c r="E8" s="1" t="str">
        <f t="shared" si="3"/>
        <v>Bill Lumbergh</v>
      </c>
      <c r="F8" s="1" t="str">
        <f t="shared" si="4"/>
        <v>Bill Lumbergh</v>
      </c>
      <c r="G8" s="1">
        <f t="shared" si="5"/>
        <v>0</v>
      </c>
      <c r="H8" s="1">
        <f t="shared" si="6"/>
        <v>0</v>
      </c>
      <c r="I8" t="str">
        <f t="shared" si="7"/>
        <v>0 &gt; 0 &gt; Bill Lumbergh &gt; Bill Lumbergh &gt; Linda M. Grayson &gt; Tom Smykowski</v>
      </c>
    </row>
    <row r="9" spans="1:9" ht="20.100000000000001" customHeight="1" x14ac:dyDescent="0.25">
      <c r="A9" s="1" t="s">
        <v>9</v>
      </c>
      <c r="B9" s="1" t="s">
        <v>5</v>
      </c>
      <c r="C9" s="1">
        <f t="shared" si="1"/>
        <v>1</v>
      </c>
      <c r="D9" s="1" t="str">
        <f t="shared" si="2"/>
        <v>Linda M. Grayson</v>
      </c>
      <c r="E9" s="1" t="str">
        <f t="shared" si="3"/>
        <v>Bill Lumbergh</v>
      </c>
      <c r="F9" s="1" t="str">
        <f t="shared" si="4"/>
        <v>Bill Lumbergh</v>
      </c>
      <c r="G9" s="1">
        <f t="shared" si="5"/>
        <v>0</v>
      </c>
      <c r="H9" s="1">
        <f t="shared" si="6"/>
        <v>0</v>
      </c>
      <c r="I9" t="str">
        <f t="shared" si="7"/>
        <v>0 &gt; 0 &gt; Bill Lumbergh &gt; Bill Lumbergh &gt; Linda M. Grayson &gt; Nathan R. Ross</v>
      </c>
    </row>
    <row r="10" spans="1:9" ht="20.100000000000001" customHeight="1" x14ac:dyDescent="0.25">
      <c r="A10" s="1" t="s">
        <v>10</v>
      </c>
      <c r="B10" s="1" t="s">
        <v>6</v>
      </c>
      <c r="C10" s="1">
        <f t="shared" si="1"/>
        <v>1</v>
      </c>
      <c r="D10" s="1" t="str">
        <f t="shared" si="2"/>
        <v>Dom Portwood</v>
      </c>
      <c r="E10" s="1" t="str">
        <f t="shared" si="3"/>
        <v>Linda M. Grayson</v>
      </c>
      <c r="F10" s="1" t="str">
        <f t="shared" si="4"/>
        <v>Linda M. Grayson</v>
      </c>
      <c r="G10" s="1" t="str">
        <f t="shared" si="5"/>
        <v>Bill Lumbergh</v>
      </c>
      <c r="H10" s="1" t="str">
        <f t="shared" si="6"/>
        <v>Bill Lumbergh</v>
      </c>
      <c r="I10" t="str">
        <f t="shared" si="7"/>
        <v>Bill Lumbergh &gt; Bill Lumbergh &gt; Linda M. Grayson &gt; Linda M. Grayson &gt; Dom Portwood &gt; Peter Gibbons</v>
      </c>
    </row>
    <row r="11" spans="1:9" ht="20.100000000000001" customHeight="1" x14ac:dyDescent="0.25">
      <c r="A11" s="1" t="s">
        <v>11</v>
      </c>
      <c r="B11" s="1" t="s">
        <v>10</v>
      </c>
      <c r="C11" s="1">
        <f t="shared" si="1"/>
        <v>0</v>
      </c>
      <c r="D11" s="1" t="str">
        <f t="shared" si="2"/>
        <v>Peter Gibbons</v>
      </c>
      <c r="E11" s="1" t="str">
        <f t="shared" si="3"/>
        <v>Dom Portwood</v>
      </c>
      <c r="F11" s="1" t="str">
        <f t="shared" si="4"/>
        <v>Dom Portwood</v>
      </c>
      <c r="G11" s="1" t="str">
        <f t="shared" si="5"/>
        <v>Linda M. Grayson</v>
      </c>
      <c r="H11" s="1" t="str">
        <f t="shared" si="6"/>
        <v>Linda M. Grayson</v>
      </c>
      <c r="I11" t="str">
        <f t="shared" si="7"/>
        <v>Linda M. Grayson &gt; Linda M. Grayson &gt; Dom Portwood &gt; Dom Portwood &gt; Peter Gibbons &gt; Cheryl T. Ackerman</v>
      </c>
    </row>
    <row r="12" spans="1:9" ht="20.100000000000001" customHeight="1" x14ac:dyDescent="0.25">
      <c r="A12" s="1" t="s">
        <v>12</v>
      </c>
      <c r="B12" s="1" t="s">
        <v>6</v>
      </c>
      <c r="C12" s="1">
        <f t="shared" si="1"/>
        <v>1</v>
      </c>
      <c r="D12" s="1" t="str">
        <f t="shared" si="2"/>
        <v>Dom Portwood</v>
      </c>
      <c r="E12" s="1" t="str">
        <f t="shared" si="3"/>
        <v>Linda M. Grayson</v>
      </c>
      <c r="F12" s="1" t="str">
        <f t="shared" si="4"/>
        <v>Linda M. Grayson</v>
      </c>
      <c r="G12" s="1" t="str">
        <f t="shared" si="5"/>
        <v>Bill Lumbergh</v>
      </c>
      <c r="H12" s="1" t="str">
        <f t="shared" si="6"/>
        <v>Bill Lumbergh</v>
      </c>
      <c r="I12" t="str">
        <f t="shared" si="7"/>
        <v>Bill Lumbergh &gt; Bill Lumbergh &gt; Linda M. Grayson &gt; Linda M. Grayson &gt; Dom Portwood &gt; Samir Nagheenanajar</v>
      </c>
    </row>
    <row r="13" spans="1:9" ht="20.100000000000001" customHeight="1" x14ac:dyDescent="0.25">
      <c r="A13" s="1" t="s">
        <v>13</v>
      </c>
      <c r="B13" s="1" t="s">
        <v>12</v>
      </c>
      <c r="C13" s="1">
        <f t="shared" si="1"/>
        <v>0</v>
      </c>
      <c r="D13" s="1" t="str">
        <f t="shared" si="2"/>
        <v>Samir Nagheenanajar</v>
      </c>
      <c r="E13" s="1" t="str">
        <f t="shared" si="3"/>
        <v>Dom Portwood</v>
      </c>
      <c r="F13" s="1" t="str">
        <f t="shared" si="4"/>
        <v>Dom Portwood</v>
      </c>
      <c r="G13" s="1" t="str">
        <f t="shared" si="5"/>
        <v>Linda M. Grayson</v>
      </c>
      <c r="H13" s="1" t="str">
        <f t="shared" si="6"/>
        <v>Linda M. Grayson</v>
      </c>
      <c r="I13" t="str">
        <f t="shared" si="7"/>
        <v>Linda M. Grayson &gt; Linda M. Grayson &gt; Dom Portwood &gt; Dom Portwood &gt; Samir Nagheenanajar &gt; Michael Bolton</v>
      </c>
    </row>
    <row r="14" spans="1:9" ht="20.100000000000001" customHeight="1" x14ac:dyDescent="0.25">
      <c r="A14" s="1" t="s">
        <v>14</v>
      </c>
      <c r="B14" s="1" t="s">
        <v>6</v>
      </c>
      <c r="C14" s="1">
        <f t="shared" si="1"/>
        <v>3</v>
      </c>
      <c r="D14" s="1" t="str">
        <f t="shared" si="2"/>
        <v>Dom Portwood</v>
      </c>
      <c r="E14" s="1" t="str">
        <f t="shared" si="3"/>
        <v>Linda M. Grayson</v>
      </c>
      <c r="F14" s="1" t="str">
        <f t="shared" si="4"/>
        <v>Linda M. Grayson</v>
      </c>
      <c r="G14" s="1" t="str">
        <f t="shared" si="5"/>
        <v>Bill Lumbergh</v>
      </c>
      <c r="H14" s="1" t="str">
        <f t="shared" si="6"/>
        <v>Bill Lumbergh</v>
      </c>
      <c r="I14" t="str">
        <f t="shared" si="7"/>
        <v>Bill Lumbergh &gt; Bill Lumbergh &gt; Linda M. Grayson &gt; Linda M. Grayson &gt; Dom Portwood &gt; Nathan C. Carter</v>
      </c>
    </row>
    <row r="15" spans="1:9" ht="20.100000000000001" customHeight="1" x14ac:dyDescent="0.25">
      <c r="A15" s="1" t="s">
        <v>15</v>
      </c>
      <c r="B15" s="1" t="s">
        <v>14</v>
      </c>
      <c r="C15" s="1">
        <f t="shared" si="1"/>
        <v>0</v>
      </c>
      <c r="D15" s="1" t="str">
        <f t="shared" si="2"/>
        <v>Nathan C. Carter</v>
      </c>
      <c r="E15" s="1" t="str">
        <f t="shared" si="3"/>
        <v>Dom Portwood</v>
      </c>
      <c r="F15" s="1" t="str">
        <f t="shared" si="4"/>
        <v>Dom Portwood</v>
      </c>
      <c r="G15" s="1" t="str">
        <f t="shared" si="5"/>
        <v>Linda M. Grayson</v>
      </c>
      <c r="H15" s="1" t="str">
        <f t="shared" si="6"/>
        <v>Linda M. Grayson</v>
      </c>
      <c r="I15" t="str">
        <f t="shared" si="7"/>
        <v>Linda M. Grayson &gt; Linda M. Grayson &gt; Dom Portwood &gt; Dom Portwood &gt; Nathan C. Carter &gt; Lydia Bennett</v>
      </c>
    </row>
    <row r="16" spans="1:9" ht="20.100000000000001" customHeight="1" x14ac:dyDescent="0.25">
      <c r="A16" s="1" t="s">
        <v>16</v>
      </c>
      <c r="B16" s="1" t="s">
        <v>14</v>
      </c>
      <c r="C16" s="1">
        <f t="shared" si="1"/>
        <v>0</v>
      </c>
      <c r="D16" s="1" t="str">
        <f t="shared" si="2"/>
        <v>Nathan C. Carter</v>
      </c>
      <c r="E16" s="1" t="str">
        <f t="shared" si="3"/>
        <v>Dom Portwood</v>
      </c>
      <c r="F16" s="1" t="str">
        <f t="shared" si="4"/>
        <v>Dom Portwood</v>
      </c>
      <c r="G16" s="1" t="str">
        <f t="shared" si="5"/>
        <v>Linda M. Grayson</v>
      </c>
      <c r="H16" s="1" t="str">
        <f t="shared" si="6"/>
        <v>Linda M. Grayson</v>
      </c>
      <c r="I16" t="str">
        <f t="shared" si="7"/>
        <v>Linda M. Grayson &gt; Linda M. Grayson &gt; Dom Portwood &gt; Dom Portwood &gt; Nathan C. Carter &gt; Greg S. Torres</v>
      </c>
    </row>
    <row r="17" spans="1:9" ht="20.100000000000001" customHeight="1" x14ac:dyDescent="0.25">
      <c r="A17" s="1" t="s">
        <v>17</v>
      </c>
      <c r="B17" s="1" t="s">
        <v>14</v>
      </c>
      <c r="C17" s="1">
        <f t="shared" si="1"/>
        <v>0</v>
      </c>
      <c r="D17" s="1" t="str">
        <f t="shared" si="2"/>
        <v>Nathan C. Carter</v>
      </c>
      <c r="E17" s="1" t="str">
        <f t="shared" si="3"/>
        <v>Dom Portwood</v>
      </c>
      <c r="F17" s="1" t="str">
        <f t="shared" si="4"/>
        <v>Dom Portwood</v>
      </c>
      <c r="G17" s="1" t="str">
        <f t="shared" si="5"/>
        <v>Linda M. Grayson</v>
      </c>
      <c r="H17" s="1" t="str">
        <f t="shared" si="6"/>
        <v>Linda M. Grayson</v>
      </c>
      <c r="I17" t="str">
        <f t="shared" si="7"/>
        <v>Linda M. Grayson &gt; Linda M. Grayson &gt; Dom Portwood &gt; Dom Portwood &gt; Nathan C. Carter &gt; Alice L. Munroe</v>
      </c>
    </row>
    <row r="18" spans="1:9" ht="20.100000000000001" customHeight="1" x14ac:dyDescent="0.25">
      <c r="A18" s="1" t="s">
        <v>18</v>
      </c>
      <c r="B18" s="1" t="s">
        <v>7</v>
      </c>
      <c r="C18" s="1">
        <f t="shared" si="1"/>
        <v>0</v>
      </c>
      <c r="D18" s="1" t="str">
        <f t="shared" si="2"/>
        <v>Wendy L. Hargrove</v>
      </c>
      <c r="E18" s="1" t="str">
        <f t="shared" si="3"/>
        <v>Linda M. Grayson</v>
      </c>
      <c r="F18" s="1" t="str">
        <f t="shared" si="4"/>
        <v>Linda M. Grayson</v>
      </c>
      <c r="G18" s="1" t="str">
        <f t="shared" si="5"/>
        <v>Bill Lumbergh</v>
      </c>
      <c r="H18" s="1" t="str">
        <f t="shared" si="6"/>
        <v>Bill Lumbergh</v>
      </c>
      <c r="I18" t="str">
        <f t="shared" si="7"/>
        <v>Bill Lumbergh &gt; Bill Lumbergh &gt; Linda M. Grayson &gt; Linda M. Grayson &gt; Wendy L. Hargrove &gt; Peggy Carlson</v>
      </c>
    </row>
    <row r="19" spans="1:9" ht="20.100000000000001" customHeight="1" x14ac:dyDescent="0.25">
      <c r="A19" s="1" t="s">
        <v>19</v>
      </c>
      <c r="B19" s="1" t="s">
        <v>7</v>
      </c>
      <c r="C19" s="1">
        <f t="shared" si="1"/>
        <v>0</v>
      </c>
      <c r="D19" s="1" t="str">
        <f t="shared" si="2"/>
        <v>Wendy L. Hargrove</v>
      </c>
      <c r="E19" s="1" t="str">
        <f t="shared" si="3"/>
        <v>Linda M. Grayson</v>
      </c>
      <c r="F19" s="1" t="str">
        <f t="shared" si="4"/>
        <v>Linda M. Grayson</v>
      </c>
      <c r="G19" s="1" t="str">
        <f t="shared" si="5"/>
        <v>Bill Lumbergh</v>
      </c>
      <c r="H19" s="1" t="str">
        <f t="shared" si="6"/>
        <v>Bill Lumbergh</v>
      </c>
      <c r="I19" t="str">
        <f t="shared" si="7"/>
        <v>Bill Lumbergh &gt; Bill Lumbergh &gt; Linda M. Grayson &gt; Linda M. Grayson &gt; Wendy L. Hargrove &gt; Anne Martinez</v>
      </c>
    </row>
    <row r="20" spans="1:9" ht="20.100000000000001" customHeight="1" x14ac:dyDescent="0.25">
      <c r="A20" s="1" t="s">
        <v>20</v>
      </c>
      <c r="B20" s="1" t="s">
        <v>7</v>
      </c>
      <c r="C20" s="1">
        <f t="shared" si="1"/>
        <v>0</v>
      </c>
      <c r="D20" s="1" t="str">
        <f t="shared" si="2"/>
        <v>Wendy L. Hargrove</v>
      </c>
      <c r="E20" s="1" t="str">
        <f t="shared" si="3"/>
        <v>Linda M. Grayson</v>
      </c>
      <c r="F20" s="1" t="str">
        <f t="shared" si="4"/>
        <v>Linda M. Grayson</v>
      </c>
      <c r="G20" s="1" t="str">
        <f t="shared" si="5"/>
        <v>Bill Lumbergh</v>
      </c>
      <c r="H20" s="1" t="str">
        <f t="shared" si="6"/>
        <v>Bill Lumbergh</v>
      </c>
      <c r="I20" t="str">
        <f t="shared" si="7"/>
        <v>Bill Lumbergh &gt; Bill Lumbergh &gt; Linda M. Grayson &gt; Linda M. Grayson &gt; Wendy L. Hargrove &gt; Fred Wilkinson</v>
      </c>
    </row>
    <row r="21" spans="1:9" ht="20.100000000000001" customHeight="1" x14ac:dyDescent="0.25">
      <c r="A21" s="1" t="s">
        <v>21</v>
      </c>
      <c r="B21" s="1" t="s">
        <v>8</v>
      </c>
      <c r="C21" s="1">
        <f t="shared" si="1"/>
        <v>1</v>
      </c>
      <c r="D21" s="1" t="str">
        <f t="shared" si="2"/>
        <v>Tom Smykowski</v>
      </c>
      <c r="E21" s="1" t="str">
        <f t="shared" si="3"/>
        <v>Linda M. Grayson</v>
      </c>
      <c r="F21" s="1" t="str">
        <f t="shared" si="4"/>
        <v>Linda M. Grayson</v>
      </c>
      <c r="G21" s="1" t="str">
        <f t="shared" si="5"/>
        <v>Bill Lumbergh</v>
      </c>
      <c r="H21" s="1" t="str">
        <f t="shared" si="6"/>
        <v>Bill Lumbergh</v>
      </c>
      <c r="I21" t="str">
        <f t="shared" si="7"/>
        <v>Bill Lumbergh &gt; Bill Lumbergh &gt; Linda M. Grayson &gt; Linda M. Grayson &gt; Tom Smykowski &gt; Derek P. Phillips</v>
      </c>
    </row>
    <row r="22" spans="1:9" ht="20.100000000000001" customHeight="1" x14ac:dyDescent="0.25">
      <c r="A22" s="1" t="s">
        <v>22</v>
      </c>
      <c r="B22" s="1" t="s">
        <v>21</v>
      </c>
      <c r="C22" s="1">
        <f t="shared" si="1"/>
        <v>0</v>
      </c>
      <c r="D22" s="1" t="str">
        <f t="shared" si="2"/>
        <v>Derek P. Phillips</v>
      </c>
      <c r="E22" s="1" t="str">
        <f t="shared" si="3"/>
        <v>Tom Smykowski</v>
      </c>
      <c r="F22" s="1" t="str">
        <f t="shared" si="4"/>
        <v>Tom Smykowski</v>
      </c>
      <c r="G22" s="1" t="str">
        <f t="shared" si="5"/>
        <v>Linda M. Grayson</v>
      </c>
      <c r="H22" s="1" t="str">
        <f t="shared" si="6"/>
        <v>Linda M. Grayson</v>
      </c>
      <c r="I22" t="str">
        <f t="shared" si="7"/>
        <v>Linda M. Grayson &gt; Linda M. Grayson &gt; Tom Smykowski &gt; Tom Smykowski &gt; Derek P. Phillips &gt; Sarah J. Greene</v>
      </c>
    </row>
    <row r="23" spans="1:9" ht="20.100000000000001" customHeight="1" x14ac:dyDescent="0.25">
      <c r="A23" s="1" t="s">
        <v>23</v>
      </c>
      <c r="B23" s="1" t="s">
        <v>9</v>
      </c>
      <c r="C23" s="1">
        <f t="shared" si="1"/>
        <v>2</v>
      </c>
      <c r="D23" s="1" t="str">
        <f t="shared" si="2"/>
        <v>Nathan R. Ross</v>
      </c>
      <c r="E23" s="1" t="str">
        <f t="shared" si="3"/>
        <v>Linda M. Grayson</v>
      </c>
      <c r="F23" s="1" t="str">
        <f t="shared" si="4"/>
        <v>Linda M. Grayson</v>
      </c>
      <c r="G23" s="1" t="str">
        <f t="shared" si="5"/>
        <v>Bill Lumbergh</v>
      </c>
      <c r="H23" s="1" t="str">
        <f t="shared" si="6"/>
        <v>Bill Lumbergh</v>
      </c>
      <c r="I23" t="str">
        <f t="shared" si="7"/>
        <v>Bill Lumbergh &gt; Bill Lumbergh &gt; Linda M. Grayson &gt; Linda M. Grayson &gt; Nathan R. Ross &gt; Alan B. Peterson</v>
      </c>
    </row>
    <row r="24" spans="1:9" ht="20.100000000000001" customHeight="1" x14ac:dyDescent="0.25">
      <c r="A24" s="1" t="s">
        <v>24</v>
      </c>
      <c r="B24" s="1" t="s">
        <v>23</v>
      </c>
      <c r="C24" s="1">
        <f t="shared" si="1"/>
        <v>0</v>
      </c>
      <c r="D24" s="1" t="str">
        <f t="shared" si="2"/>
        <v>Alan B. Peterson</v>
      </c>
      <c r="E24" s="1" t="str">
        <f t="shared" si="3"/>
        <v>Nathan R. Ross</v>
      </c>
      <c r="F24" s="1" t="str">
        <f t="shared" si="4"/>
        <v>Nathan R. Ross</v>
      </c>
      <c r="G24" s="1" t="str">
        <f t="shared" si="5"/>
        <v>Linda M. Grayson</v>
      </c>
      <c r="H24" s="1" t="str">
        <f t="shared" si="6"/>
        <v>Linda M. Grayson</v>
      </c>
      <c r="I24" t="str">
        <f t="shared" si="7"/>
        <v>Linda M. Grayson &gt; Linda M. Grayson &gt; Nathan R. Ross &gt; Nathan R. Ross &gt; Alan B. Peterson &gt; Maria D. Sanchez</v>
      </c>
    </row>
    <row r="25" spans="1:9" ht="20.100000000000001" customHeight="1" x14ac:dyDescent="0.25">
      <c r="A25" s="1" t="s">
        <v>25</v>
      </c>
      <c r="B25" s="1" t="s">
        <v>23</v>
      </c>
      <c r="C25" s="1">
        <f t="shared" si="1"/>
        <v>0</v>
      </c>
      <c r="D25" s="1" t="str">
        <f t="shared" si="2"/>
        <v>Alan B. Peterson</v>
      </c>
      <c r="E25" s="1" t="str">
        <f t="shared" si="3"/>
        <v>Nathan R. Ross</v>
      </c>
      <c r="F25" s="1" t="str">
        <f t="shared" si="4"/>
        <v>Nathan R. Ross</v>
      </c>
      <c r="G25" s="1" t="str">
        <f t="shared" si="5"/>
        <v>Linda M. Grayson</v>
      </c>
      <c r="H25" s="1" t="str">
        <f t="shared" si="6"/>
        <v>Linda M. Grayson</v>
      </c>
      <c r="I25" t="str">
        <f t="shared" si="7"/>
        <v>Linda M. Grayson &gt; Linda M. Grayson &gt; Nathan R. Ross &gt; Nathan R. Ross &gt; Alan B. Peterson &gt; Bobbie K. Jenkins</v>
      </c>
    </row>
    <row r="26" spans="1:9" ht="20.100000000000001" customHeight="1" x14ac:dyDescent="0.25">
      <c r="A26" s="1" t="s">
        <v>26</v>
      </c>
      <c r="B26" s="1" t="s">
        <v>8</v>
      </c>
      <c r="C26" s="1">
        <f t="shared" si="1"/>
        <v>0</v>
      </c>
      <c r="D26" s="1" t="str">
        <f t="shared" si="2"/>
        <v>Tom Smykowski</v>
      </c>
      <c r="E26" s="1" t="str">
        <f t="shared" si="3"/>
        <v>Linda M. Grayson</v>
      </c>
      <c r="F26" s="1" t="str">
        <f t="shared" si="4"/>
        <v>Linda M. Grayson</v>
      </c>
      <c r="G26" s="1" t="str">
        <f t="shared" si="5"/>
        <v>Bill Lumbergh</v>
      </c>
      <c r="H26" s="1" t="str">
        <f t="shared" si="6"/>
        <v>Bill Lumbergh</v>
      </c>
      <c r="I26" t="str">
        <f t="shared" si="7"/>
        <v>Bill Lumbergh &gt; Bill Lumbergh &gt; Linda M. Grayson &gt; Linda M. Grayson &gt; Tom Smykowski &gt; Milton Waddams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2B84-EEF5-4CA2-85A4-9E51074FED8B}">
  <dimension ref="A1:E26"/>
  <sheetViews>
    <sheetView tabSelected="1" workbookViewId="0">
      <selection activeCell="C6" sqref="C6"/>
    </sheetView>
  </sheetViews>
  <sheetFormatPr defaultRowHeight="15" x14ac:dyDescent="0.25"/>
  <cols>
    <col min="1" max="2" width="20.5703125" bestFit="1" customWidth="1"/>
    <col min="3" max="3" width="55" customWidth="1"/>
    <col min="4" max="4" width="12.28515625" bestFit="1" customWidth="1"/>
    <col min="5" max="5" width="11.140625" bestFit="1" customWidth="1"/>
    <col min="6" max="6" width="16.28515625" bestFit="1" customWidth="1"/>
  </cols>
  <sheetData>
    <row r="1" spans="1:5" x14ac:dyDescent="0.25">
      <c r="A1" t="s">
        <v>0</v>
      </c>
      <c r="B1" t="s">
        <v>1</v>
      </c>
      <c r="C1" t="s">
        <v>36</v>
      </c>
      <c r="D1" t="s">
        <v>37</v>
      </c>
      <c r="E1" t="s">
        <v>38</v>
      </c>
    </row>
    <row r="2" spans="1:5" x14ac:dyDescent="0.25">
      <c r="A2" t="s">
        <v>2</v>
      </c>
      <c r="C2" t="str" cm="1">
        <f t="array" ref="C2">_xlfn.LET(
_xlpm.h, _xlfn.SCAN(B2,_xlfn.SEQUENCE(4),_xlfn.LAMBDA(_xlpm.a,_xlpm.v,_xlfn.XLOOKUP(_xlpm.a,$A$2:$A$26,$B$2:$B$26,0))),
_xlpm.f, _xlfn._xlws.FILTER(_xlpm.h,_xlpm.h&lt;&gt;0,""),
_xlpm.s, _xlfn.SORTBY(_xlpm.f,_xlfn.SEQUENCE(COUNTA(_xlpm.f)),-1),
_xlfn.TEXTJOIN("&gt; ",,_xlpm.s,B2,A2))</f>
        <v>Bill Lumbergh</v>
      </c>
      <c r="D2">
        <f>COUNTIF($B$2:$B$26,A2)</f>
        <v>3</v>
      </c>
      <c r="E2" cm="1">
        <f t="array" ref="E2" xml:space="preserve"> SUM(--ISNUMBER( SEARCH(A2,$C$2:$C$26)))-1</f>
        <v>24</v>
      </c>
    </row>
    <row r="3" spans="1:5" x14ac:dyDescent="0.25">
      <c r="A3" t="s">
        <v>3</v>
      </c>
      <c r="B3" t="s">
        <v>2</v>
      </c>
      <c r="C3" t="str" cm="1">
        <f t="array" ref="C3">_xlfn.LET(
_xlpm.h, _xlfn.SCAN(B3,_xlfn.SEQUENCE(4),_xlfn.LAMBDA(_xlpm.a,_xlpm.v,_xlfn.XLOOKUP(_xlpm.a,$A$2:$A$26,$B$2:$B$26,0))),
_xlpm.f, _xlfn._xlws.FILTER(_xlpm.h,_xlpm.h&lt;&gt;0,""),
_xlpm.s, _xlfn.SORTBY(_xlpm.f,_xlfn.SEQUENCE(COUNTA(_xlpm.f)),-1),
_xlfn.TEXTJOIN("&gt; ",,_xlpm.s,B3,A3))</f>
        <v>Bill Lumbergh&gt; Bob Slydell</v>
      </c>
      <c r="D3">
        <f t="shared" ref="D3:D26" si="0">COUNTIF($B$2:$B$26,A3)</f>
        <v>0</v>
      </c>
      <c r="E3" cm="1">
        <f t="array" ref="E3" xml:space="preserve"> SUM(--ISNUMBER( SEARCH(A3,$C$2:$C$26)))-1</f>
        <v>0</v>
      </c>
    </row>
    <row r="4" spans="1:5" x14ac:dyDescent="0.25">
      <c r="A4" t="s">
        <v>4</v>
      </c>
      <c r="B4" t="s">
        <v>2</v>
      </c>
      <c r="C4" t="str" cm="1">
        <f t="array" ref="C4">_xlfn.LET(
_xlpm.h, _xlfn.SCAN(B4,_xlfn.SEQUENCE(4),_xlfn.LAMBDA(_xlpm.a,_xlpm.v,_xlfn.XLOOKUP(_xlpm.a,$A$2:$A$26,$B$2:$B$26,0))),
_xlpm.f, _xlfn._xlws.FILTER(_xlpm.h,_xlpm.h&lt;&gt;0,""),
_xlpm.s, _xlfn.SORTBY(_xlpm.f,_xlfn.SEQUENCE(COUNTA(_xlpm.f)),-1),
_xlfn.TEXTJOIN("&gt; ",,_xlpm.s,B4,A4))</f>
        <v>Bill Lumbergh&gt; Bob Porter</v>
      </c>
      <c r="D4">
        <f t="shared" si="0"/>
        <v>0</v>
      </c>
      <c r="E4" cm="1">
        <f t="array" ref="E4" xml:space="preserve"> SUM(--ISNUMBER( SEARCH(A4,$C$2:$C$26)))-1</f>
        <v>0</v>
      </c>
    </row>
    <row r="5" spans="1:5" x14ac:dyDescent="0.25">
      <c r="A5" t="s">
        <v>5</v>
      </c>
      <c r="B5" t="s">
        <v>2</v>
      </c>
      <c r="C5" t="str" cm="1">
        <f t="array" ref="C5">_xlfn.LET(
_xlpm.h, _xlfn.SCAN(B5,_xlfn.SEQUENCE(4),_xlfn.LAMBDA(_xlpm.a,_xlpm.v,_xlfn.XLOOKUP(_xlpm.a,$A$2:$A$26,$B$2:$B$26,0))),
_xlpm.f, _xlfn._xlws.FILTER(_xlpm.h,_xlpm.h&lt;&gt;0,""),
_xlpm.s, _xlfn.SORTBY(_xlpm.f,_xlfn.SEQUENCE(COUNTA(_xlpm.f)),-1),
_xlfn.TEXTJOIN("&gt; ",,_xlpm.s,B5,A5))</f>
        <v>Bill Lumbergh&gt; Linda M. Grayson</v>
      </c>
      <c r="D5">
        <f t="shared" si="0"/>
        <v>4</v>
      </c>
      <c r="E5" cm="1">
        <f t="array" ref="E5" xml:space="preserve"> SUM(--ISNUMBER( SEARCH(A5,$C$2:$C$26)))-1</f>
        <v>21</v>
      </c>
    </row>
    <row r="6" spans="1:5" x14ac:dyDescent="0.25">
      <c r="A6" t="s">
        <v>6</v>
      </c>
      <c r="B6" t="s">
        <v>5</v>
      </c>
      <c r="C6" t="str" cm="1">
        <f t="array" ref="C6">_xlfn.LET(
_xlpm.h, _xlfn.SCAN(B6,_xlfn.SEQUENCE(4),_xlfn.LAMBDA(_xlpm.a,_xlpm.v,_xlfn.XLOOKUP(_xlpm.a,$A$2:$A$26,$B$2:$B$26,0))),
_xlpm.f, _xlfn._xlws.FILTER(_xlpm.h,_xlpm.h&lt;&gt;0,""),
_xlpm.s, _xlfn.SORTBY(_xlpm.f,_xlfn.SEQUENCE(COUNTA(_xlpm.f)),-1),
_xlfn.TEXTJOIN("&gt; ",,_xlpm.s,B6,A6))</f>
        <v>Bill Lumbergh&gt; Linda M. Grayson&gt; Dom Portwood</v>
      </c>
      <c r="D6">
        <f t="shared" si="0"/>
        <v>3</v>
      </c>
      <c r="E6" cm="1">
        <f t="array" ref="E6" xml:space="preserve"> SUM(--ISNUMBER( SEARCH(A6,$C$2:$C$26)))-1</f>
        <v>8</v>
      </c>
    </row>
    <row r="7" spans="1:5" x14ac:dyDescent="0.25">
      <c r="A7" t="s">
        <v>7</v>
      </c>
      <c r="B7" t="s">
        <v>5</v>
      </c>
      <c r="C7" t="str" cm="1">
        <f t="array" ref="C7">_xlfn.LET(
_xlpm.h, _xlfn.SCAN(B7,_xlfn.SEQUENCE(4),_xlfn.LAMBDA(_xlpm.a,_xlpm.v,_xlfn.XLOOKUP(_xlpm.a,$A$2:$A$26,$B$2:$B$26,0))),
_xlpm.f, _xlfn._xlws.FILTER(_xlpm.h,_xlpm.h&lt;&gt;0,""),
_xlpm.s, _xlfn.SORTBY(_xlpm.f,_xlfn.SEQUENCE(COUNTA(_xlpm.f)),-1),
_xlfn.TEXTJOIN("&gt; ",,_xlpm.s,B7,A7))</f>
        <v>Bill Lumbergh&gt; Linda M. Grayson&gt; Wendy L. Hargrove</v>
      </c>
      <c r="D7">
        <f t="shared" si="0"/>
        <v>3</v>
      </c>
      <c r="E7" cm="1">
        <f t="array" ref="E7" xml:space="preserve"> SUM(--ISNUMBER( SEARCH(A7,$C$2:$C$26)))-1</f>
        <v>3</v>
      </c>
    </row>
    <row r="8" spans="1:5" x14ac:dyDescent="0.25">
      <c r="A8" t="s">
        <v>8</v>
      </c>
      <c r="B8" t="s">
        <v>5</v>
      </c>
      <c r="C8" t="str" cm="1">
        <f t="array" ref="C8">_xlfn.LET(
_xlpm.h, _xlfn.SCAN(B8,_xlfn.SEQUENCE(4),_xlfn.LAMBDA(_xlpm.a,_xlpm.v,_xlfn.XLOOKUP(_xlpm.a,$A$2:$A$26,$B$2:$B$26,0))),
_xlpm.f, _xlfn._xlws.FILTER(_xlpm.h,_xlpm.h&lt;&gt;0,""),
_xlpm.s, _xlfn.SORTBY(_xlpm.f,_xlfn.SEQUENCE(COUNTA(_xlpm.f)),-1),
_xlfn.TEXTJOIN("&gt; ",,_xlpm.s,B8,A8))</f>
        <v>Bill Lumbergh&gt; Linda M. Grayson&gt; Tom Smykowski</v>
      </c>
      <c r="D8">
        <f t="shared" si="0"/>
        <v>2</v>
      </c>
      <c r="E8" cm="1">
        <f t="array" ref="E8" xml:space="preserve"> SUM(--ISNUMBER( SEARCH(A8,$C$2:$C$26)))-1</f>
        <v>3</v>
      </c>
    </row>
    <row r="9" spans="1:5" x14ac:dyDescent="0.25">
      <c r="A9" t="s">
        <v>9</v>
      </c>
      <c r="B9" t="s">
        <v>5</v>
      </c>
      <c r="C9" t="str" cm="1">
        <f t="array" ref="C9">_xlfn.LET(
_xlpm.h, _xlfn.SCAN(B9,_xlfn.SEQUENCE(4),_xlfn.LAMBDA(_xlpm.a,_xlpm.v,_xlfn.XLOOKUP(_xlpm.a,$A$2:$A$26,$B$2:$B$26,0))),
_xlpm.f, _xlfn._xlws.FILTER(_xlpm.h,_xlpm.h&lt;&gt;0,""),
_xlpm.s, _xlfn.SORTBY(_xlpm.f,_xlfn.SEQUENCE(COUNTA(_xlpm.f)),-1),
_xlfn.TEXTJOIN("&gt; ",,_xlpm.s,B9,A9))</f>
        <v>Bill Lumbergh&gt; Linda M. Grayson&gt; Nathan R. Ross</v>
      </c>
      <c r="D9">
        <f t="shared" si="0"/>
        <v>1</v>
      </c>
      <c r="E9" cm="1">
        <f t="array" ref="E9" xml:space="preserve"> SUM(--ISNUMBER( SEARCH(A9,$C$2:$C$26)))-1</f>
        <v>3</v>
      </c>
    </row>
    <row r="10" spans="1:5" x14ac:dyDescent="0.25">
      <c r="A10" t="s">
        <v>10</v>
      </c>
      <c r="B10" t="s">
        <v>6</v>
      </c>
      <c r="C10" t="str" cm="1">
        <f t="array" ref="C10">_xlfn.LET(
_xlpm.h, _xlfn.SCAN(B10,_xlfn.SEQUENCE(4),_xlfn.LAMBDA(_xlpm.a,_xlpm.v,_xlfn.XLOOKUP(_xlpm.a,$A$2:$A$26,$B$2:$B$26,0))),
_xlpm.f, _xlfn._xlws.FILTER(_xlpm.h,_xlpm.h&lt;&gt;0,""),
_xlpm.s, _xlfn.SORTBY(_xlpm.f,_xlfn.SEQUENCE(COUNTA(_xlpm.f)),-1),
_xlfn.TEXTJOIN("&gt; ",,_xlpm.s,B10,A10))</f>
        <v>Bill Lumbergh&gt; Linda M. Grayson&gt; Dom Portwood&gt; Peter Gibbons</v>
      </c>
      <c r="D10">
        <f t="shared" si="0"/>
        <v>1</v>
      </c>
      <c r="E10" cm="1">
        <f t="array" ref="E10" xml:space="preserve"> SUM(--ISNUMBER( SEARCH(A10,$C$2:$C$26)))-1</f>
        <v>1</v>
      </c>
    </row>
    <row r="11" spans="1:5" x14ac:dyDescent="0.25">
      <c r="A11" t="s">
        <v>11</v>
      </c>
      <c r="B11" t="s">
        <v>10</v>
      </c>
      <c r="C11" t="str" cm="1">
        <f t="array" ref="C11">_xlfn.LET(
_xlpm.h, _xlfn.SCAN(B11,_xlfn.SEQUENCE(4),_xlfn.LAMBDA(_xlpm.a,_xlpm.v,_xlfn.XLOOKUP(_xlpm.a,$A$2:$A$26,$B$2:$B$26,0))),
_xlpm.f, _xlfn._xlws.FILTER(_xlpm.h,_xlpm.h&lt;&gt;0,""),
_xlpm.s, _xlfn.SORTBY(_xlpm.f,_xlfn.SEQUENCE(COUNTA(_xlpm.f)),-1),
_xlfn.TEXTJOIN("&gt; ",,_xlpm.s,B11,A11))</f>
        <v>Bill Lumbergh&gt; Linda M. Grayson&gt; Dom Portwood&gt; Peter Gibbons&gt; Cheryl T. Ackerman</v>
      </c>
      <c r="D11">
        <f t="shared" si="0"/>
        <v>0</v>
      </c>
      <c r="E11" cm="1">
        <f t="array" ref="E11" xml:space="preserve"> SUM(--ISNUMBER( SEARCH(A11,$C$2:$C$26)))-1</f>
        <v>0</v>
      </c>
    </row>
    <row r="12" spans="1:5" x14ac:dyDescent="0.25">
      <c r="A12" t="s">
        <v>12</v>
      </c>
      <c r="B12" t="s">
        <v>6</v>
      </c>
      <c r="C12" t="str" cm="1">
        <f t="array" ref="C12">_xlfn.LET(
_xlpm.h, _xlfn.SCAN(B12,_xlfn.SEQUENCE(4),_xlfn.LAMBDA(_xlpm.a,_xlpm.v,_xlfn.XLOOKUP(_xlpm.a,$A$2:$A$26,$B$2:$B$26,0))),
_xlpm.f, _xlfn._xlws.FILTER(_xlpm.h,_xlpm.h&lt;&gt;0,""),
_xlpm.s, _xlfn.SORTBY(_xlpm.f,_xlfn.SEQUENCE(COUNTA(_xlpm.f)),-1),
_xlfn.TEXTJOIN("&gt; ",,_xlpm.s,B12,A12))</f>
        <v>Bill Lumbergh&gt; Linda M. Grayson&gt; Dom Portwood&gt; Samir Nagheenanajar</v>
      </c>
      <c r="D12">
        <f t="shared" si="0"/>
        <v>1</v>
      </c>
      <c r="E12" cm="1">
        <f t="array" ref="E12" xml:space="preserve"> SUM(--ISNUMBER( SEARCH(A12,$C$2:$C$26)))-1</f>
        <v>1</v>
      </c>
    </row>
    <row r="13" spans="1:5" x14ac:dyDescent="0.25">
      <c r="A13" t="s">
        <v>13</v>
      </c>
      <c r="B13" t="s">
        <v>12</v>
      </c>
      <c r="C13" t="str" cm="1">
        <f t="array" ref="C13">_xlfn.LET(
_xlpm.h, _xlfn.SCAN(B13,_xlfn.SEQUENCE(4),_xlfn.LAMBDA(_xlpm.a,_xlpm.v,_xlfn.XLOOKUP(_xlpm.a,$A$2:$A$26,$B$2:$B$26,0))),
_xlpm.f, _xlfn._xlws.FILTER(_xlpm.h,_xlpm.h&lt;&gt;0,""),
_xlpm.s, _xlfn.SORTBY(_xlpm.f,_xlfn.SEQUENCE(COUNTA(_xlpm.f)),-1),
_xlfn.TEXTJOIN("&gt; ",,_xlpm.s,B13,A13))</f>
        <v>Bill Lumbergh&gt; Linda M. Grayson&gt; Dom Portwood&gt; Samir Nagheenanajar&gt; Michael Bolton</v>
      </c>
      <c r="D13">
        <f t="shared" si="0"/>
        <v>0</v>
      </c>
      <c r="E13" cm="1">
        <f t="array" ref="E13" xml:space="preserve"> SUM(--ISNUMBER( SEARCH(A13,$C$2:$C$26)))-1</f>
        <v>0</v>
      </c>
    </row>
    <row r="14" spans="1:5" x14ac:dyDescent="0.25">
      <c r="A14" t="s">
        <v>14</v>
      </c>
      <c r="B14" t="s">
        <v>6</v>
      </c>
      <c r="C14" t="str" cm="1">
        <f t="array" ref="C14">_xlfn.LET(
_xlpm.h, _xlfn.SCAN(B14,_xlfn.SEQUENCE(4),_xlfn.LAMBDA(_xlpm.a,_xlpm.v,_xlfn.XLOOKUP(_xlpm.a,$A$2:$A$26,$B$2:$B$26,0))),
_xlpm.f, _xlfn._xlws.FILTER(_xlpm.h,_xlpm.h&lt;&gt;0,""),
_xlpm.s, _xlfn.SORTBY(_xlpm.f,_xlfn.SEQUENCE(COUNTA(_xlpm.f)),-1),
_xlfn.TEXTJOIN("&gt; ",,_xlpm.s,B14,A14))</f>
        <v>Bill Lumbergh&gt; Linda M. Grayson&gt; Dom Portwood&gt; Nathan C. Carter</v>
      </c>
      <c r="D14">
        <f t="shared" si="0"/>
        <v>3</v>
      </c>
      <c r="E14" cm="1">
        <f t="array" ref="E14" xml:space="preserve"> SUM(--ISNUMBER( SEARCH(A14,$C$2:$C$26)))-1</f>
        <v>3</v>
      </c>
    </row>
    <row r="15" spans="1:5" x14ac:dyDescent="0.25">
      <c r="A15" t="s">
        <v>15</v>
      </c>
      <c r="B15" t="s">
        <v>14</v>
      </c>
      <c r="C15" t="str" cm="1">
        <f t="array" ref="C15">_xlfn.LET(
_xlpm.h, _xlfn.SCAN(B15,_xlfn.SEQUENCE(4),_xlfn.LAMBDA(_xlpm.a,_xlpm.v,_xlfn.XLOOKUP(_xlpm.a,$A$2:$A$26,$B$2:$B$26,0))),
_xlpm.f, _xlfn._xlws.FILTER(_xlpm.h,_xlpm.h&lt;&gt;0,""),
_xlpm.s, _xlfn.SORTBY(_xlpm.f,_xlfn.SEQUENCE(COUNTA(_xlpm.f)),-1),
_xlfn.TEXTJOIN("&gt; ",,_xlpm.s,B15,A15))</f>
        <v>Bill Lumbergh&gt; Linda M. Grayson&gt; Dom Portwood&gt; Nathan C. Carter&gt; Lydia Bennett</v>
      </c>
      <c r="D15">
        <f t="shared" si="0"/>
        <v>0</v>
      </c>
      <c r="E15" cm="1">
        <f t="array" ref="E15" xml:space="preserve"> SUM(--ISNUMBER( SEARCH(A15,$C$2:$C$26)))-1</f>
        <v>0</v>
      </c>
    </row>
    <row r="16" spans="1:5" x14ac:dyDescent="0.25">
      <c r="A16" t="s">
        <v>16</v>
      </c>
      <c r="B16" t="s">
        <v>14</v>
      </c>
      <c r="C16" t="str" cm="1">
        <f t="array" ref="C16">_xlfn.LET(
_xlpm.h, _xlfn.SCAN(B16,_xlfn.SEQUENCE(4),_xlfn.LAMBDA(_xlpm.a,_xlpm.v,_xlfn.XLOOKUP(_xlpm.a,$A$2:$A$26,$B$2:$B$26,0))),
_xlpm.f, _xlfn._xlws.FILTER(_xlpm.h,_xlpm.h&lt;&gt;0,""),
_xlpm.s, _xlfn.SORTBY(_xlpm.f,_xlfn.SEQUENCE(COUNTA(_xlpm.f)),-1),
_xlfn.TEXTJOIN("&gt; ",,_xlpm.s,B16,A16))</f>
        <v>Bill Lumbergh&gt; Linda M. Grayson&gt; Dom Portwood&gt; Nathan C. Carter&gt; Greg S. Torres</v>
      </c>
      <c r="D16">
        <f t="shared" si="0"/>
        <v>0</v>
      </c>
      <c r="E16" cm="1">
        <f t="array" ref="E16" xml:space="preserve"> SUM(--ISNUMBER( SEARCH(A16,$C$2:$C$26)))-1</f>
        <v>0</v>
      </c>
    </row>
    <row r="17" spans="1:5" x14ac:dyDescent="0.25">
      <c r="A17" t="s">
        <v>17</v>
      </c>
      <c r="B17" t="s">
        <v>14</v>
      </c>
      <c r="C17" t="str" cm="1">
        <f t="array" ref="C17">_xlfn.LET(
_xlpm.h, _xlfn.SCAN(B17,_xlfn.SEQUENCE(4),_xlfn.LAMBDA(_xlpm.a,_xlpm.v,_xlfn.XLOOKUP(_xlpm.a,$A$2:$A$26,$B$2:$B$26,0))),
_xlpm.f, _xlfn._xlws.FILTER(_xlpm.h,_xlpm.h&lt;&gt;0,""),
_xlpm.s, _xlfn.SORTBY(_xlpm.f,_xlfn.SEQUENCE(COUNTA(_xlpm.f)),-1),
_xlfn.TEXTJOIN("&gt; ",,_xlpm.s,B17,A17))</f>
        <v>Bill Lumbergh&gt; Linda M. Grayson&gt; Dom Portwood&gt; Nathan C. Carter&gt; Alice L. Munroe</v>
      </c>
      <c r="D17">
        <f t="shared" si="0"/>
        <v>0</v>
      </c>
      <c r="E17" cm="1">
        <f t="array" ref="E17" xml:space="preserve"> SUM(--ISNUMBER( SEARCH(A17,$C$2:$C$26)))-1</f>
        <v>0</v>
      </c>
    </row>
    <row r="18" spans="1:5" x14ac:dyDescent="0.25">
      <c r="A18" t="s">
        <v>18</v>
      </c>
      <c r="B18" t="s">
        <v>7</v>
      </c>
      <c r="C18" t="str" cm="1">
        <f t="array" ref="C18">_xlfn.LET(
_xlpm.h, _xlfn.SCAN(B18,_xlfn.SEQUENCE(4),_xlfn.LAMBDA(_xlpm.a,_xlpm.v,_xlfn.XLOOKUP(_xlpm.a,$A$2:$A$26,$B$2:$B$26,0))),
_xlpm.f, _xlfn._xlws.FILTER(_xlpm.h,_xlpm.h&lt;&gt;0,""),
_xlpm.s, _xlfn.SORTBY(_xlpm.f,_xlfn.SEQUENCE(COUNTA(_xlpm.f)),-1),
_xlfn.TEXTJOIN("&gt; ",,_xlpm.s,B18,A18))</f>
        <v>Bill Lumbergh&gt; Linda M. Grayson&gt; Wendy L. Hargrove&gt; Peggy Carlson</v>
      </c>
      <c r="D18">
        <f t="shared" si="0"/>
        <v>0</v>
      </c>
      <c r="E18" cm="1">
        <f t="array" ref="E18" xml:space="preserve"> SUM(--ISNUMBER( SEARCH(A18,$C$2:$C$26)))-1</f>
        <v>0</v>
      </c>
    </row>
    <row r="19" spans="1:5" x14ac:dyDescent="0.25">
      <c r="A19" t="s">
        <v>19</v>
      </c>
      <c r="B19" t="s">
        <v>7</v>
      </c>
      <c r="C19" t="str" cm="1">
        <f t="array" ref="C19">_xlfn.LET(
_xlpm.h, _xlfn.SCAN(B19,_xlfn.SEQUENCE(4),_xlfn.LAMBDA(_xlpm.a,_xlpm.v,_xlfn.XLOOKUP(_xlpm.a,$A$2:$A$26,$B$2:$B$26,0))),
_xlpm.f, _xlfn._xlws.FILTER(_xlpm.h,_xlpm.h&lt;&gt;0,""),
_xlpm.s, _xlfn.SORTBY(_xlpm.f,_xlfn.SEQUENCE(COUNTA(_xlpm.f)),-1),
_xlfn.TEXTJOIN("&gt; ",,_xlpm.s,B19,A19))</f>
        <v>Bill Lumbergh&gt; Linda M. Grayson&gt; Wendy L. Hargrove&gt; Anne Martinez</v>
      </c>
      <c r="D19">
        <f t="shared" si="0"/>
        <v>0</v>
      </c>
      <c r="E19" cm="1">
        <f t="array" ref="E19" xml:space="preserve"> SUM(--ISNUMBER( SEARCH(A19,$C$2:$C$26)))-1</f>
        <v>0</v>
      </c>
    </row>
    <row r="20" spans="1:5" x14ac:dyDescent="0.25">
      <c r="A20" t="s">
        <v>20</v>
      </c>
      <c r="B20" t="s">
        <v>7</v>
      </c>
      <c r="C20" t="str" cm="1">
        <f t="array" ref="C20">_xlfn.LET(
_xlpm.h, _xlfn.SCAN(B20,_xlfn.SEQUENCE(4),_xlfn.LAMBDA(_xlpm.a,_xlpm.v,_xlfn.XLOOKUP(_xlpm.a,$A$2:$A$26,$B$2:$B$26,0))),
_xlpm.f, _xlfn._xlws.FILTER(_xlpm.h,_xlpm.h&lt;&gt;0,""),
_xlpm.s, _xlfn.SORTBY(_xlpm.f,_xlfn.SEQUENCE(COUNTA(_xlpm.f)),-1),
_xlfn.TEXTJOIN("&gt; ",,_xlpm.s,B20,A20))</f>
        <v>Bill Lumbergh&gt; Linda M. Grayson&gt; Wendy L. Hargrove&gt; Fred Wilkinson</v>
      </c>
      <c r="D20">
        <f t="shared" si="0"/>
        <v>0</v>
      </c>
      <c r="E20" cm="1">
        <f t="array" ref="E20" xml:space="preserve"> SUM(--ISNUMBER( SEARCH(A20,$C$2:$C$26)))-1</f>
        <v>0</v>
      </c>
    </row>
    <row r="21" spans="1:5" x14ac:dyDescent="0.25">
      <c r="A21" t="s">
        <v>21</v>
      </c>
      <c r="B21" t="s">
        <v>8</v>
      </c>
      <c r="C21" t="str" cm="1">
        <f t="array" ref="C21">_xlfn.LET(
_xlpm.h, _xlfn.SCAN(B21,_xlfn.SEQUENCE(4),_xlfn.LAMBDA(_xlpm.a,_xlpm.v,_xlfn.XLOOKUP(_xlpm.a,$A$2:$A$26,$B$2:$B$26,0))),
_xlpm.f, _xlfn._xlws.FILTER(_xlpm.h,_xlpm.h&lt;&gt;0,""),
_xlpm.s, _xlfn.SORTBY(_xlpm.f,_xlfn.SEQUENCE(COUNTA(_xlpm.f)),-1),
_xlfn.TEXTJOIN("&gt; ",,_xlpm.s,B21,A21))</f>
        <v>Bill Lumbergh&gt; Linda M. Grayson&gt; Tom Smykowski&gt; Derek P. Phillips</v>
      </c>
      <c r="D21">
        <f t="shared" si="0"/>
        <v>1</v>
      </c>
      <c r="E21" cm="1">
        <f t="array" ref="E21" xml:space="preserve"> SUM(--ISNUMBER( SEARCH(A21,$C$2:$C$26)))-1</f>
        <v>1</v>
      </c>
    </row>
    <row r="22" spans="1:5" x14ac:dyDescent="0.25">
      <c r="A22" t="s">
        <v>22</v>
      </c>
      <c r="B22" t="s">
        <v>21</v>
      </c>
      <c r="C22" t="str" cm="1">
        <f t="array" ref="C22">_xlfn.LET(
_xlpm.h, _xlfn.SCAN(B22,_xlfn.SEQUENCE(4),_xlfn.LAMBDA(_xlpm.a,_xlpm.v,_xlfn.XLOOKUP(_xlpm.a,$A$2:$A$26,$B$2:$B$26,0))),
_xlpm.f, _xlfn._xlws.FILTER(_xlpm.h,_xlpm.h&lt;&gt;0,""),
_xlpm.s, _xlfn.SORTBY(_xlpm.f,_xlfn.SEQUENCE(COUNTA(_xlpm.f)),-1),
_xlfn.TEXTJOIN("&gt; ",,_xlpm.s,B22,A22))</f>
        <v>Bill Lumbergh&gt; Linda M. Grayson&gt; Tom Smykowski&gt; Derek P. Phillips&gt; Sarah J. Greene</v>
      </c>
      <c r="D22">
        <f t="shared" si="0"/>
        <v>0</v>
      </c>
      <c r="E22" cm="1">
        <f t="array" ref="E22" xml:space="preserve"> SUM(--ISNUMBER( SEARCH(A22,$C$2:$C$26)))-1</f>
        <v>0</v>
      </c>
    </row>
    <row r="23" spans="1:5" x14ac:dyDescent="0.25">
      <c r="A23" t="s">
        <v>23</v>
      </c>
      <c r="B23" t="s">
        <v>9</v>
      </c>
      <c r="C23" t="str" cm="1">
        <f t="array" ref="C23">_xlfn.LET(
_xlpm.h, _xlfn.SCAN(B23,_xlfn.SEQUENCE(4),_xlfn.LAMBDA(_xlpm.a,_xlpm.v,_xlfn.XLOOKUP(_xlpm.a,$A$2:$A$26,$B$2:$B$26,0))),
_xlpm.f, _xlfn._xlws.FILTER(_xlpm.h,_xlpm.h&lt;&gt;0,""),
_xlpm.s, _xlfn.SORTBY(_xlpm.f,_xlfn.SEQUENCE(COUNTA(_xlpm.f)),-1),
_xlfn.TEXTJOIN("&gt; ",,_xlpm.s,B23,A23))</f>
        <v>Bill Lumbergh&gt; Linda M. Grayson&gt; Nathan R. Ross&gt; Alan B. Peterson</v>
      </c>
      <c r="D23">
        <f t="shared" si="0"/>
        <v>2</v>
      </c>
      <c r="E23" cm="1">
        <f t="array" ref="E23" xml:space="preserve"> SUM(--ISNUMBER( SEARCH(A23,$C$2:$C$26)))-1</f>
        <v>2</v>
      </c>
    </row>
    <row r="24" spans="1:5" x14ac:dyDescent="0.25">
      <c r="A24" t="s">
        <v>24</v>
      </c>
      <c r="B24" t="s">
        <v>23</v>
      </c>
      <c r="C24" t="str" cm="1">
        <f t="array" ref="C24">_xlfn.LET(
_xlpm.h, _xlfn.SCAN(B24,_xlfn.SEQUENCE(4),_xlfn.LAMBDA(_xlpm.a,_xlpm.v,_xlfn.XLOOKUP(_xlpm.a,$A$2:$A$26,$B$2:$B$26,0))),
_xlpm.f, _xlfn._xlws.FILTER(_xlpm.h,_xlpm.h&lt;&gt;0,""),
_xlpm.s, _xlfn.SORTBY(_xlpm.f,_xlfn.SEQUENCE(COUNTA(_xlpm.f)),-1),
_xlfn.TEXTJOIN("&gt; ",,_xlpm.s,B24,A24))</f>
        <v>Bill Lumbergh&gt; Linda M. Grayson&gt; Nathan R. Ross&gt; Alan B. Peterson&gt; Maria D. Sanchez</v>
      </c>
      <c r="D24">
        <f t="shared" si="0"/>
        <v>0</v>
      </c>
      <c r="E24" cm="1">
        <f t="array" ref="E24" xml:space="preserve"> SUM(--ISNUMBER( SEARCH(A24,$C$2:$C$26)))-1</f>
        <v>0</v>
      </c>
    </row>
    <row r="25" spans="1:5" x14ac:dyDescent="0.25">
      <c r="A25" t="s">
        <v>25</v>
      </c>
      <c r="B25" t="s">
        <v>23</v>
      </c>
      <c r="C25" t="str" cm="1">
        <f t="array" ref="C25">_xlfn.LET(
_xlpm.h, _xlfn.SCAN(B25,_xlfn.SEQUENCE(4),_xlfn.LAMBDA(_xlpm.a,_xlpm.v,_xlfn.XLOOKUP(_xlpm.a,$A$2:$A$26,$B$2:$B$26,0))),
_xlpm.f, _xlfn._xlws.FILTER(_xlpm.h,_xlpm.h&lt;&gt;0,""),
_xlpm.s, _xlfn.SORTBY(_xlpm.f,_xlfn.SEQUENCE(COUNTA(_xlpm.f)),-1),
_xlfn.TEXTJOIN("&gt; ",,_xlpm.s,B25,A25))</f>
        <v>Bill Lumbergh&gt; Linda M. Grayson&gt; Nathan R. Ross&gt; Alan B. Peterson&gt; Bobbie K. Jenkins</v>
      </c>
      <c r="D25">
        <f t="shared" si="0"/>
        <v>0</v>
      </c>
      <c r="E25" cm="1">
        <f t="array" ref="E25" xml:space="preserve"> SUM(--ISNUMBER( SEARCH(A25,$C$2:$C$26)))-1</f>
        <v>0</v>
      </c>
    </row>
    <row r="26" spans="1:5" x14ac:dyDescent="0.25">
      <c r="A26" t="s">
        <v>26</v>
      </c>
      <c r="B26" t="s">
        <v>8</v>
      </c>
      <c r="C26" t="str" cm="1">
        <f t="array" ref="C26">_xlfn.LET(
_xlpm.h, _xlfn.SCAN(B26,_xlfn.SEQUENCE(4),_xlfn.LAMBDA(_xlpm.a,_xlpm.v,_xlfn.XLOOKUP(_xlpm.a,$A$2:$A$26,$B$2:$B$26,0))),
_xlpm.f, _xlfn._xlws.FILTER(_xlpm.h,_xlpm.h&lt;&gt;0,""),
_xlpm.s, _xlfn.SORTBY(_xlpm.f,_xlfn.SEQUENCE(COUNTA(_xlpm.f)),-1),
_xlfn.TEXTJOIN("&gt; ",,_xlpm.s,B26,A26))</f>
        <v>Bill Lumbergh&gt; Linda M. Grayson&gt; Tom Smykowski&gt; Milton Waddams</v>
      </c>
      <c r="D26">
        <f t="shared" si="0"/>
        <v>0</v>
      </c>
      <c r="E26" cm="1">
        <f t="array" ref="E26" xml:space="preserve"> SUM(--ISNUMBER( SEARCH(A26,$C$2:$C$26)))-1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9E9639-941B-4B3A-ADF7-7B47F22196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Problem_1 (2)</vt:lpstr>
      <vt:lpstr>Problem_1</vt:lpstr>
      <vt:lpstr>With Helper Function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</dc:creator>
  <cp:lastModifiedBy>sabbir hossain</cp:lastModifiedBy>
  <dcterms:created xsi:type="dcterms:W3CDTF">2026-07-06T13:36:03Z</dcterms:created>
  <dcterms:modified xsi:type="dcterms:W3CDTF">2026-07-06T15:04:43Z</dcterms:modified>
</cp:coreProperties>
</file>