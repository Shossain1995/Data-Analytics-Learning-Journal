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Banking Customer Data Analysis Project/"/>
    </mc:Choice>
  </mc:AlternateContent>
  <xr:revisionPtr revIDLastSave="17" documentId="11_F9ACFD43D752A0CFEB3B98154B5DCE3A674495BC" xr6:coauthVersionLast="47" xr6:coauthVersionMax="47" xr10:uidLastSave="{D2CF8EC1-2533-4081-A0B2-809E8AB8A166}"/>
  <bookViews>
    <workbookView xWindow="-120" yWindow="-120" windowWidth="19440" windowHeight="15000" firstSheet="9" activeTab="10" xr2:uid="{00000000-000D-0000-FFFF-FFFF00000000}"/>
  </bookViews>
  <sheets>
    <sheet name="Excel_fundamentals" sheetId="2" r:id="rId1"/>
    <sheet name="profestional Formating" sheetId="3" r:id="rId2"/>
    <sheet name="Error_data" sheetId="1" r:id="rId3"/>
    <sheet name="Data Profiling &amp; Missing Values" sheetId="5" r:id="rId4"/>
    <sheet name="Data_Quality_Report" sheetId="4" r:id="rId5"/>
    <sheet name="Cleaning_Log" sheetId="6" r:id="rId6"/>
    <sheet name="Text Standardization" sheetId="7" r:id="rId7"/>
    <sheet name="Text Extraction &amp; Manipulation " sheetId="8" r:id="rId8"/>
    <sheet name="Date &amp; Formatting Functions" sheetId="9" r:id="rId9"/>
    <sheet name="Logical Functions" sheetId="10" r:id="rId10"/>
    <sheet name="Aggregation Functions" sheetId="11" r:id="rId11"/>
    <sheet name="Counting Functio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1" l="1"/>
  <c r="L31" i="11"/>
  <c r="L30" i="11"/>
  <c r="L29" i="11"/>
  <c r="L25" i="11"/>
  <c r="L24" i="11"/>
  <c r="L23" i="11"/>
  <c r="L20" i="11"/>
  <c r="L19" i="11"/>
  <c r="L18" i="11"/>
  <c r="L15" i="11"/>
  <c r="L14" i="11"/>
  <c r="L13" i="11"/>
  <c r="K10" i="11"/>
  <c r="L7" i="11"/>
  <c r="L4" i="11"/>
  <c r="L3" i="11"/>
  <c r="L2" i="11"/>
  <c r="M3" i="10" a="1"/>
  <c r="M4" i="10" a="1"/>
  <c r="M5" i="10" a="1"/>
  <c r="M6" i="10" a="1"/>
  <c r="M7" i="10" a="1"/>
  <c r="M8" i="10" a="1"/>
  <c r="M9" i="10" a="1"/>
  <c r="M10" i="10" a="1"/>
  <c r="M11" i="10" a="1"/>
  <c r="M12" i="10" a="1"/>
  <c r="M13" i="10" a="1"/>
  <c r="M14" i="10" a="1"/>
  <c r="M15" i="10" a="1"/>
  <c r="M2" i="10" a="1"/>
  <c r="L3" i="10" a="1"/>
  <c r="L4" i="10" a="1"/>
  <c r="L5" i="10" a="1"/>
  <c r="L6" i="10" a="1"/>
  <c r="L7" i="10" a="1"/>
  <c r="L8" i="10" a="1"/>
  <c r="L9" i="10" a="1"/>
  <c r="L10" i="10" a="1"/>
  <c r="L11" i="10" a="1"/>
  <c r="L12" i="10" a="1"/>
  <c r="L13" i="10" a="1"/>
  <c r="L14" i="10" a="1"/>
  <c r="L15" i="10" a="1"/>
  <c r="L2" i="10" a="1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2" i="10"/>
  <c r="I3" i="9"/>
  <c r="I4" i="9"/>
  <c r="I5" i="9"/>
  <c r="I6" i="9"/>
  <c r="I7" i="9"/>
  <c r="I8" i="9"/>
  <c r="I9" i="9"/>
  <c r="I10" i="9"/>
  <c r="I11" i="9"/>
  <c r="I12" i="9"/>
  <c r="I13" i="9"/>
  <c r="I14" i="9"/>
  <c r="I2" i="9"/>
  <c r="H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F4" i="9"/>
  <c r="F5" i="9"/>
  <c r="F6" i="9"/>
  <c r="F7" i="9"/>
  <c r="F8" i="9"/>
  <c r="F9" i="9"/>
  <c r="F10" i="9"/>
  <c r="F11" i="9"/>
  <c r="F12" i="9"/>
  <c r="F13" i="9"/>
  <c r="F14" i="9"/>
  <c r="F15" i="9"/>
  <c r="F3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2" i="9"/>
  <c r="C15" i="9"/>
  <c r="C13" i="9"/>
  <c r="C14" i="9"/>
  <c r="C11" i="9"/>
  <c r="C12" i="9"/>
  <c r="C9" i="9"/>
  <c r="C10" i="9"/>
  <c r="C7" i="9"/>
  <c r="C8" i="9"/>
  <c r="C6" i="9"/>
  <c r="C5" i="9"/>
  <c r="C4" i="9"/>
  <c r="C3" i="9"/>
  <c r="C2" i="9"/>
  <c r="F2" i="9" s="1"/>
  <c r="K3" i="8"/>
  <c r="K4" i="8"/>
  <c r="K5" i="8"/>
  <c r="K6" i="8"/>
  <c r="K7" i="8"/>
  <c r="K8" i="8"/>
  <c r="K9" i="8"/>
  <c r="K10" i="8"/>
  <c r="K11" i="8"/>
  <c r="K12" i="8"/>
  <c r="K13" i="8"/>
  <c r="K14" i="8"/>
  <c r="K15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2" i="8"/>
  <c r="I10" i="8"/>
  <c r="I11" i="8"/>
  <c r="I12" i="8"/>
  <c r="I13" i="8"/>
  <c r="I14" i="8"/>
  <c r="I15" i="8"/>
  <c r="I9" i="8"/>
  <c r="I3" i="8"/>
  <c r="I4" i="8"/>
  <c r="I5" i="8"/>
  <c r="I6" i="8"/>
  <c r="I7" i="8"/>
  <c r="I8" i="8"/>
  <c r="I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2" i="8"/>
  <c r="G6" i="8"/>
  <c r="G7" i="8"/>
  <c r="G8" i="8"/>
  <c r="G9" i="8"/>
  <c r="G10" i="8"/>
  <c r="G11" i="8"/>
  <c r="G12" i="8"/>
  <c r="G13" i="8"/>
  <c r="G14" i="8"/>
  <c r="G15" i="8"/>
  <c r="G5" i="8"/>
  <c r="G3" i="8"/>
  <c r="G4" i="8"/>
  <c r="G2" i="8"/>
  <c r="F22" i="7"/>
  <c r="A22" i="7"/>
  <c r="F20" i="7"/>
  <c r="E21" i="7"/>
  <c r="D21" i="7"/>
  <c r="B21" i="7"/>
  <c r="A21" i="7"/>
  <c r="F21" i="7" s="1"/>
  <c r="C21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2" i="7"/>
  <c r="N3" i="2"/>
  <c r="N4" i="2"/>
  <c r="N5" i="2"/>
  <c r="N6" i="2"/>
  <c r="N2" i="2"/>
  <c r="I3" i="2"/>
  <c r="I4" i="2"/>
  <c r="I5" i="2"/>
  <c r="I6" i="2"/>
  <c r="I2" i="2"/>
  <c r="H3" i="2"/>
  <c r="H4" i="2"/>
  <c r="H5" i="2"/>
  <c r="H6" i="2"/>
  <c r="H2" i="2"/>
  <c r="G2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<sst xmlns="http://schemas.openxmlformats.org/spreadsheetml/2006/main" count="2818" uniqueCount="751">
  <si>
    <t>Customer_ID</t>
  </si>
  <si>
    <t>First_Name</t>
  </si>
  <si>
    <t>Last_Name</t>
  </si>
  <si>
    <t>Phone</t>
  </si>
  <si>
    <t>Email</t>
  </si>
  <si>
    <t>Branch</t>
  </si>
  <si>
    <t>City</t>
  </si>
  <si>
    <t>Account_Type</t>
  </si>
  <si>
    <t>Open_Date</t>
  </si>
  <si>
    <t>Transaction_Date</t>
  </si>
  <si>
    <t>Deposit</t>
  </si>
  <si>
    <t>Withdrawal</t>
  </si>
  <si>
    <t>Loan_Amount</t>
  </si>
  <si>
    <t>Credit_Score</t>
  </si>
  <si>
    <t>Status</t>
  </si>
  <si>
    <t>C0001</t>
  </si>
  <si>
    <t>Karim</t>
  </si>
  <si>
    <t>Ali</t>
  </si>
  <si>
    <t>01426614242</t>
  </si>
  <si>
    <t>user1@mail.com</t>
  </si>
  <si>
    <t>Sylhet</t>
  </si>
  <si>
    <t>Current</t>
  </si>
  <si>
    <t>2024-05-17</t>
  </si>
  <si>
    <t>2025-03-05</t>
  </si>
  <si>
    <t>Active</t>
  </si>
  <si>
    <t>C0002</t>
  </si>
  <si>
    <t>Tania</t>
  </si>
  <si>
    <t>Sultana</t>
  </si>
  <si>
    <t>01952231581</t>
  </si>
  <si>
    <t>user2@mail.com</t>
  </si>
  <si>
    <t>Dhaka</t>
  </si>
  <si>
    <t>2025-05-14</t>
  </si>
  <si>
    <t>2025-05-29</t>
  </si>
  <si>
    <t>Inactive</t>
  </si>
  <si>
    <t>C0003</t>
  </si>
  <si>
    <t>Rahim</t>
  </si>
  <si>
    <t>Rahman</t>
  </si>
  <si>
    <t>01309883727</t>
  </si>
  <si>
    <t>user3@mail.com</t>
  </si>
  <si>
    <t>Chattogram</t>
  </si>
  <si>
    <t>2024-02-01</t>
  </si>
  <si>
    <t>2024-02-13</t>
  </si>
  <si>
    <t>C0004</t>
  </si>
  <si>
    <t>Nabila</t>
  </si>
  <si>
    <t>Noor</t>
  </si>
  <si>
    <t>01547891063</t>
  </si>
  <si>
    <t>user4@mail.com</t>
  </si>
  <si>
    <t>2025-05-22</t>
  </si>
  <si>
    <t>2026-03-02</t>
  </si>
  <si>
    <t>C0005</t>
  </si>
  <si>
    <t>01837729581</t>
  </si>
  <si>
    <t>user5@mail.com</t>
  </si>
  <si>
    <t>Cumilla</t>
  </si>
  <si>
    <t>Savings</t>
  </si>
  <si>
    <t>2024-07-09</t>
  </si>
  <si>
    <t>2024-12-08</t>
  </si>
  <si>
    <t>C0006</t>
  </si>
  <si>
    <t>Jannat</t>
  </si>
  <si>
    <t>Ahmed</t>
  </si>
  <si>
    <t>01815639791</t>
  </si>
  <si>
    <t>user6@mail.com</t>
  </si>
  <si>
    <t>2025-06-01</t>
  </si>
  <si>
    <t>2025-12-20</t>
  </si>
  <si>
    <t>C0007</t>
  </si>
  <si>
    <t>Mehedi</t>
  </si>
  <si>
    <t>Islam</t>
  </si>
  <si>
    <t>01475769705</t>
  </si>
  <si>
    <t>user7@mail.com</t>
  </si>
  <si>
    <t>Khulna</t>
  </si>
  <si>
    <t>2024-03-29</t>
  </si>
  <si>
    <t>2024-11-09</t>
  </si>
  <si>
    <t>C0008</t>
  </si>
  <si>
    <t>Sumaiya</t>
  </si>
  <si>
    <t>01543672113</t>
  </si>
  <si>
    <t>user8@mail.com</t>
  </si>
  <si>
    <t>2025-10-24</t>
  </si>
  <si>
    <t>2026-01-20</t>
  </si>
  <si>
    <t>C0009</t>
  </si>
  <si>
    <t>01711983601</t>
  </si>
  <si>
    <t>user9@mail.com</t>
  </si>
  <si>
    <t>2025-04-15</t>
  </si>
  <si>
    <t>2025-08-31</t>
  </si>
  <si>
    <t>C0010</t>
  </si>
  <si>
    <t>01743884919</t>
  </si>
  <si>
    <t>user10@mail.com</t>
  </si>
  <si>
    <t>2025-08-06</t>
  </si>
  <si>
    <t>2026-05-17</t>
  </si>
  <si>
    <t>C0011</t>
  </si>
  <si>
    <t>Akter</t>
  </si>
  <si>
    <t>01891370036</t>
  </si>
  <si>
    <t>user11@mail.com</t>
  </si>
  <si>
    <t>2025-04-14</t>
  </si>
  <si>
    <t>2025-04-29</t>
  </si>
  <si>
    <t>C0012</t>
  </si>
  <si>
    <t>01567962176</t>
  </si>
  <si>
    <t>user12@mail.com</t>
  </si>
  <si>
    <t>2024-01-18</t>
  </si>
  <si>
    <t>2024-09-06</t>
  </si>
  <si>
    <t>C0013</t>
  </si>
  <si>
    <t>01996002456</t>
  </si>
  <si>
    <t>user13@mail.com</t>
  </si>
  <si>
    <t>2024-09-18</t>
  </si>
  <si>
    <t>2025-06-16</t>
  </si>
  <si>
    <t>C0014</t>
  </si>
  <si>
    <t>Khan</t>
  </si>
  <si>
    <t>01577477256</t>
  </si>
  <si>
    <t>user14@mail.com</t>
  </si>
  <si>
    <t>2025-01-30</t>
  </si>
  <si>
    <t>2025-07-25</t>
  </si>
  <si>
    <t>C0015</t>
  </si>
  <si>
    <t>01337931054</t>
  </si>
  <si>
    <t>user15@mail.com</t>
  </si>
  <si>
    <t>2024-08-18</t>
  </si>
  <si>
    <t>2024-08-28</t>
  </si>
  <si>
    <t>C0016</t>
  </si>
  <si>
    <t>01918309891</t>
  </si>
  <si>
    <t>user16@mail.com</t>
  </si>
  <si>
    <t>2024-08-16</t>
  </si>
  <si>
    <t>2025-05-12</t>
  </si>
  <si>
    <t>C0017</t>
  </si>
  <si>
    <t>01619846000</t>
  </si>
  <si>
    <t>user17@mail.com</t>
  </si>
  <si>
    <t>2024-12-16</t>
  </si>
  <si>
    <t>C0018</t>
  </si>
  <si>
    <t>Hossain</t>
  </si>
  <si>
    <t>01484165073</t>
  </si>
  <si>
    <t>user18@mail.com</t>
  </si>
  <si>
    <t>2025-08-27</t>
  </si>
  <si>
    <t>2025-12-17</t>
  </si>
  <si>
    <t>C0019</t>
  </si>
  <si>
    <t>Rafi</t>
  </si>
  <si>
    <t>01718824319</t>
  </si>
  <si>
    <t>user19@mail.com</t>
  </si>
  <si>
    <t>2025-08-28</t>
  </si>
  <si>
    <t>2025-12-06</t>
  </si>
  <si>
    <t>C0020</t>
  </si>
  <si>
    <t>01651908900</t>
  </si>
  <si>
    <t>user20@mail.com</t>
  </si>
  <si>
    <t>2024-10-15</t>
  </si>
  <si>
    <t>2024-10-25</t>
  </si>
  <si>
    <t>C0021</t>
  </si>
  <si>
    <t>01871789441</t>
  </si>
  <si>
    <t>user21@mail.com</t>
  </si>
  <si>
    <t>2025-07-14</t>
  </si>
  <si>
    <t>2026-01-07</t>
  </si>
  <si>
    <t>C0022</t>
  </si>
  <si>
    <t>01574116864</t>
  </si>
  <si>
    <t>user22@mail.com</t>
  </si>
  <si>
    <t>2024-10-01</t>
  </si>
  <si>
    <t>2025-03-21</t>
  </si>
  <si>
    <t>C0023</t>
  </si>
  <si>
    <t>01644376874</t>
  </si>
  <si>
    <t>user23@mail.com</t>
  </si>
  <si>
    <t>2024-05-18</t>
  </si>
  <si>
    <t>2025-03-11</t>
  </si>
  <si>
    <t>C0024</t>
  </si>
  <si>
    <t>01382304068</t>
  </si>
  <si>
    <t>user24@mail.com</t>
  </si>
  <si>
    <t>2024-12-15</t>
  </si>
  <si>
    <t>2025-02-12</t>
  </si>
  <si>
    <t>C0025</t>
  </si>
  <si>
    <t>01617546199</t>
  </si>
  <si>
    <t>user25@mail.com</t>
  </si>
  <si>
    <t>2025-04-13</t>
  </si>
  <si>
    <t>2025-09-02</t>
  </si>
  <si>
    <t>C0026</t>
  </si>
  <si>
    <t>01473967477</t>
  </si>
  <si>
    <t>user26@mail.com</t>
  </si>
  <si>
    <t>2024-07-11</t>
  </si>
  <si>
    <t>2024-11-11</t>
  </si>
  <si>
    <t>C0027</t>
  </si>
  <si>
    <t>01890782504</t>
  </si>
  <si>
    <t>user27@mail.com</t>
  </si>
  <si>
    <t>2025-10-01</t>
  </si>
  <si>
    <t>C0028</t>
  </si>
  <si>
    <t>Hasan</t>
  </si>
  <si>
    <t>01783016893</t>
  </si>
  <si>
    <t>user28@mail.com</t>
  </si>
  <si>
    <t>2024-01-28</t>
  </si>
  <si>
    <t>2024-02-03</t>
  </si>
  <si>
    <t>C0029</t>
  </si>
  <si>
    <t>01803499126</t>
  </si>
  <si>
    <t>user29@mail.com</t>
  </si>
  <si>
    <t>2024-04-24</t>
  </si>
  <si>
    <t>2024-08-31</t>
  </si>
  <si>
    <t>C0030</t>
  </si>
  <si>
    <t>01780931369</t>
  </si>
  <si>
    <t>user30@mail.com</t>
  </si>
  <si>
    <t>2025-01-04</t>
  </si>
  <si>
    <t>2025-02-15</t>
  </si>
  <si>
    <t>C0031</t>
  </si>
  <si>
    <t>01563977421</t>
  </si>
  <si>
    <t>user31@mail.com</t>
  </si>
  <si>
    <t>2024-07-10</t>
  </si>
  <si>
    <t>2024-12-20</t>
  </si>
  <si>
    <t>C0032</t>
  </si>
  <si>
    <t>01376145867</t>
  </si>
  <si>
    <t>user32@mail.com</t>
  </si>
  <si>
    <t>2025-03-25</t>
  </si>
  <si>
    <t>C0033</t>
  </si>
  <si>
    <t>01652287775</t>
  </si>
  <si>
    <t>user33@mail.com</t>
  </si>
  <si>
    <t>2025-04-25</t>
  </si>
  <si>
    <t>2025-07-13</t>
  </si>
  <si>
    <t>C0034</t>
  </si>
  <si>
    <t>01435613399</t>
  </si>
  <si>
    <t>user34@mail.com</t>
  </si>
  <si>
    <t>2024-11-08</t>
  </si>
  <si>
    <t>2025-01-02</t>
  </si>
  <si>
    <t>C0035</t>
  </si>
  <si>
    <t>01469540554</t>
  </si>
  <si>
    <t>user35@mail.com</t>
  </si>
  <si>
    <t>2024-07-01</t>
  </si>
  <si>
    <t>2024-12-02</t>
  </si>
  <si>
    <t>C0036</t>
  </si>
  <si>
    <t>01877737426</t>
  </si>
  <si>
    <t>user36@mail.com</t>
  </si>
  <si>
    <t>2025-07-16</t>
  </si>
  <si>
    <t>2025-11-22</t>
  </si>
  <si>
    <t>C0037</t>
  </si>
  <si>
    <t>01366917337</t>
  </si>
  <si>
    <t>user37@mail.com</t>
  </si>
  <si>
    <t>2025-10-23</t>
  </si>
  <si>
    <t>2026-05-25</t>
  </si>
  <si>
    <t>C0038</t>
  </si>
  <si>
    <t>01957607732</t>
  </si>
  <si>
    <t>user38@mail.com</t>
  </si>
  <si>
    <t>2025-02-11</t>
  </si>
  <si>
    <t>2025-11-27</t>
  </si>
  <si>
    <t>C0039</t>
  </si>
  <si>
    <t>01831579777</t>
  </si>
  <si>
    <t>user39@mail.com</t>
  </si>
  <si>
    <t>2025-10-16</t>
  </si>
  <si>
    <t>2026-02-09</t>
  </si>
  <si>
    <t>C0040</t>
  </si>
  <si>
    <t>01849424786</t>
  </si>
  <si>
    <t>user40@mail.com</t>
  </si>
  <si>
    <t>2026-02-13</t>
  </si>
  <si>
    <t>C0041</t>
  </si>
  <si>
    <t>01432332126</t>
  </si>
  <si>
    <t>user41@mail.com</t>
  </si>
  <si>
    <t>2024-06-18</t>
  </si>
  <si>
    <t>C0042</t>
  </si>
  <si>
    <t>Fahim</t>
  </si>
  <si>
    <t>01853036953</t>
  </si>
  <si>
    <t>user42@mail.com</t>
  </si>
  <si>
    <t>2025-05-21</t>
  </si>
  <si>
    <t>2025-12-09</t>
  </si>
  <si>
    <t>C0043</t>
  </si>
  <si>
    <t>01777878174</t>
  </si>
  <si>
    <t>user43@mail.com</t>
  </si>
  <si>
    <t>2024-09-30</t>
  </si>
  <si>
    <t>2024-11-12</t>
  </si>
  <si>
    <t>C0044</t>
  </si>
  <si>
    <t>01763062438</t>
  </si>
  <si>
    <t>user44@mail.com</t>
  </si>
  <si>
    <t>2025-09-29</t>
  </si>
  <si>
    <t>2026-06-06</t>
  </si>
  <si>
    <t>C0045</t>
  </si>
  <si>
    <t>01333080260</t>
  </si>
  <si>
    <t>user45@mail.com</t>
  </si>
  <si>
    <t>2024-07-13</t>
  </si>
  <si>
    <t>2025-04-10</t>
  </si>
  <si>
    <t>C0046</t>
  </si>
  <si>
    <t>01779314615</t>
  </si>
  <si>
    <t>user46@mail.com</t>
  </si>
  <si>
    <t>2024-10-06</t>
  </si>
  <si>
    <t>2025-03-15</t>
  </si>
  <si>
    <t>C0047</t>
  </si>
  <si>
    <t>01416113587</t>
  </si>
  <si>
    <t>2025-08-07</t>
  </si>
  <si>
    <t>2026-02-20</t>
  </si>
  <si>
    <t>C0048</t>
  </si>
  <si>
    <t>01769406834</t>
  </si>
  <si>
    <t>user48@mail.com</t>
  </si>
  <si>
    <t>2024-03-17</t>
  </si>
  <si>
    <t>2024-11-29</t>
  </si>
  <si>
    <t>C0049</t>
  </si>
  <si>
    <t>01664390545</t>
  </si>
  <si>
    <t>user49@mail.com</t>
  </si>
  <si>
    <t>2024-12-24</t>
  </si>
  <si>
    <t>2025-05-30</t>
  </si>
  <si>
    <t>C0050</t>
  </si>
  <si>
    <t>01945138857</t>
  </si>
  <si>
    <t>user50@mail.com</t>
  </si>
  <si>
    <t>2025-10-12</t>
  </si>
  <si>
    <t>2026-07-01</t>
  </si>
  <si>
    <t>C0051</t>
  </si>
  <si>
    <t>01922068246</t>
  </si>
  <si>
    <t>user51@mail.com</t>
  </si>
  <si>
    <t>2025-01-03</t>
  </si>
  <si>
    <t>2025-09-30</t>
  </si>
  <si>
    <t>C0052</t>
  </si>
  <si>
    <t>01737011818</t>
  </si>
  <si>
    <t>user52@mail.com</t>
  </si>
  <si>
    <t>2025-05-19</t>
  </si>
  <si>
    <t>2025-09-23</t>
  </si>
  <si>
    <t>C0053</t>
  </si>
  <si>
    <t>01626061938</t>
  </si>
  <si>
    <t>user53@mail.com</t>
  </si>
  <si>
    <t>2024-12-23</t>
  </si>
  <si>
    <t>2025-05-08</t>
  </si>
  <si>
    <t>C0054</t>
  </si>
  <si>
    <t>01374898099</t>
  </si>
  <si>
    <t>user54@mail.com</t>
  </si>
  <si>
    <t>C0055</t>
  </si>
  <si>
    <t>01524293279</t>
  </si>
  <si>
    <t>user55@mail.com</t>
  </si>
  <si>
    <t>2024-04-05</t>
  </si>
  <si>
    <t>2024-10-28</t>
  </si>
  <si>
    <t>C0056</t>
  </si>
  <si>
    <t>01480983056</t>
  </si>
  <si>
    <t>user56@mail.com</t>
  </si>
  <si>
    <t>2025-04-24</t>
  </si>
  <si>
    <t>2026-01-11</t>
  </si>
  <si>
    <t>C0057</t>
  </si>
  <si>
    <t>01578659453</t>
  </si>
  <si>
    <t>user57@mail.com</t>
  </si>
  <si>
    <t>2025-07-28</t>
  </si>
  <si>
    <t>2026-02-18</t>
  </si>
  <si>
    <t>C0058</t>
  </si>
  <si>
    <t>01566745915</t>
  </si>
  <si>
    <t>user58@mail.com</t>
  </si>
  <si>
    <t>2026-04-24</t>
  </si>
  <si>
    <t>C0059</t>
  </si>
  <si>
    <t>01793267899</t>
  </si>
  <si>
    <t>user59@mail.com</t>
  </si>
  <si>
    <t>2025-08-18</t>
  </si>
  <si>
    <t>2025-11-02</t>
  </si>
  <si>
    <t>C0060</t>
  </si>
  <si>
    <t>01373257350</t>
  </si>
  <si>
    <t>user60@mail.com</t>
  </si>
  <si>
    <t>2024-09-03</t>
  </si>
  <si>
    <t>2024-11-02</t>
  </si>
  <si>
    <t>C0061</t>
  </si>
  <si>
    <t>01532527155</t>
  </si>
  <si>
    <t>user61@mail.com</t>
  </si>
  <si>
    <t>2024-02-16</t>
  </si>
  <si>
    <t>2024-03-16</t>
  </si>
  <si>
    <t>C0062</t>
  </si>
  <si>
    <t>01729180779</t>
  </si>
  <si>
    <t>user62@mail.com</t>
  </si>
  <si>
    <t>2025-09-19</t>
  </si>
  <si>
    <t>C0063</t>
  </si>
  <si>
    <t>01922698045</t>
  </si>
  <si>
    <t>user63@mail.com</t>
  </si>
  <si>
    <t>2024-08-29</t>
  </si>
  <si>
    <t>2025-01-22</t>
  </si>
  <si>
    <t>C0064</t>
  </si>
  <si>
    <t>01305612892</t>
  </si>
  <si>
    <t>user64@mail.com</t>
  </si>
  <si>
    <t>2024-08-06</t>
  </si>
  <si>
    <t>2024-09-16</t>
  </si>
  <si>
    <t>C0065</t>
  </si>
  <si>
    <t>01715829908</t>
  </si>
  <si>
    <t>user65@mail.com</t>
  </si>
  <si>
    <t>2026-01-09</t>
  </si>
  <si>
    <t>C0066</t>
  </si>
  <si>
    <t>01876578541</t>
  </si>
  <si>
    <t>user66@mail.com</t>
  </si>
  <si>
    <t>2025-04-18</t>
  </si>
  <si>
    <t>2025-09-21</t>
  </si>
  <si>
    <t>C0067</t>
  </si>
  <si>
    <t>01984524389</t>
  </si>
  <si>
    <t>user67@mail.com</t>
  </si>
  <si>
    <t>2024-04-03</t>
  </si>
  <si>
    <t>C0068</t>
  </si>
  <si>
    <t>01931279675</t>
  </si>
  <si>
    <t>user68@mail.com</t>
  </si>
  <si>
    <t>2024-09-23</t>
  </si>
  <si>
    <t>2025-01-26</t>
  </si>
  <si>
    <t>C0069</t>
  </si>
  <si>
    <t>01514070124</t>
  </si>
  <si>
    <t>user69@mail.com</t>
  </si>
  <si>
    <t>2024-12-27</t>
  </si>
  <si>
    <t>2025-10-04</t>
  </si>
  <si>
    <t>C0070</t>
  </si>
  <si>
    <t>01518341656</t>
  </si>
  <si>
    <t>user70@mail.com</t>
  </si>
  <si>
    <t>2024-06-30</t>
  </si>
  <si>
    <t>2024-08-19</t>
  </si>
  <si>
    <t>C0071</t>
  </si>
  <si>
    <t>01343076308</t>
  </si>
  <si>
    <t>user71@mail.com</t>
  </si>
  <si>
    <t>C0072</t>
  </si>
  <si>
    <t>01397041135</t>
  </si>
  <si>
    <t>user72@mail.com</t>
  </si>
  <si>
    <t>2025-04-01</t>
  </si>
  <si>
    <t>C0073</t>
  </si>
  <si>
    <t>01425773891</t>
  </si>
  <si>
    <t>user73@mail.com</t>
  </si>
  <si>
    <t>2024-11-16</t>
  </si>
  <si>
    <t>C0074</t>
  </si>
  <si>
    <t>01412407809</t>
  </si>
  <si>
    <t>2024-12-12</t>
  </si>
  <si>
    <t>2025-08-30</t>
  </si>
  <si>
    <t>C0075</t>
  </si>
  <si>
    <t>user75@mail.com</t>
  </si>
  <si>
    <t>2025-02-02</t>
  </si>
  <si>
    <t>2025-10-27</t>
  </si>
  <si>
    <t>C0076</t>
  </si>
  <si>
    <t>01592776530</t>
  </si>
  <si>
    <t>user76@mail.com</t>
  </si>
  <si>
    <t>2025-03-03</t>
  </si>
  <si>
    <t>2025-08-03</t>
  </si>
  <si>
    <t>C0077</t>
  </si>
  <si>
    <t>01600231396</t>
  </si>
  <si>
    <t>user77@mail.com</t>
  </si>
  <si>
    <t>2024-12-01</t>
  </si>
  <si>
    <t>C0078</t>
  </si>
  <si>
    <t>01918050102</t>
  </si>
  <si>
    <t>user78@mail.com</t>
  </si>
  <si>
    <t>2024-06-11</t>
  </si>
  <si>
    <t>C0079</t>
  </si>
  <si>
    <t>01871368516</t>
  </si>
  <si>
    <t>user79@mail.com</t>
  </si>
  <si>
    <t>2024-11-10</t>
  </si>
  <si>
    <t>2025-07-06</t>
  </si>
  <si>
    <t>C0080</t>
  </si>
  <si>
    <t>01406539246</t>
  </si>
  <si>
    <t>user80@mail.com</t>
  </si>
  <si>
    <t>2024-04-25</t>
  </si>
  <si>
    <t>2024-07-29</t>
  </si>
  <si>
    <t>C0081</t>
  </si>
  <si>
    <t>01763952925</t>
  </si>
  <si>
    <t>user81@mail.com</t>
  </si>
  <si>
    <t>2024-03-15</t>
  </si>
  <si>
    <t>2024-07-05</t>
  </si>
  <si>
    <t>C0082</t>
  </si>
  <si>
    <t>01785539260</t>
  </si>
  <si>
    <t>user82@mail.com</t>
  </si>
  <si>
    <t>2024-07-24</t>
  </si>
  <si>
    <t>2025-04-03</t>
  </si>
  <si>
    <t>C0083</t>
  </si>
  <si>
    <t>01708791282</t>
  </si>
  <si>
    <t>user83@mail.com</t>
  </si>
  <si>
    <t>2025-02-21</t>
  </si>
  <si>
    <t>2025-06-05</t>
  </si>
  <si>
    <t>C0084</t>
  </si>
  <si>
    <t>01503753808</t>
  </si>
  <si>
    <t>user84@mail.com</t>
  </si>
  <si>
    <t>2024-02-11</t>
  </si>
  <si>
    <t>2024-08-10</t>
  </si>
  <si>
    <t>C0085</t>
  </si>
  <si>
    <t>01738409614</t>
  </si>
  <si>
    <t>user85@mail.com</t>
  </si>
  <si>
    <t>2025-06-22</t>
  </si>
  <si>
    <t>2026-01-19</t>
  </si>
  <si>
    <t>C0086</t>
  </si>
  <si>
    <t>01755457662</t>
  </si>
  <si>
    <t>user86@mail.com</t>
  </si>
  <si>
    <t>2025-07-17</t>
  </si>
  <si>
    <t>2025-10-09</t>
  </si>
  <si>
    <t>C0087</t>
  </si>
  <si>
    <t>01588702556</t>
  </si>
  <si>
    <t>user87@mail.com</t>
  </si>
  <si>
    <t>2024-04-02</t>
  </si>
  <si>
    <t>2024-05-19</t>
  </si>
  <si>
    <t>C0088</t>
  </si>
  <si>
    <t>01680637993</t>
  </si>
  <si>
    <t>user88@mail.com</t>
  </si>
  <si>
    <t>2025-02-01</t>
  </si>
  <si>
    <t>C0089</t>
  </si>
  <si>
    <t>01851676025</t>
  </si>
  <si>
    <t>user89@mail.com</t>
  </si>
  <si>
    <t>2024-05-10</t>
  </si>
  <si>
    <t>2024-10-05</t>
  </si>
  <si>
    <t>C0090</t>
  </si>
  <si>
    <t>01398115560</t>
  </si>
  <si>
    <t>user90@mail.com</t>
  </si>
  <si>
    <t>2024-08-08</t>
  </si>
  <si>
    <t>2025-04-17</t>
  </si>
  <si>
    <t>C0091</t>
  </si>
  <si>
    <t>01728562466</t>
  </si>
  <si>
    <t>user91@mail.com</t>
  </si>
  <si>
    <t>2024-12-05</t>
  </si>
  <si>
    <t>C0092</t>
  </si>
  <si>
    <t>01999639248</t>
  </si>
  <si>
    <t>user92@mail.com</t>
  </si>
  <si>
    <t>2025-07-01</t>
  </si>
  <si>
    <t>2026-02-03</t>
  </si>
  <si>
    <t>C0093</t>
  </si>
  <si>
    <t>01991781603</t>
  </si>
  <si>
    <t>user93@mail.com</t>
  </si>
  <si>
    <t>2024-07-02</t>
  </si>
  <si>
    <t>C0094</t>
  </si>
  <si>
    <t>01413633749</t>
  </si>
  <si>
    <t>user94@mail.com</t>
  </si>
  <si>
    <t>2025-02-06</t>
  </si>
  <si>
    <t>2025-04-07</t>
  </si>
  <si>
    <t>C0095</t>
  </si>
  <si>
    <t>01821811015</t>
  </si>
  <si>
    <t>user95@mail.com</t>
  </si>
  <si>
    <t>2026-02-22</t>
  </si>
  <si>
    <t>C0096</t>
  </si>
  <si>
    <t>01594811561</t>
  </si>
  <si>
    <t>user96@mail.com</t>
  </si>
  <si>
    <t>2024-11-03</t>
  </si>
  <si>
    <t>2024-12-25</t>
  </si>
  <si>
    <t>C0097</t>
  </si>
  <si>
    <t>01459831568</t>
  </si>
  <si>
    <t>user97@mail.com</t>
  </si>
  <si>
    <t>C0098</t>
  </si>
  <si>
    <t>01559483158</t>
  </si>
  <si>
    <t>user98@mail.com</t>
  </si>
  <si>
    <t>2024-08-07</t>
  </si>
  <si>
    <t>2025-04-20</t>
  </si>
  <si>
    <t>C0099</t>
  </si>
  <si>
    <t>01445027463</t>
  </si>
  <si>
    <t>user99@mail.com</t>
  </si>
  <si>
    <t>2024-02-29</t>
  </si>
  <si>
    <t>2024-11-14</t>
  </si>
  <si>
    <t>C0100</t>
  </si>
  <si>
    <t>01353720387</t>
  </si>
  <si>
    <t>user100@mail.com</t>
  </si>
  <si>
    <t>2024-09-19</t>
  </si>
  <si>
    <t>2025-01-13</t>
  </si>
  <si>
    <t>Name</t>
  </si>
  <si>
    <t>C001</t>
  </si>
  <si>
    <t>C002</t>
  </si>
  <si>
    <t>C003</t>
  </si>
  <si>
    <t>C004</t>
  </si>
  <si>
    <t>C005</t>
  </si>
  <si>
    <t>Rajshahi</t>
  </si>
  <si>
    <t>Net Banance</t>
  </si>
  <si>
    <t>Customer</t>
  </si>
  <si>
    <t>Interest Rate</t>
  </si>
  <si>
    <t>Interest 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</si>
  <si>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</si>
  <si>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</si>
  <si>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</si>
  <si>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</si>
  <si>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</si>
  <si>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</si>
  <si>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</si>
  <si>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</si>
  <si>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</si>
  <si>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</si>
  <si>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</si>
  <si>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</si>
  <si>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TRX0001</t>
  </si>
  <si>
    <t>TRX0002</t>
  </si>
  <si>
    <t>TRX0003</t>
  </si>
  <si>
    <t>TRX0004</t>
  </si>
  <si>
    <t>TRX0005</t>
  </si>
  <si>
    <t>TRX0006</t>
  </si>
  <si>
    <t>TRX0007</t>
  </si>
  <si>
    <t>TRX0008</t>
  </si>
  <si>
    <t>TRX0009</t>
  </si>
  <si>
    <t>TRX0010</t>
  </si>
  <si>
    <t>TRX0011</t>
  </si>
  <si>
    <t>TRX0012</t>
  </si>
  <si>
    <t>Rahim Ahmed</t>
  </si>
  <si>
    <t>Karim Islam</t>
  </si>
  <si>
    <t>Hasan Ali</t>
  </si>
  <si>
    <t>fulname</t>
  </si>
  <si>
    <t>rahim</t>
  </si>
  <si>
    <t>karim</t>
  </si>
  <si>
    <t>hasan</t>
  </si>
  <si>
    <t>first_name</t>
  </si>
  <si>
    <t>last name</t>
  </si>
  <si>
    <t>Flash Fill</t>
  </si>
  <si>
    <t>Banking Customer Transaction Report</t>
  </si>
  <si>
    <t>01426614243</t>
  </si>
  <si>
    <t>01426614244</t>
  </si>
  <si>
    <t>01426614245</t>
  </si>
  <si>
    <t>01426614246</t>
  </si>
  <si>
    <t>01426614247</t>
  </si>
  <si>
    <t>Net Balance</t>
  </si>
  <si>
    <t>Loan Status</t>
  </si>
  <si>
    <t>Remarks</t>
  </si>
  <si>
    <t>Column</t>
  </si>
  <si>
    <t>Missing Count</t>
  </si>
  <si>
    <t>01426614248</t>
  </si>
  <si>
    <t>01426614249</t>
  </si>
  <si>
    <t>01426614250</t>
  </si>
  <si>
    <t>01426614251</t>
  </si>
  <si>
    <t>01426614252</t>
  </si>
  <si>
    <t>01426614253</t>
  </si>
  <si>
    <t>01426614254</t>
  </si>
  <si>
    <t>01426614255</t>
  </si>
  <si>
    <t>01426614256</t>
  </si>
  <si>
    <t>01426614257</t>
  </si>
  <si>
    <t>01426614258</t>
  </si>
  <si>
    <t>Severity</t>
  </si>
  <si>
    <t>Action</t>
  </si>
  <si>
    <t>🟢 None</t>
  </si>
  <si>
    <t>No action required</t>
  </si>
  <si>
    <t>🟡 Medium</t>
  </si>
  <si>
    <t>Investigate, fill from source if available</t>
  </si>
  <si>
    <t>Verify from customer records; keep blank if unavailable</t>
  </si>
  <si>
    <t>🟢 Low</t>
  </si>
  <si>
    <t>Keep blank or collect later (depends on business need)</t>
  </si>
  <si>
    <t>🔴 High</t>
  </si>
  <si>
    <t>Validate and update from source system</t>
  </si>
  <si>
    <t>Standardize and fill from Branch/Address data if possible</t>
  </si>
  <si>
    <t>Investigate and update (Savings/Current is critical)</t>
  </si>
  <si>
    <t>Validate from core banking system before analysis</t>
  </si>
  <si>
    <t>Retrieve from transaction records; required for reporting</t>
  </si>
  <si>
    <t>Verify from source; never assume or guess financial values</t>
  </si>
  <si>
    <t>Validate from loan system; do not estimate</t>
  </si>
  <si>
    <t>Retrieve from credit bureau/source if required; otherwise mark as unavailable</t>
  </si>
  <si>
    <t>Verify whether customer is Active/Inactive before reporting</t>
  </si>
  <si>
    <t>Row No</t>
  </si>
  <si>
    <t>Issue</t>
  </si>
  <si>
    <t>Low</t>
  </si>
  <si>
    <t>Keep Blank</t>
  </si>
  <si>
    <t>High</t>
  </si>
  <si>
    <t>Investigate</t>
  </si>
  <si>
    <t>Medium</t>
  </si>
  <si>
    <t>01426614259</t>
  </si>
  <si>
    <t>01426614260</t>
  </si>
  <si>
    <t>01426614261</t>
  </si>
  <si>
    <t>01426614262</t>
  </si>
  <si>
    <t>01426614263</t>
  </si>
  <si>
    <t>01426614264</t>
  </si>
  <si>
    <t>01426614265</t>
  </si>
  <si>
    <t>01426614266</t>
  </si>
  <si>
    <t>01426614267</t>
  </si>
  <si>
    <t>01426614268</t>
  </si>
  <si>
    <t>01426614269</t>
  </si>
  <si>
    <t>01426614270</t>
  </si>
  <si>
    <t>01426614271</t>
  </si>
  <si>
    <t>01426614272</t>
  </si>
  <si>
    <t>01426614273</t>
  </si>
  <si>
    <t>01426614274</t>
  </si>
  <si>
    <t>01426614275</t>
  </si>
  <si>
    <t>01426614276</t>
  </si>
  <si>
    <t>01426614277</t>
  </si>
  <si>
    <t>01426614278</t>
  </si>
  <si>
    <t>01426614279</t>
  </si>
  <si>
    <t>01426614280</t>
  </si>
  <si>
    <t>01426614281</t>
  </si>
  <si>
    <t>01426614282</t>
  </si>
  <si>
    <t>01426614283</t>
  </si>
  <si>
    <t>01426614284</t>
  </si>
  <si>
    <t>01426614285</t>
  </si>
  <si>
    <t>01426614286</t>
  </si>
  <si>
    <t>01426614287</t>
  </si>
  <si>
    <t>01426614288</t>
  </si>
  <si>
    <t>01426614289</t>
  </si>
  <si>
    <t>01426614290</t>
  </si>
  <si>
    <t>01426614291</t>
  </si>
  <si>
    <t>01426614292</t>
  </si>
  <si>
    <t>01426614293</t>
  </si>
  <si>
    <t>01426614294</t>
  </si>
  <si>
    <t>01426614295</t>
  </si>
  <si>
    <t>01426614296</t>
  </si>
  <si>
    <t>01426614297</t>
  </si>
  <si>
    <t>01426614298</t>
  </si>
  <si>
    <t>01426614299</t>
  </si>
  <si>
    <t>01426614300</t>
  </si>
  <si>
    <t>01426614301</t>
  </si>
  <si>
    <t>01426614302</t>
  </si>
  <si>
    <t>01426614303</t>
  </si>
  <si>
    <t>01426614304</t>
  </si>
  <si>
    <t>01426614305</t>
  </si>
  <si>
    <t>01426614306</t>
  </si>
  <si>
    <t>01426614307</t>
  </si>
  <si>
    <t>01426614308</t>
  </si>
  <si>
    <t>01426614309</t>
  </si>
  <si>
    <t>01426614310</t>
  </si>
  <si>
    <t>01426614311</t>
  </si>
  <si>
    <t>01426614312</t>
  </si>
  <si>
    <t>01426614313</t>
  </si>
  <si>
    <t>01426614314</t>
  </si>
  <si>
    <t>01426614315</t>
  </si>
  <si>
    <t>01426614316</t>
  </si>
  <si>
    <t>01426614317</t>
  </si>
  <si>
    <t>01426614318</t>
  </si>
  <si>
    <t>01426614319</t>
  </si>
  <si>
    <t>01426614320</t>
  </si>
  <si>
    <t>01426614321</t>
  </si>
  <si>
    <t>01426614322</t>
  </si>
  <si>
    <t>01426614323</t>
  </si>
  <si>
    <t>01426614324</t>
  </si>
  <si>
    <t>48,75</t>
  </si>
  <si>
    <t>66,70</t>
  </si>
  <si>
    <t>49,59</t>
  </si>
  <si>
    <t>55,72,96</t>
  </si>
  <si>
    <t>55,72</t>
  </si>
  <si>
    <t>22,74</t>
  </si>
  <si>
    <t>12,53</t>
  </si>
  <si>
    <t>14,23,88</t>
  </si>
  <si>
    <t>28,55,93</t>
  </si>
  <si>
    <t>Missing Value</t>
  </si>
  <si>
    <t>Open</t>
  </si>
  <si>
    <t>Validate</t>
  </si>
  <si>
    <t>Verify</t>
  </si>
  <si>
    <t>Pending</t>
  </si>
  <si>
    <t>Closed</t>
  </si>
  <si>
    <t>Investigate and update from source</t>
  </si>
  <si>
    <t>Verify customer records</t>
  </si>
  <si>
    <t>Keep blank or collect later</t>
  </si>
  <si>
    <t>Validate from source</t>
  </si>
  <si>
    <t>Fill if reliable source available</t>
  </si>
  <si>
    <t>Update from banking system</t>
  </si>
  <si>
    <t>Validate from CBS</t>
  </si>
  <si>
    <t>Retrieve transaction record</t>
  </si>
  <si>
    <t>Verify financial records</t>
  </si>
  <si>
    <t>Validate from loan system</t>
  </si>
  <si>
    <t>Retrieve from credit bureau</t>
  </si>
  <si>
    <t>Verify Active/Inactive status</t>
  </si>
  <si>
    <t>Len_first</t>
  </si>
  <si>
    <t>Trim</t>
  </si>
  <si>
    <t>Len_phone</t>
  </si>
  <si>
    <t>Proper</t>
  </si>
  <si>
    <t>Upper</t>
  </si>
  <si>
    <t>Lower</t>
  </si>
  <si>
    <t>"dhaka"</t>
  </si>
  <si>
    <t>"KARIM@GMAIL.COM"</t>
  </si>
  <si>
    <t>" AlI "</t>
  </si>
  <si>
    <t>"   karim   "</t>
  </si>
  <si>
    <t>LEFT</t>
  </si>
  <si>
    <t>Right</t>
  </si>
  <si>
    <t>MID</t>
  </si>
  <si>
    <t>SUBSTITUTE</t>
  </si>
  <si>
    <t>CONCAT</t>
  </si>
  <si>
    <t>Year</t>
  </si>
  <si>
    <t>Month</t>
  </si>
  <si>
    <t>Day</t>
  </si>
  <si>
    <t>DATE</t>
  </si>
  <si>
    <t>TEXT date</t>
  </si>
  <si>
    <t>TODAY</t>
  </si>
  <si>
    <t>TEXT</t>
  </si>
  <si>
    <t xml:space="preserve">IF </t>
  </si>
  <si>
    <t>IFS</t>
  </si>
  <si>
    <t>SUM</t>
  </si>
  <si>
    <t>Total Deposit</t>
  </si>
  <si>
    <t>Total withdrawal</t>
  </si>
  <si>
    <t>Total Loan</t>
  </si>
  <si>
    <t>Saving Account</t>
  </si>
  <si>
    <t>sum If</t>
  </si>
  <si>
    <t>SUMIFS</t>
  </si>
  <si>
    <t>Highest Deposit</t>
  </si>
  <si>
    <t>Largest Loan</t>
  </si>
  <si>
    <t>Maximum Withdrawal</t>
  </si>
  <si>
    <t>MAX</t>
  </si>
  <si>
    <t>Lowest Deposit</t>
  </si>
  <si>
    <t>Smallest Loan</t>
  </si>
  <si>
    <t>Minimum Withdrawal</t>
  </si>
  <si>
    <t>MIN</t>
  </si>
  <si>
    <t>AVG Deposit</t>
  </si>
  <si>
    <t>AVGt Loan</t>
  </si>
  <si>
    <t>AVGWithdrawal</t>
  </si>
  <si>
    <t>Average</t>
  </si>
  <si>
    <t>COUNT</t>
  </si>
  <si>
    <t>Total Customers</t>
  </si>
  <si>
    <t>Total saving Account</t>
  </si>
  <si>
    <t>Total saving Account in Dhaka</t>
  </si>
  <si>
    <t>Total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</si>
</sst>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yyyy\-mm\-dd;@"/>
    <numFmt numFmtId="172" formatCode="[$-409]d\-mmm\-yyyy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mbria"/>
      <family val="1"/>
      <scheme val="major"/>
    </font>
    <font>
      <sz val="16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2" fontId="0" fillId="0" borderId="1" xfId="0" applyNumberFormat="1" applyBorder="1" applyAlignment="1">
      <alignment horizontal="left" vertical="top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/>
    <xf numFmtId="9" fontId="2" fillId="0" borderId="0" xfId="1" applyFont="1"/>
    <xf numFmtId="9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15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right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top"/>
    </xf>
    <xf numFmtId="15" fontId="0" fillId="0" borderId="6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7" fillId="0" borderId="0" xfId="0" applyFont="1" applyAlignment="1">
      <alignment vertical="center" wrapText="1"/>
    </xf>
    <xf numFmtId="0" fontId="0" fillId="8" borderId="0" xfId="0" applyFill="1"/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/>
    <xf numFmtId="170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right"/>
    </xf>
    <xf numFmtId="17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2">
    <cellStyle name="Normal" xfId="0" builtinId="0"/>
    <cellStyle name="Percent" xfId="1" builtinId="5"/>
  </cellStyles>
  <dxfs count="15"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mbria"/>
        <family val="1"/>
        <scheme val="maj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4AE966-0F54-4CC6-B003-7441616760E8}" name="Table4" displayName="Table4" ref="A2:K16" totalsRowShown="0" headerRowDxfId="14" dataDxfId="12" headerRowBorderDxfId="13" tableBorderDxfId="11">
  <autoFilter ref="A2:K16" xr:uid="{F34AE966-0F54-4CC6-B003-7441616760E8}"/>
  <sortState xmlns:xlrd2="http://schemas.microsoft.com/office/spreadsheetml/2017/richdata2" ref="A3:H16">
    <sortCondition ref="A2:A16"/>
  </sortState>
  <tableColumns count="11">
    <tableColumn id="1" xr3:uid="{08E36F92-57AD-4F37-B9B6-9A62C3FF55B0}" name="Customer_ID" dataDxfId="10"/>
    <tableColumn id="2" xr3:uid="{B64C7DA3-AAD4-4987-93B7-E718A4898E13}" name="First_Name" dataDxfId="9"/>
    <tableColumn id="3" xr3:uid="{BFF647AE-2BA4-4772-9217-3E6F701E9095}" name="Last_Name" dataDxfId="8"/>
    <tableColumn id="4" xr3:uid="{A168C3F8-02A9-4227-8439-E9A20FD3D0A0}" name="Phone" dataDxfId="7"/>
    <tableColumn id="5" xr3:uid="{5DEBB425-C823-4F64-B5AC-4E817D44EFDC}" name="Transaction_Date" dataDxfId="6"/>
    <tableColumn id="6" xr3:uid="{F5D11BDC-35CA-4D77-B3CE-2CEC7BE2A43B}" name="Deposit" dataDxfId="5"/>
    <tableColumn id="7" xr3:uid="{FC3F7309-1A53-47EC-97EA-95D53A2666E0}" name="Withdrawal" dataDxfId="4"/>
    <tableColumn id="8" xr3:uid="{C2F58DCD-C603-4B87-B3AC-5A92F8755154}" name="Loan_Amount" dataDxfId="3"/>
    <tableColumn id="9" xr3:uid="{B72ED315-4834-4A1D-B2FF-9D5898C35F2A}" name="Net Balance" dataDxfId="2"/>
    <tableColumn id="10" xr3:uid="{A3DD59B8-DE66-46B8-AD9C-7B310543C1E5}" name="Loan Status" dataDxfId="1"/>
    <tableColumn id="11" xr3:uid="{49408526-DA07-45E2-BA74-B8AA0CFB9521}" name="Remarks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E5C848-1398-46A3-B61D-980B88084ADC}" name="Table6" displayName="Table6" ref="A1:O101" totalsRowShown="0">
  <autoFilter ref="A1:O101" xr:uid="{DEE5C848-1398-46A3-B61D-980B88084ADC}"/>
  <tableColumns count="15">
    <tableColumn id="1" xr3:uid="{3AD2E945-4323-4E01-92E7-2F99F70CBAE2}" name="Customer_ID"/>
    <tableColumn id="2" xr3:uid="{4B8DAA0F-73B3-4CCE-BC66-3317F13B4754}" name="First_Name"/>
    <tableColumn id="3" xr3:uid="{E5E5774F-FB20-467A-811C-DAB43B2B8472}" name="Last_Name"/>
    <tableColumn id="4" xr3:uid="{B3D2542D-D81B-4677-8734-25F1E0E75E0F}" name="Phone"/>
    <tableColumn id="5" xr3:uid="{2CA740F6-FE18-43C9-BB65-525C17F1843A}" name="Email"/>
    <tableColumn id="6" xr3:uid="{D905E2DD-5721-45BC-BBC4-2FCDFE64A3D9}" name="Branch"/>
    <tableColumn id="7" xr3:uid="{79327013-45BD-4A11-B7F8-60F1CF344756}" name="City"/>
    <tableColumn id="8" xr3:uid="{781B2079-D434-42B1-87A7-B7F5AE6F2216}" name="Account_Type"/>
    <tableColumn id="9" xr3:uid="{F690E89D-46C2-4C24-85C8-E1FAA240DF31}" name="Open_Date"/>
    <tableColumn id="10" xr3:uid="{5912CA26-FB05-4E9F-8A29-A6A4529A8079}" name="Transaction_Date"/>
    <tableColumn id="11" xr3:uid="{9354F504-DD9B-4AD9-B454-172F904BE5AD}" name="Deposit"/>
    <tableColumn id="12" xr3:uid="{70B2E6E9-3EE9-4B72-B55B-BA0673D0C723}" name="Withdrawal"/>
    <tableColumn id="13" xr3:uid="{9DBD7355-2EA9-4136-8CBE-22A66D403AAB}" name="Loan_Amount"/>
    <tableColumn id="14" xr3:uid="{6A9FC122-B24F-42B2-947F-37882434089E}" name="Credit_Score"/>
    <tableColumn id="15" xr3:uid="{69506A76-69C5-47D5-A531-1C6D1512342D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F787A-CBD4-4AF7-B1DB-083FF82BBFC3}">
  <dimension ref="A1:N20"/>
  <sheetViews>
    <sheetView workbookViewId="0">
      <selection activeCell="F24" sqref="F24"/>
    </sheetView>
  </sheetViews>
  <sheetFormatPr defaultRowHeight="15"/>
  <cols>
    <col min="1" max="1" width="12.42578125" bestFit="1" customWidth="1"/>
    <col min="2" max="2" width="6.7109375" bestFit="1" customWidth="1"/>
    <col min="3" max="3" width="11.28515625" bestFit="1" customWidth="1"/>
    <col min="4" max="4" width="8.5703125" bestFit="1" customWidth="1"/>
    <col min="5" max="5" width="13.5703125" bestFit="1" customWidth="1"/>
    <col min="6" max="6" width="10.5703125" bestFit="1" customWidth="1"/>
    <col min="7" max="7" width="11.42578125" bestFit="1" customWidth="1"/>
    <col min="8" max="8" width="12.140625" bestFit="1" customWidth="1"/>
    <col min="9" max="9" width="5" bestFit="1" customWidth="1"/>
    <col min="11" max="11" width="9.7109375" customWidth="1"/>
    <col min="12" max="12" width="7.85546875" bestFit="1" customWidth="1"/>
    <col min="13" max="13" width="13.140625" customWidth="1"/>
    <col min="14" max="14" width="16.140625" customWidth="1"/>
  </cols>
  <sheetData>
    <row r="1" spans="1:14">
      <c r="A1" s="4" t="s">
        <v>0</v>
      </c>
      <c r="B1" s="4" t="s">
        <v>517</v>
      </c>
      <c r="C1" s="4" t="s">
        <v>5</v>
      </c>
      <c r="D1" s="4" t="s">
        <v>10</v>
      </c>
      <c r="F1" s="8" t="s">
        <v>10</v>
      </c>
      <c r="G1" s="8" t="s">
        <v>11</v>
      </c>
      <c r="H1" s="9" t="s">
        <v>524</v>
      </c>
      <c r="I1" s="10">
        <v>0.15</v>
      </c>
      <c r="K1" s="1" t="s">
        <v>525</v>
      </c>
      <c r="L1" s="8" t="s">
        <v>10</v>
      </c>
      <c r="M1" s="8" t="s">
        <v>526</v>
      </c>
      <c r="N1" s="3" t="s">
        <v>527</v>
      </c>
    </row>
    <row r="2" spans="1:14">
      <c r="A2" s="5" t="s">
        <v>518</v>
      </c>
      <c r="B2" s="5" t="s">
        <v>35</v>
      </c>
      <c r="C2" s="5" t="s">
        <v>30</v>
      </c>
      <c r="D2" s="6">
        <v>25000</v>
      </c>
      <c r="F2" s="7">
        <v>50000</v>
      </c>
      <c r="G2" s="7">
        <v>12000</v>
      </c>
      <c r="H2">
        <f>F2-G2</f>
        <v>38000</v>
      </c>
      <c r="I2">
        <f>H2*$I$1</f>
        <v>5700</v>
      </c>
      <c r="K2" s="2" t="s">
        <v>35</v>
      </c>
      <c r="L2" s="7">
        <v>50000</v>
      </c>
      <c r="M2" s="11">
        <v>0.1</v>
      </c>
      <c r="N2" s="7">
        <f>L2*$M$2</f>
        <v>5000</v>
      </c>
    </row>
    <row r="3" spans="1:14">
      <c r="A3" s="5" t="s">
        <v>519</v>
      </c>
      <c r="B3" s="5" t="s">
        <v>16</v>
      </c>
      <c r="C3" s="5" t="s">
        <v>39</v>
      </c>
      <c r="D3" s="6">
        <v>35000</v>
      </c>
      <c r="F3" s="7">
        <v>45000</v>
      </c>
      <c r="G3" s="7">
        <v>8000</v>
      </c>
      <c r="H3">
        <f t="shared" ref="H3:H6" si="0">F3-G3</f>
        <v>37000</v>
      </c>
      <c r="I3">
        <f t="shared" ref="I3:I6" si="1">H3*$I$1</f>
        <v>5550</v>
      </c>
      <c r="K3" s="2" t="s">
        <v>16</v>
      </c>
      <c r="L3" s="7">
        <v>70000</v>
      </c>
      <c r="M3" s="11"/>
      <c r="N3" s="7">
        <f t="shared" ref="N3:N6" si="2">L3*$M$2</f>
        <v>7000</v>
      </c>
    </row>
    <row r="4" spans="1:14">
      <c r="A4" s="5" t="s">
        <v>520</v>
      </c>
      <c r="B4" s="5" t="s">
        <v>43</v>
      </c>
      <c r="C4" s="5" t="s">
        <v>20</v>
      </c>
      <c r="D4" s="6">
        <v>45000</v>
      </c>
      <c r="F4" s="7">
        <v>70000</v>
      </c>
      <c r="G4" s="7">
        <v>15000</v>
      </c>
      <c r="H4">
        <f t="shared" si="0"/>
        <v>55000</v>
      </c>
      <c r="I4">
        <f t="shared" si="1"/>
        <v>8250</v>
      </c>
      <c r="K4" s="2" t="s">
        <v>175</v>
      </c>
      <c r="L4" s="7">
        <v>35000</v>
      </c>
      <c r="M4" s="11"/>
      <c r="N4" s="7">
        <f t="shared" si="2"/>
        <v>3500</v>
      </c>
    </row>
    <row r="5" spans="1:14">
      <c r="A5" s="5" t="s">
        <v>521</v>
      </c>
      <c r="B5" s="5" t="s">
        <v>175</v>
      </c>
      <c r="C5" s="5" t="s">
        <v>68</v>
      </c>
      <c r="D5" s="6">
        <v>22000</v>
      </c>
      <c r="F5" s="7">
        <v>35000</v>
      </c>
      <c r="G5" s="7">
        <v>5000</v>
      </c>
      <c r="H5">
        <f t="shared" si="0"/>
        <v>30000</v>
      </c>
      <c r="I5">
        <f t="shared" si="1"/>
        <v>4500</v>
      </c>
      <c r="K5" s="2" t="s">
        <v>26</v>
      </c>
      <c r="L5" s="7">
        <v>90000</v>
      </c>
      <c r="M5" s="11"/>
      <c r="N5" s="7">
        <f t="shared" si="2"/>
        <v>9000</v>
      </c>
    </row>
    <row r="6" spans="1:14">
      <c r="A6" s="5" t="s">
        <v>522</v>
      </c>
      <c r="B6" s="5" t="s">
        <v>26</v>
      </c>
      <c r="C6" s="5" t="s">
        <v>523</v>
      </c>
      <c r="D6" s="6">
        <v>51000</v>
      </c>
      <c r="F6" s="7">
        <v>80000</v>
      </c>
      <c r="G6" s="7">
        <v>17000</v>
      </c>
      <c r="H6">
        <f t="shared" si="0"/>
        <v>63000</v>
      </c>
      <c r="I6">
        <f t="shared" si="1"/>
        <v>9450</v>
      </c>
      <c r="K6" s="2" t="s">
        <v>43</v>
      </c>
      <c r="L6" s="7">
        <v>60000</v>
      </c>
      <c r="M6" s="11"/>
      <c r="N6" s="7">
        <f t="shared" si="2"/>
        <v>6000</v>
      </c>
    </row>
    <row r="8" spans="1:14">
      <c r="E8" s="41" t="s">
        <v>561</v>
      </c>
      <c r="F8" s="41"/>
      <c r="G8" s="41"/>
    </row>
    <row r="9" spans="1:14">
      <c r="A9" s="12" t="s">
        <v>528</v>
      </c>
      <c r="B9" s="14">
        <v>1</v>
      </c>
      <c r="C9" t="s">
        <v>540</v>
      </c>
      <c r="E9" t="s">
        <v>555</v>
      </c>
      <c r="F9" t="s">
        <v>559</v>
      </c>
      <c r="G9" t="s">
        <v>560</v>
      </c>
    </row>
    <row r="10" spans="1:14">
      <c r="A10" s="12" t="s">
        <v>529</v>
      </c>
      <c r="B10" s="14">
        <v>2</v>
      </c>
      <c r="C10" t="s">
        <v>541</v>
      </c>
      <c r="E10" t="s">
        <v>552</v>
      </c>
      <c r="F10" t="s">
        <v>556</v>
      </c>
      <c r="G10" t="s">
        <v>58</v>
      </c>
    </row>
    <row r="11" spans="1:14">
      <c r="A11" s="12" t="s">
        <v>530</v>
      </c>
      <c r="B11" s="14">
        <v>3</v>
      </c>
      <c r="C11" t="s">
        <v>542</v>
      </c>
      <c r="E11" t="s">
        <v>553</v>
      </c>
      <c r="F11" t="s">
        <v>557</v>
      </c>
      <c r="G11" t="s">
        <v>65</v>
      </c>
    </row>
    <row r="12" spans="1:14">
      <c r="A12" s="12" t="s">
        <v>531</v>
      </c>
      <c r="B12" s="14">
        <v>4</v>
      </c>
      <c r="C12" t="s">
        <v>543</v>
      </c>
      <c r="E12" t="s">
        <v>554</v>
      </c>
      <c r="F12" t="s">
        <v>558</v>
      </c>
      <c r="G12" t="s">
        <v>17</v>
      </c>
    </row>
    <row r="13" spans="1:14">
      <c r="A13" s="12" t="s">
        <v>532</v>
      </c>
      <c r="B13" s="14">
        <v>5</v>
      </c>
      <c r="C13" t="s">
        <v>544</v>
      </c>
    </row>
    <row r="14" spans="1:14">
      <c r="A14" s="12" t="s">
        <v>533</v>
      </c>
      <c r="B14" s="14">
        <v>6</v>
      </c>
      <c r="C14" t="s">
        <v>545</v>
      </c>
    </row>
    <row r="15" spans="1:14">
      <c r="A15" s="12" t="s">
        <v>534</v>
      </c>
      <c r="B15" s="14">
        <v>7</v>
      </c>
      <c r="C15" t="s">
        <v>546</v>
      </c>
    </row>
    <row r="16" spans="1:14">
      <c r="A16" s="12" t="s">
        <v>535</v>
      </c>
      <c r="B16" s="14">
        <v>8</v>
      </c>
      <c r="C16" t="s">
        <v>547</v>
      </c>
    </row>
    <row r="17" spans="1:3">
      <c r="A17" s="12" t="s">
        <v>536</v>
      </c>
      <c r="B17" s="14">
        <v>9</v>
      </c>
      <c r="C17" t="s">
        <v>548</v>
      </c>
    </row>
    <row r="18" spans="1:3">
      <c r="A18" s="12" t="s">
        <v>537</v>
      </c>
      <c r="B18" s="14">
        <v>10</v>
      </c>
      <c r="C18" t="s">
        <v>549</v>
      </c>
    </row>
    <row r="19" spans="1:3">
      <c r="A19" s="12" t="s">
        <v>538</v>
      </c>
      <c r="B19" s="14">
        <v>11</v>
      </c>
      <c r="C19" t="s">
        <v>550</v>
      </c>
    </row>
    <row r="20" spans="1:3">
      <c r="A20" s="12" t="s">
        <v>539</v>
      </c>
      <c r="B20" s="14">
        <v>12</v>
      </c>
      <c r="C20" t="s">
        <v>551</v>
      </c>
    </row>
  </sheetData>
  <mergeCells count="1">
    <mergeCell ref="E8:G8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64BA-E4D5-49EE-8225-AD2C32FC9467}">
  <dimension ref="A1:K17"/>
  <sheetViews>
    <sheetView workbookViewId="0">
      <pane ySplit="4" topLeftCell="A5" activePane="bottomLeft" state="frozen"/>
      <selection pane="bottomLeft" activeCell="E29" sqref="E29"/>
    </sheetView>
  </sheetViews>
  <sheetFormatPr defaultRowHeight="15"/>
  <cols>
    <col min="1" max="1" width="19.28515625" bestFit="1" customWidth="1"/>
    <col min="2" max="2" width="17.5703125" bestFit="1" customWidth="1"/>
    <col min="3" max="3" width="17.140625" bestFit="1" customWidth="1"/>
    <col min="4" max="4" width="12.5703125" style="13" bestFit="1" customWidth="1"/>
    <col min="5" max="5" width="24.7109375" style="13" bestFit="1" customWidth="1"/>
    <col min="6" max="6" width="13.85546875" style="16" bestFit="1" customWidth="1"/>
    <col min="7" max="7" width="18.7109375" style="16" bestFit="1" customWidth="1"/>
    <col min="8" max="8" width="20.5703125" style="16" bestFit="1" customWidth="1"/>
    <col min="9" max="9" width="18.5703125" bestFit="1" customWidth="1"/>
    <col min="10" max="10" width="18.42578125" bestFit="1" customWidth="1"/>
    <col min="11" max="11" width="15.140625" bestFit="1" customWidth="1"/>
  </cols>
  <sheetData>
    <row r="1" spans="1:11" ht="21">
      <c r="A1" s="42" t="s">
        <v>562</v>
      </c>
      <c r="B1" s="43"/>
      <c r="C1" s="43"/>
      <c r="D1" s="43"/>
      <c r="E1" s="43"/>
      <c r="F1" s="43"/>
      <c r="G1" s="43"/>
      <c r="H1" s="43"/>
    </row>
    <row r="2" spans="1:11" s="13" customFormat="1" ht="24.95" customHeight="1" thickBot="1">
      <c r="A2" s="25" t="s">
        <v>0</v>
      </c>
      <c r="B2" s="26" t="s">
        <v>1</v>
      </c>
      <c r="C2" s="26" t="s">
        <v>2</v>
      </c>
      <c r="D2" s="26" t="s">
        <v>3</v>
      </c>
      <c r="E2" s="26" t="s">
        <v>9</v>
      </c>
      <c r="F2" s="26" t="s">
        <v>10</v>
      </c>
      <c r="G2" s="26" t="s">
        <v>11</v>
      </c>
      <c r="H2" s="27" t="s">
        <v>12</v>
      </c>
      <c r="I2" s="26" t="s">
        <v>568</v>
      </c>
      <c r="J2" s="26" t="s">
        <v>569</v>
      </c>
      <c r="K2" s="26" t="s">
        <v>570</v>
      </c>
    </row>
    <row r="3" spans="1:11">
      <c r="A3" s="21" t="s">
        <v>15</v>
      </c>
      <c r="B3" s="22" t="s">
        <v>16</v>
      </c>
      <c r="C3" s="22" t="s">
        <v>17</v>
      </c>
      <c r="D3" s="21" t="s">
        <v>18</v>
      </c>
      <c r="E3" s="23">
        <v>45721</v>
      </c>
      <c r="F3" s="24">
        <v>95405</v>
      </c>
      <c r="G3" s="24">
        <v>13439</v>
      </c>
      <c r="H3" s="24">
        <v>463518</v>
      </c>
      <c r="I3" s="24"/>
      <c r="J3" s="24"/>
      <c r="K3" s="24"/>
    </row>
    <row r="4" spans="1:11">
      <c r="A4" s="17" t="s">
        <v>25</v>
      </c>
      <c r="B4" s="18" t="s">
        <v>26</v>
      </c>
      <c r="C4" s="18" t="s">
        <v>27</v>
      </c>
      <c r="D4" s="17" t="s">
        <v>28</v>
      </c>
      <c r="E4" s="19">
        <v>45745</v>
      </c>
      <c r="F4" s="20">
        <v>39984</v>
      </c>
      <c r="G4" s="20">
        <v>20370</v>
      </c>
      <c r="H4" s="20">
        <v>103596</v>
      </c>
      <c r="I4" s="20"/>
      <c r="J4" s="20"/>
      <c r="K4" s="20"/>
    </row>
    <row r="5" spans="1:11">
      <c r="A5" s="17" t="s">
        <v>34</v>
      </c>
      <c r="B5" s="18" t="s">
        <v>35</v>
      </c>
      <c r="C5" s="18" t="s">
        <v>36</v>
      </c>
      <c r="D5" s="17" t="s">
        <v>37</v>
      </c>
      <c r="E5" s="19">
        <v>45769</v>
      </c>
      <c r="F5" s="20">
        <v>13806</v>
      </c>
      <c r="G5" s="20">
        <v>18289</v>
      </c>
      <c r="H5" s="20">
        <v>166230</v>
      </c>
      <c r="I5" s="20"/>
      <c r="J5" s="20"/>
      <c r="K5" s="20"/>
    </row>
    <row r="6" spans="1:11">
      <c r="A6" s="17" t="s">
        <v>42</v>
      </c>
      <c r="B6" s="18" t="s">
        <v>43</v>
      </c>
      <c r="C6" s="18" t="s">
        <v>44</v>
      </c>
      <c r="D6" s="17" t="s">
        <v>45</v>
      </c>
      <c r="E6" s="19">
        <v>45793</v>
      </c>
      <c r="F6" s="20">
        <v>12816</v>
      </c>
      <c r="G6" s="20">
        <v>14637</v>
      </c>
      <c r="H6" s="20">
        <v>489132</v>
      </c>
      <c r="I6" s="20"/>
      <c r="J6" s="20"/>
      <c r="K6" s="20"/>
    </row>
    <row r="7" spans="1:11">
      <c r="A7" s="17" t="s">
        <v>49</v>
      </c>
      <c r="B7" s="18" t="s">
        <v>16</v>
      </c>
      <c r="C7" s="18" t="s">
        <v>44</v>
      </c>
      <c r="D7" s="17" t="s">
        <v>18</v>
      </c>
      <c r="E7" s="19">
        <v>45817</v>
      </c>
      <c r="F7" s="20">
        <v>49763</v>
      </c>
      <c r="G7" s="20">
        <v>10311</v>
      </c>
      <c r="H7" s="20">
        <v>358061</v>
      </c>
      <c r="I7" s="20"/>
      <c r="J7" s="20"/>
      <c r="K7" s="20"/>
    </row>
    <row r="8" spans="1:11">
      <c r="A8" s="17" t="s">
        <v>56</v>
      </c>
      <c r="B8" s="18" t="s">
        <v>57</v>
      </c>
      <c r="C8" s="18" t="s">
        <v>58</v>
      </c>
      <c r="D8" s="17" t="s">
        <v>28</v>
      </c>
      <c r="E8" s="19">
        <v>45841</v>
      </c>
      <c r="F8" s="20">
        <v>97129</v>
      </c>
      <c r="G8" s="20">
        <v>6669</v>
      </c>
      <c r="H8" s="20">
        <v>242478</v>
      </c>
      <c r="I8" s="20"/>
      <c r="J8" s="20"/>
      <c r="K8" s="20"/>
    </row>
    <row r="9" spans="1:11">
      <c r="A9" s="17" t="s">
        <v>63</v>
      </c>
      <c r="B9" s="18" t="s">
        <v>64</v>
      </c>
      <c r="C9" s="18" t="s">
        <v>65</v>
      </c>
      <c r="D9" s="17" t="s">
        <v>37</v>
      </c>
      <c r="E9" s="19">
        <v>45865</v>
      </c>
      <c r="F9" s="20">
        <v>13876</v>
      </c>
      <c r="G9" s="20">
        <v>16378</v>
      </c>
      <c r="H9" s="20">
        <v>72799</v>
      </c>
      <c r="I9" s="20"/>
      <c r="J9" s="20"/>
      <c r="K9" s="20"/>
    </row>
    <row r="10" spans="1:11">
      <c r="A10" s="17" t="s">
        <v>71</v>
      </c>
      <c r="B10" s="18" t="s">
        <v>72</v>
      </c>
      <c r="C10" s="18" t="s">
        <v>36</v>
      </c>
      <c r="D10" s="17" t="s">
        <v>45</v>
      </c>
      <c r="E10" s="19">
        <v>45889</v>
      </c>
      <c r="F10" s="20">
        <v>63012</v>
      </c>
      <c r="G10" s="20">
        <v>17835</v>
      </c>
      <c r="H10" s="20">
        <v>230263</v>
      </c>
      <c r="I10" s="20"/>
      <c r="J10" s="20"/>
      <c r="K10" s="20"/>
    </row>
    <row r="11" spans="1:11">
      <c r="A11" s="17" t="s">
        <v>77</v>
      </c>
      <c r="B11" s="18" t="s">
        <v>64</v>
      </c>
      <c r="C11" s="18" t="s">
        <v>58</v>
      </c>
      <c r="D11" s="17" t="s">
        <v>18</v>
      </c>
      <c r="E11" s="19">
        <v>45913</v>
      </c>
      <c r="F11" s="20">
        <v>65848</v>
      </c>
      <c r="G11" s="20">
        <v>2839</v>
      </c>
      <c r="H11" s="20">
        <v>302235</v>
      </c>
      <c r="I11" s="20"/>
      <c r="J11" s="20"/>
      <c r="K11" s="20"/>
    </row>
    <row r="12" spans="1:11">
      <c r="A12" s="17" t="s">
        <v>82</v>
      </c>
      <c r="B12" s="18" t="s">
        <v>43</v>
      </c>
      <c r="C12" s="18" t="s">
        <v>36</v>
      </c>
      <c r="D12" s="17" t="s">
        <v>563</v>
      </c>
      <c r="E12" s="19">
        <v>45937</v>
      </c>
      <c r="F12" s="20">
        <v>55361</v>
      </c>
      <c r="G12" s="20">
        <v>1051</v>
      </c>
      <c r="H12" s="20">
        <v>332317</v>
      </c>
      <c r="I12" s="20"/>
      <c r="J12" s="20"/>
      <c r="K12" s="20"/>
    </row>
    <row r="13" spans="1:11">
      <c r="A13" s="17" t="s">
        <v>87</v>
      </c>
      <c r="B13" s="18" t="s">
        <v>43</v>
      </c>
      <c r="C13" s="18" t="s">
        <v>88</v>
      </c>
      <c r="D13" s="17" t="s">
        <v>564</v>
      </c>
      <c r="E13" s="19">
        <v>45961</v>
      </c>
      <c r="F13" s="20">
        <v>14254</v>
      </c>
      <c r="G13" s="20">
        <v>28582</v>
      </c>
      <c r="H13" s="20">
        <v>402905</v>
      </c>
      <c r="I13" s="20"/>
      <c r="J13" s="20"/>
      <c r="K13" s="20"/>
    </row>
    <row r="14" spans="1:11">
      <c r="A14" s="17" t="s">
        <v>93</v>
      </c>
      <c r="B14" s="18" t="s">
        <v>35</v>
      </c>
      <c r="C14" s="18" t="s">
        <v>17</v>
      </c>
      <c r="D14" s="17" t="s">
        <v>565</v>
      </c>
      <c r="E14" s="19">
        <v>45985</v>
      </c>
      <c r="F14" s="20">
        <v>55144</v>
      </c>
      <c r="G14" s="20">
        <v>10512</v>
      </c>
      <c r="H14" s="20">
        <v>86446</v>
      </c>
      <c r="I14" s="20"/>
      <c r="J14" s="20"/>
      <c r="K14" s="20"/>
    </row>
    <row r="15" spans="1:11">
      <c r="A15" s="17" t="s">
        <v>98</v>
      </c>
      <c r="B15" s="18" t="s">
        <v>72</v>
      </c>
      <c r="C15" s="18" t="s">
        <v>17</v>
      </c>
      <c r="D15" s="17" t="s">
        <v>566</v>
      </c>
      <c r="E15" s="19">
        <v>46009</v>
      </c>
      <c r="F15" s="20">
        <v>75076</v>
      </c>
      <c r="G15" s="20">
        <v>16524</v>
      </c>
      <c r="H15" s="20">
        <v>109868</v>
      </c>
      <c r="I15" s="20"/>
      <c r="J15" s="20"/>
      <c r="K15" s="20"/>
    </row>
    <row r="16" spans="1:11">
      <c r="A16" s="28" t="s">
        <v>103</v>
      </c>
      <c r="B16" s="29" t="s">
        <v>26</v>
      </c>
      <c r="C16" s="29" t="s">
        <v>104</v>
      </c>
      <c r="D16" s="28" t="s">
        <v>567</v>
      </c>
      <c r="E16" s="30">
        <v>46033</v>
      </c>
      <c r="F16" s="31">
        <v>89383</v>
      </c>
      <c r="G16" s="31">
        <v>15144</v>
      </c>
      <c r="H16" s="31">
        <v>478364</v>
      </c>
      <c r="I16" s="31"/>
      <c r="J16" s="31"/>
      <c r="K16" s="31"/>
    </row>
    <row r="17" spans="1:3">
      <c r="A17" s="14"/>
      <c r="B17" s="14"/>
      <c r="C17" s="14"/>
    </row>
  </sheetData>
  <mergeCells count="1">
    <mergeCell ref="A1:H1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workbookViewId="0">
      <selection activeCell="G1" sqref="G1:G15"/>
    </sheetView>
  </sheetViews>
  <sheetFormatPr defaultRowHeight="15"/>
  <cols>
    <col min="1" max="1" width="12.42578125" bestFit="1" customWidth="1"/>
    <col min="2" max="2" width="11.140625" bestFit="1" customWidth="1"/>
    <col min="3" max="3" width="10.7109375" bestFit="1" customWidth="1"/>
    <col min="4" max="4" width="12" bestFit="1" customWidth="1"/>
    <col min="5" max="5" width="18.140625" bestFit="1" customWidth="1"/>
    <col min="6" max="7" width="11.28515625" bestFit="1" customWidth="1"/>
    <col min="8" max="8" width="13.5703125" bestFit="1" customWidth="1"/>
    <col min="9" max="9" width="11" bestFit="1" customWidth="1"/>
    <col min="10" max="10" width="16.42578125" bestFit="1" customWidth="1"/>
    <col min="11" max="11" width="7.85546875" bestFit="1" customWidth="1"/>
    <col min="12" max="12" width="11.28515625" bestFit="1" customWidth="1"/>
    <col min="13" max="13" width="13.42578125" bestFit="1" customWidth="1"/>
    <col min="14" max="14" width="12.28515625" bestFit="1" customWidth="1"/>
    <col min="15" max="15" width="8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 t="s">
        <v>23</v>
      </c>
      <c r="K2">
        <v>95405</v>
      </c>
      <c r="L2">
        <v>13439</v>
      </c>
      <c r="M2">
        <v>463518</v>
      </c>
      <c r="N2">
        <v>653</v>
      </c>
      <c r="O2" t="s">
        <v>24</v>
      </c>
    </row>
    <row r="3" spans="1:15">
      <c r="A3" t="s">
        <v>25</v>
      </c>
      <c r="B3" t="s">
        <v>26</v>
      </c>
      <c r="C3" t="s">
        <v>27</v>
      </c>
      <c r="D3" t="s">
        <v>563</v>
      </c>
      <c r="E3" t="s">
        <v>29</v>
      </c>
      <c r="F3" t="s">
        <v>30</v>
      </c>
      <c r="G3" t="s">
        <v>20</v>
      </c>
      <c r="H3" t="s">
        <v>21</v>
      </c>
      <c r="I3" t="s">
        <v>31</v>
      </c>
      <c r="J3" t="s">
        <v>32</v>
      </c>
      <c r="K3">
        <v>39984</v>
      </c>
      <c r="L3">
        <v>20370</v>
      </c>
      <c r="M3">
        <v>103596</v>
      </c>
      <c r="N3">
        <v>830</v>
      </c>
      <c r="O3" t="s">
        <v>33</v>
      </c>
    </row>
    <row r="4" spans="1:15">
      <c r="A4" t="s">
        <v>34</v>
      </c>
      <c r="B4" t="s">
        <v>35</v>
      </c>
      <c r="C4" t="s">
        <v>36</v>
      </c>
      <c r="D4" t="s">
        <v>564</v>
      </c>
      <c r="E4" t="s">
        <v>38</v>
      </c>
      <c r="F4" t="s">
        <v>20</v>
      </c>
      <c r="G4" t="s">
        <v>39</v>
      </c>
      <c r="H4" t="s">
        <v>21</v>
      </c>
      <c r="I4" t="s">
        <v>40</v>
      </c>
      <c r="J4" t="s">
        <v>41</v>
      </c>
      <c r="K4">
        <v>13806</v>
      </c>
      <c r="L4">
        <v>18289</v>
      </c>
      <c r="M4">
        <v>166230</v>
      </c>
      <c r="N4">
        <v>795</v>
      </c>
      <c r="O4" t="s">
        <v>33</v>
      </c>
    </row>
    <row r="5" spans="1:15">
      <c r="A5" t="s">
        <v>42</v>
      </c>
      <c r="B5" t="s">
        <v>43</v>
      </c>
      <c r="C5" t="s">
        <v>44</v>
      </c>
      <c r="D5" t="s">
        <v>565</v>
      </c>
      <c r="E5" t="s">
        <v>46</v>
      </c>
      <c r="F5" t="s">
        <v>39</v>
      </c>
      <c r="G5" t="s">
        <v>20</v>
      </c>
      <c r="H5" t="s">
        <v>21</v>
      </c>
      <c r="I5" t="s">
        <v>47</v>
      </c>
      <c r="J5" t="s">
        <v>48</v>
      </c>
      <c r="K5">
        <v>12816</v>
      </c>
      <c r="L5">
        <v>14637</v>
      </c>
      <c r="M5">
        <v>489132</v>
      </c>
      <c r="N5">
        <v>834</v>
      </c>
      <c r="O5" t="s">
        <v>24</v>
      </c>
    </row>
    <row r="6" spans="1:15">
      <c r="A6" t="s">
        <v>49</v>
      </c>
      <c r="B6" t="s">
        <v>16</v>
      </c>
      <c r="C6" t="s">
        <v>44</v>
      </c>
      <c r="D6" t="s">
        <v>566</v>
      </c>
      <c r="E6" t="s">
        <v>51</v>
      </c>
      <c r="F6" t="s">
        <v>20</v>
      </c>
      <c r="G6" t="s">
        <v>52</v>
      </c>
      <c r="H6" t="s">
        <v>53</v>
      </c>
      <c r="I6" t="s">
        <v>54</v>
      </c>
      <c r="J6" t="s">
        <v>55</v>
      </c>
      <c r="K6">
        <v>49763</v>
      </c>
      <c r="L6">
        <v>10311</v>
      </c>
      <c r="M6">
        <v>358061</v>
      </c>
      <c r="N6">
        <v>849</v>
      </c>
      <c r="O6" t="s">
        <v>33</v>
      </c>
    </row>
    <row r="7" spans="1:15">
      <c r="A7" t="s">
        <v>56</v>
      </c>
      <c r="B7" t="s">
        <v>57</v>
      </c>
      <c r="C7" t="s">
        <v>58</v>
      </c>
      <c r="D7" t="s">
        <v>567</v>
      </c>
      <c r="E7" t="s">
        <v>60</v>
      </c>
      <c r="F7" t="s">
        <v>39</v>
      </c>
      <c r="G7" t="s">
        <v>20</v>
      </c>
      <c r="H7" t="s">
        <v>21</v>
      </c>
      <c r="I7" t="s">
        <v>61</v>
      </c>
      <c r="J7" t="s">
        <v>62</v>
      </c>
      <c r="K7">
        <v>97129</v>
      </c>
      <c r="L7">
        <v>6669</v>
      </c>
      <c r="M7">
        <v>242478</v>
      </c>
      <c r="N7">
        <v>740</v>
      </c>
      <c r="O7" t="s">
        <v>33</v>
      </c>
    </row>
    <row r="8" spans="1:15">
      <c r="A8" t="s">
        <v>63</v>
      </c>
      <c r="B8" t="s">
        <v>64</v>
      </c>
      <c r="C8" t="s">
        <v>65</v>
      </c>
      <c r="D8" t="s">
        <v>573</v>
      </c>
      <c r="E8" t="s">
        <v>67</v>
      </c>
      <c r="F8" t="s">
        <v>20</v>
      </c>
      <c r="G8" t="s">
        <v>68</v>
      </c>
      <c r="H8" t="s">
        <v>21</v>
      </c>
      <c r="I8" t="s">
        <v>69</v>
      </c>
      <c r="J8" t="s">
        <v>70</v>
      </c>
      <c r="K8">
        <v>13876</v>
      </c>
      <c r="L8">
        <v>16378</v>
      </c>
      <c r="M8">
        <v>72799</v>
      </c>
      <c r="N8">
        <v>678</v>
      </c>
      <c r="O8" t="s">
        <v>33</v>
      </c>
    </row>
    <row r="9" spans="1:15">
      <c r="A9" t="s">
        <v>71</v>
      </c>
      <c r="B9" t="s">
        <v>72</v>
      </c>
      <c r="C9" t="s">
        <v>36</v>
      </c>
      <c r="D9" t="s">
        <v>574</v>
      </c>
      <c r="E9" t="s">
        <v>74</v>
      </c>
      <c r="F9" t="s">
        <v>30</v>
      </c>
      <c r="G9" t="s">
        <v>39</v>
      </c>
      <c r="H9" t="s">
        <v>53</v>
      </c>
      <c r="I9" t="s">
        <v>75</v>
      </c>
      <c r="J9" t="s">
        <v>76</v>
      </c>
      <c r="K9">
        <v>63012</v>
      </c>
      <c r="L9">
        <v>17835</v>
      </c>
      <c r="M9">
        <v>230263</v>
      </c>
      <c r="N9">
        <v>843</v>
      </c>
      <c r="O9" t="s">
        <v>33</v>
      </c>
    </row>
    <row r="10" spans="1:15">
      <c r="A10" t="s">
        <v>77</v>
      </c>
      <c r="B10" t="s">
        <v>64</v>
      </c>
      <c r="C10" t="s">
        <v>58</v>
      </c>
      <c r="D10" t="s">
        <v>575</v>
      </c>
      <c r="E10" t="s">
        <v>79</v>
      </c>
      <c r="F10" t="s">
        <v>39</v>
      </c>
      <c r="G10" t="s">
        <v>52</v>
      </c>
      <c r="H10" t="s">
        <v>53</v>
      </c>
      <c r="I10" t="s">
        <v>80</v>
      </c>
      <c r="J10" t="s">
        <v>81</v>
      </c>
      <c r="K10">
        <v>65848</v>
      </c>
      <c r="L10">
        <v>2839</v>
      </c>
      <c r="M10">
        <v>302235</v>
      </c>
      <c r="N10">
        <v>822</v>
      </c>
      <c r="O10" t="s">
        <v>33</v>
      </c>
    </row>
    <row r="11" spans="1:15">
      <c r="A11" t="s">
        <v>82</v>
      </c>
      <c r="B11" t="s">
        <v>43</v>
      </c>
      <c r="C11" t="s">
        <v>36</v>
      </c>
      <c r="D11" t="s">
        <v>576</v>
      </c>
      <c r="E11" t="s">
        <v>84</v>
      </c>
      <c r="F11" t="s">
        <v>20</v>
      </c>
      <c r="G11" t="s">
        <v>68</v>
      </c>
      <c r="H11" t="s">
        <v>21</v>
      </c>
      <c r="I11" t="s">
        <v>85</v>
      </c>
      <c r="J11" t="s">
        <v>86</v>
      </c>
      <c r="K11">
        <v>55361</v>
      </c>
      <c r="L11">
        <v>1051</v>
      </c>
      <c r="M11">
        <v>332317</v>
      </c>
      <c r="N11">
        <v>738</v>
      </c>
      <c r="O11" t="s">
        <v>33</v>
      </c>
    </row>
    <row r="12" spans="1:15">
      <c r="A12" t="s">
        <v>87</v>
      </c>
      <c r="B12" t="s">
        <v>43</v>
      </c>
      <c r="C12" t="s">
        <v>88</v>
      </c>
      <c r="D12" t="s">
        <v>577</v>
      </c>
      <c r="E12" t="s">
        <v>90</v>
      </c>
      <c r="F12" t="s">
        <v>39</v>
      </c>
      <c r="G12" t="s">
        <v>30</v>
      </c>
      <c r="H12" t="s">
        <v>21</v>
      </c>
      <c r="I12" t="s">
        <v>91</v>
      </c>
      <c r="J12" t="s">
        <v>92</v>
      </c>
      <c r="K12">
        <v>14254</v>
      </c>
      <c r="M12">
        <v>402905</v>
      </c>
      <c r="N12">
        <v>618</v>
      </c>
      <c r="O12" t="s">
        <v>24</v>
      </c>
    </row>
    <row r="13" spans="1:15">
      <c r="A13" t="s">
        <v>93</v>
      </c>
      <c r="B13" t="s">
        <v>35</v>
      </c>
      <c r="C13" t="s">
        <v>17</v>
      </c>
      <c r="D13" t="s">
        <v>578</v>
      </c>
      <c r="E13" t="s">
        <v>95</v>
      </c>
      <c r="F13" t="s">
        <v>68</v>
      </c>
      <c r="G13" t="s">
        <v>30</v>
      </c>
      <c r="H13" t="s">
        <v>53</v>
      </c>
      <c r="I13" t="s">
        <v>96</v>
      </c>
      <c r="J13" t="s">
        <v>97</v>
      </c>
      <c r="K13">
        <v>55144</v>
      </c>
      <c r="L13">
        <v>10512</v>
      </c>
      <c r="M13">
        <v>86446</v>
      </c>
      <c r="N13">
        <v>642</v>
      </c>
      <c r="O13" t="s">
        <v>24</v>
      </c>
    </row>
    <row r="14" spans="1:15">
      <c r="A14" t="s">
        <v>98</v>
      </c>
      <c r="B14" t="s">
        <v>72</v>
      </c>
      <c r="C14" t="s">
        <v>17</v>
      </c>
      <c r="D14" t="s">
        <v>579</v>
      </c>
      <c r="E14" t="s">
        <v>100</v>
      </c>
      <c r="F14" t="s">
        <v>68</v>
      </c>
      <c r="G14" t="s">
        <v>20</v>
      </c>
      <c r="H14" t="s">
        <v>21</v>
      </c>
      <c r="I14" t="s">
        <v>101</v>
      </c>
      <c r="J14" t="s">
        <v>102</v>
      </c>
      <c r="K14">
        <v>75076</v>
      </c>
      <c r="L14">
        <v>16524</v>
      </c>
      <c r="M14">
        <v>109868</v>
      </c>
      <c r="O14" t="s">
        <v>33</v>
      </c>
    </row>
    <row r="15" spans="1:15">
      <c r="A15" t="s">
        <v>103</v>
      </c>
      <c r="B15" t="s">
        <v>26</v>
      </c>
      <c r="C15" t="s">
        <v>104</v>
      </c>
      <c r="D15" t="s">
        <v>580</v>
      </c>
      <c r="E15" t="s">
        <v>106</v>
      </c>
      <c r="G15" t="s">
        <v>68</v>
      </c>
      <c r="H15" t="s">
        <v>53</v>
      </c>
      <c r="I15" t="s">
        <v>107</v>
      </c>
      <c r="J15" t="s">
        <v>108</v>
      </c>
      <c r="K15">
        <v>89383</v>
      </c>
      <c r="L15">
        <v>15144</v>
      </c>
      <c r="M15">
        <v>478364</v>
      </c>
      <c r="N15">
        <v>849</v>
      </c>
      <c r="O15" t="s">
        <v>24</v>
      </c>
    </row>
    <row r="16" spans="1:15">
      <c r="A16" t="s">
        <v>109</v>
      </c>
      <c r="B16" t="s">
        <v>26</v>
      </c>
      <c r="C16" t="s">
        <v>88</v>
      </c>
      <c r="D16" t="s">
        <v>581</v>
      </c>
      <c r="E16" t="s">
        <v>111</v>
      </c>
      <c r="F16" t="s">
        <v>39</v>
      </c>
      <c r="G16" t="s">
        <v>20</v>
      </c>
      <c r="H16" t="s">
        <v>21</v>
      </c>
      <c r="I16" t="s">
        <v>112</v>
      </c>
      <c r="J16" t="s">
        <v>113</v>
      </c>
      <c r="K16">
        <v>81395</v>
      </c>
      <c r="L16">
        <v>28271</v>
      </c>
      <c r="M16">
        <v>165657</v>
      </c>
      <c r="N16">
        <v>850</v>
      </c>
      <c r="O16" t="s">
        <v>33</v>
      </c>
    </row>
    <row r="17" spans="1:15">
      <c r="A17" t="s">
        <v>114</v>
      </c>
      <c r="B17" t="s">
        <v>35</v>
      </c>
      <c r="C17" t="s">
        <v>27</v>
      </c>
      <c r="D17" t="s">
        <v>582</v>
      </c>
      <c r="E17" t="s">
        <v>116</v>
      </c>
      <c r="F17" t="s">
        <v>68</v>
      </c>
      <c r="G17" t="s">
        <v>20</v>
      </c>
      <c r="H17" t="s">
        <v>53</v>
      </c>
      <c r="I17" t="s">
        <v>117</v>
      </c>
      <c r="J17" t="s">
        <v>118</v>
      </c>
      <c r="K17">
        <v>49138</v>
      </c>
      <c r="L17">
        <v>5118</v>
      </c>
      <c r="M17">
        <v>161218</v>
      </c>
      <c r="N17">
        <v>824</v>
      </c>
      <c r="O17" t="s">
        <v>24</v>
      </c>
    </row>
    <row r="18" spans="1:15">
      <c r="A18" t="s">
        <v>119</v>
      </c>
      <c r="B18" t="s">
        <v>16</v>
      </c>
      <c r="C18" t="s">
        <v>17</v>
      </c>
      <c r="D18" t="s">
        <v>583</v>
      </c>
      <c r="E18" t="s">
        <v>121</v>
      </c>
      <c r="F18" t="s">
        <v>39</v>
      </c>
      <c r="G18" t="s">
        <v>20</v>
      </c>
      <c r="H18" t="s">
        <v>21</v>
      </c>
      <c r="I18" t="s">
        <v>70</v>
      </c>
      <c r="J18" t="s">
        <v>122</v>
      </c>
      <c r="K18">
        <v>27090</v>
      </c>
      <c r="L18">
        <v>1277</v>
      </c>
      <c r="M18">
        <v>343977</v>
      </c>
      <c r="N18">
        <v>824</v>
      </c>
      <c r="O18" t="s">
        <v>24</v>
      </c>
    </row>
    <row r="19" spans="1:15">
      <c r="A19" t="s">
        <v>123</v>
      </c>
      <c r="B19" t="s">
        <v>57</v>
      </c>
      <c r="C19" t="s">
        <v>124</v>
      </c>
      <c r="D19" t="s">
        <v>610</v>
      </c>
      <c r="E19" t="s">
        <v>126</v>
      </c>
      <c r="F19" t="s">
        <v>30</v>
      </c>
      <c r="G19" t="s">
        <v>20</v>
      </c>
      <c r="H19" t="s">
        <v>53</v>
      </c>
      <c r="I19" t="s">
        <v>127</v>
      </c>
      <c r="J19" t="s">
        <v>128</v>
      </c>
      <c r="K19">
        <v>55472</v>
      </c>
      <c r="L19">
        <v>4244</v>
      </c>
      <c r="M19">
        <v>157878</v>
      </c>
      <c r="N19">
        <v>746</v>
      </c>
      <c r="O19" t="s">
        <v>33</v>
      </c>
    </row>
    <row r="20" spans="1:15">
      <c r="A20" t="s">
        <v>129</v>
      </c>
      <c r="B20" t="s">
        <v>130</v>
      </c>
      <c r="C20" t="s">
        <v>65</v>
      </c>
      <c r="D20" t="s">
        <v>611</v>
      </c>
      <c r="E20" t="s">
        <v>132</v>
      </c>
      <c r="F20" t="s">
        <v>68</v>
      </c>
      <c r="G20" t="s">
        <v>52</v>
      </c>
      <c r="H20" t="s">
        <v>21</v>
      </c>
      <c r="I20" t="s">
        <v>133</v>
      </c>
      <c r="J20" t="s">
        <v>134</v>
      </c>
      <c r="K20">
        <v>12254</v>
      </c>
      <c r="L20">
        <v>11660</v>
      </c>
      <c r="M20">
        <v>370931</v>
      </c>
      <c r="N20">
        <v>823</v>
      </c>
      <c r="O20" t="s">
        <v>33</v>
      </c>
    </row>
    <row r="21" spans="1:15">
      <c r="A21" t="s">
        <v>135</v>
      </c>
      <c r="B21" t="s">
        <v>72</v>
      </c>
      <c r="C21" t="s">
        <v>104</v>
      </c>
      <c r="D21" t="s">
        <v>612</v>
      </c>
      <c r="E21" t="s">
        <v>137</v>
      </c>
      <c r="F21" t="s">
        <v>39</v>
      </c>
      <c r="G21" t="s">
        <v>68</v>
      </c>
      <c r="H21" t="s">
        <v>21</v>
      </c>
      <c r="I21" t="s">
        <v>138</v>
      </c>
      <c r="J21" t="s">
        <v>139</v>
      </c>
      <c r="K21">
        <v>37922</v>
      </c>
      <c r="L21">
        <v>9733</v>
      </c>
      <c r="M21">
        <v>403608</v>
      </c>
      <c r="N21">
        <v>624</v>
      </c>
      <c r="O21" t="s">
        <v>33</v>
      </c>
    </row>
    <row r="22" spans="1:15">
      <c r="A22" t="s">
        <v>140</v>
      </c>
      <c r="B22" t="s">
        <v>64</v>
      </c>
      <c r="C22" t="s">
        <v>124</v>
      </c>
      <c r="D22" t="s">
        <v>613</v>
      </c>
      <c r="E22" t="s">
        <v>142</v>
      </c>
      <c r="F22" t="s">
        <v>39</v>
      </c>
      <c r="G22" t="s">
        <v>30</v>
      </c>
      <c r="H22" t="s">
        <v>53</v>
      </c>
      <c r="I22" t="s">
        <v>143</v>
      </c>
      <c r="J22" t="s">
        <v>144</v>
      </c>
      <c r="L22">
        <v>5358</v>
      </c>
      <c r="M22">
        <v>138968</v>
      </c>
      <c r="N22">
        <v>642</v>
      </c>
      <c r="O22" t="s">
        <v>24</v>
      </c>
    </row>
    <row r="23" spans="1:15">
      <c r="A23" t="s">
        <v>145</v>
      </c>
      <c r="B23" t="s">
        <v>57</v>
      </c>
      <c r="C23" t="s">
        <v>36</v>
      </c>
      <c r="D23" t="s">
        <v>614</v>
      </c>
      <c r="E23" t="s">
        <v>147</v>
      </c>
      <c r="F23" t="s">
        <v>68</v>
      </c>
      <c r="G23" t="s">
        <v>68</v>
      </c>
      <c r="H23" t="s">
        <v>21</v>
      </c>
      <c r="I23" t="s">
        <v>148</v>
      </c>
      <c r="J23" t="s">
        <v>149</v>
      </c>
      <c r="K23">
        <v>24930</v>
      </c>
      <c r="L23">
        <v>10542</v>
      </c>
      <c r="M23">
        <v>173307</v>
      </c>
      <c r="O23" t="s">
        <v>33</v>
      </c>
    </row>
    <row r="24" spans="1:15">
      <c r="A24" t="s">
        <v>150</v>
      </c>
      <c r="B24" t="s">
        <v>64</v>
      </c>
      <c r="C24" t="s">
        <v>65</v>
      </c>
      <c r="D24" t="s">
        <v>615</v>
      </c>
      <c r="E24" t="s">
        <v>152</v>
      </c>
      <c r="F24" t="s">
        <v>30</v>
      </c>
      <c r="G24" t="s">
        <v>20</v>
      </c>
      <c r="H24" t="s">
        <v>53</v>
      </c>
      <c r="I24" t="s">
        <v>153</v>
      </c>
      <c r="J24" t="s">
        <v>154</v>
      </c>
      <c r="K24">
        <v>59837</v>
      </c>
      <c r="L24">
        <v>29382</v>
      </c>
      <c r="M24">
        <v>463199</v>
      </c>
      <c r="N24">
        <v>637</v>
      </c>
      <c r="O24" t="s">
        <v>24</v>
      </c>
    </row>
    <row r="25" spans="1:15">
      <c r="A25" t="s">
        <v>155</v>
      </c>
      <c r="B25" t="s">
        <v>57</v>
      </c>
      <c r="C25" t="s">
        <v>27</v>
      </c>
      <c r="D25" t="s">
        <v>616</v>
      </c>
      <c r="E25" t="s">
        <v>157</v>
      </c>
      <c r="F25" t="s">
        <v>39</v>
      </c>
      <c r="G25" t="s">
        <v>52</v>
      </c>
      <c r="H25" t="s">
        <v>53</v>
      </c>
      <c r="I25" t="s">
        <v>158</v>
      </c>
      <c r="J25" t="s">
        <v>159</v>
      </c>
      <c r="K25">
        <v>44960</v>
      </c>
      <c r="L25">
        <v>12956</v>
      </c>
      <c r="M25">
        <v>204954</v>
      </c>
      <c r="N25">
        <v>744</v>
      </c>
      <c r="O25" t="s">
        <v>24</v>
      </c>
    </row>
    <row r="26" spans="1:15">
      <c r="A26" t="s">
        <v>160</v>
      </c>
      <c r="B26" t="s">
        <v>16</v>
      </c>
      <c r="C26" t="s">
        <v>58</v>
      </c>
      <c r="D26" t="s">
        <v>617</v>
      </c>
      <c r="E26" t="s">
        <v>162</v>
      </c>
      <c r="F26" t="s">
        <v>30</v>
      </c>
      <c r="G26" t="s">
        <v>52</v>
      </c>
      <c r="H26" t="s">
        <v>53</v>
      </c>
      <c r="I26" t="s">
        <v>163</v>
      </c>
      <c r="J26" t="s">
        <v>164</v>
      </c>
      <c r="K26">
        <v>22017</v>
      </c>
      <c r="L26">
        <v>14550</v>
      </c>
      <c r="M26">
        <v>110346</v>
      </c>
      <c r="N26">
        <v>811</v>
      </c>
      <c r="O26" t="s">
        <v>24</v>
      </c>
    </row>
    <row r="27" spans="1:15">
      <c r="A27" t="s">
        <v>165</v>
      </c>
      <c r="B27" t="s">
        <v>57</v>
      </c>
      <c r="C27" t="s">
        <v>27</v>
      </c>
      <c r="D27" t="s">
        <v>618</v>
      </c>
      <c r="E27" t="s">
        <v>167</v>
      </c>
      <c r="F27" t="s">
        <v>30</v>
      </c>
      <c r="G27" t="s">
        <v>20</v>
      </c>
      <c r="H27" t="s">
        <v>53</v>
      </c>
      <c r="I27" t="s">
        <v>168</v>
      </c>
      <c r="J27" t="s">
        <v>169</v>
      </c>
      <c r="K27">
        <v>99245</v>
      </c>
      <c r="L27">
        <v>8910</v>
      </c>
      <c r="M27">
        <v>133332</v>
      </c>
      <c r="N27">
        <v>790</v>
      </c>
      <c r="O27" t="s">
        <v>24</v>
      </c>
    </row>
    <row r="28" spans="1:15">
      <c r="A28" t="s">
        <v>170</v>
      </c>
      <c r="B28" t="s">
        <v>64</v>
      </c>
      <c r="C28" t="s">
        <v>17</v>
      </c>
      <c r="D28" t="s">
        <v>619</v>
      </c>
      <c r="E28" t="s">
        <v>172</v>
      </c>
      <c r="F28" t="s">
        <v>68</v>
      </c>
      <c r="G28" t="s">
        <v>20</v>
      </c>
      <c r="H28" t="s">
        <v>21</v>
      </c>
      <c r="I28" t="s">
        <v>149</v>
      </c>
      <c r="J28" t="s">
        <v>173</v>
      </c>
      <c r="K28">
        <v>23124</v>
      </c>
      <c r="L28">
        <v>7803</v>
      </c>
      <c r="M28">
        <v>391862</v>
      </c>
      <c r="N28">
        <v>681</v>
      </c>
    </row>
    <row r="29" spans="1:15">
      <c r="A29" t="s">
        <v>174</v>
      </c>
      <c r="B29" t="s">
        <v>175</v>
      </c>
      <c r="C29" t="s">
        <v>44</v>
      </c>
      <c r="D29" t="s">
        <v>620</v>
      </c>
      <c r="E29" t="s">
        <v>177</v>
      </c>
      <c r="F29" t="s">
        <v>20</v>
      </c>
      <c r="G29" t="s">
        <v>68</v>
      </c>
      <c r="H29" t="s">
        <v>21</v>
      </c>
      <c r="I29" t="s">
        <v>178</v>
      </c>
      <c r="J29" t="s">
        <v>179</v>
      </c>
      <c r="K29">
        <v>18252</v>
      </c>
      <c r="L29">
        <v>3103</v>
      </c>
      <c r="M29">
        <v>216382</v>
      </c>
      <c r="N29">
        <v>848</v>
      </c>
      <c r="O29" t="s">
        <v>33</v>
      </c>
    </row>
    <row r="30" spans="1:15">
      <c r="A30" t="s">
        <v>180</v>
      </c>
      <c r="B30" t="s">
        <v>43</v>
      </c>
      <c r="C30" t="s">
        <v>36</v>
      </c>
      <c r="D30" t="s">
        <v>621</v>
      </c>
      <c r="E30" t="s">
        <v>182</v>
      </c>
      <c r="F30" t="s">
        <v>68</v>
      </c>
      <c r="G30" t="s">
        <v>68</v>
      </c>
      <c r="H30" t="s">
        <v>53</v>
      </c>
      <c r="I30" t="s">
        <v>183</v>
      </c>
      <c r="J30" t="s">
        <v>184</v>
      </c>
      <c r="K30">
        <v>80988</v>
      </c>
      <c r="L30">
        <v>7810</v>
      </c>
      <c r="M30">
        <v>211124</v>
      </c>
      <c r="N30">
        <v>650</v>
      </c>
      <c r="O30" t="s">
        <v>24</v>
      </c>
    </row>
    <row r="31" spans="1:15">
      <c r="A31" t="s">
        <v>185</v>
      </c>
      <c r="B31" t="s">
        <v>175</v>
      </c>
      <c r="C31" t="s">
        <v>65</v>
      </c>
      <c r="D31" t="s">
        <v>622</v>
      </c>
      <c r="E31" t="s">
        <v>187</v>
      </c>
      <c r="F31" t="s">
        <v>30</v>
      </c>
      <c r="G31" t="s">
        <v>52</v>
      </c>
      <c r="H31" t="s">
        <v>21</v>
      </c>
      <c r="I31" t="s">
        <v>188</v>
      </c>
      <c r="J31" t="s">
        <v>189</v>
      </c>
      <c r="K31">
        <v>39809</v>
      </c>
      <c r="L31">
        <v>13795</v>
      </c>
      <c r="M31">
        <v>210843</v>
      </c>
      <c r="N31">
        <v>610</v>
      </c>
      <c r="O31" t="s">
        <v>33</v>
      </c>
    </row>
    <row r="32" spans="1:15">
      <c r="A32" t="s">
        <v>190</v>
      </c>
      <c r="B32" t="s">
        <v>57</v>
      </c>
      <c r="C32" t="s">
        <v>17</v>
      </c>
      <c r="D32" t="s">
        <v>623</v>
      </c>
      <c r="E32" t="s">
        <v>192</v>
      </c>
      <c r="F32" t="s">
        <v>68</v>
      </c>
      <c r="G32" t="s">
        <v>30</v>
      </c>
      <c r="H32" t="s">
        <v>53</v>
      </c>
      <c r="I32" t="s">
        <v>193</v>
      </c>
      <c r="J32" t="s">
        <v>194</v>
      </c>
      <c r="K32">
        <v>42125</v>
      </c>
      <c r="L32">
        <v>8214</v>
      </c>
      <c r="M32">
        <v>60681</v>
      </c>
      <c r="N32">
        <v>806</v>
      </c>
      <c r="O32" t="s">
        <v>24</v>
      </c>
    </row>
    <row r="33" spans="1:15">
      <c r="A33" t="s">
        <v>195</v>
      </c>
      <c r="B33" t="s">
        <v>175</v>
      </c>
      <c r="C33" t="s">
        <v>36</v>
      </c>
      <c r="D33" t="s">
        <v>624</v>
      </c>
      <c r="E33" t="s">
        <v>197</v>
      </c>
      <c r="F33" t="s">
        <v>30</v>
      </c>
      <c r="G33" t="s">
        <v>30</v>
      </c>
      <c r="H33" t="s">
        <v>53</v>
      </c>
      <c r="I33" t="s">
        <v>189</v>
      </c>
      <c r="J33" t="s">
        <v>198</v>
      </c>
      <c r="K33">
        <v>48118</v>
      </c>
      <c r="L33">
        <v>25599</v>
      </c>
      <c r="M33">
        <v>465332</v>
      </c>
      <c r="N33">
        <v>691</v>
      </c>
      <c r="O33" t="s">
        <v>33</v>
      </c>
    </row>
    <row r="34" spans="1:15">
      <c r="A34" t="s">
        <v>199</v>
      </c>
      <c r="B34" t="s">
        <v>16</v>
      </c>
      <c r="C34" t="s">
        <v>36</v>
      </c>
      <c r="D34" t="s">
        <v>625</v>
      </c>
      <c r="E34" t="s">
        <v>201</v>
      </c>
      <c r="F34" t="s">
        <v>30</v>
      </c>
      <c r="G34" t="s">
        <v>52</v>
      </c>
      <c r="H34" t="s">
        <v>53</v>
      </c>
      <c r="I34" t="s">
        <v>202</v>
      </c>
      <c r="J34" t="s">
        <v>203</v>
      </c>
      <c r="K34">
        <v>33536</v>
      </c>
      <c r="L34">
        <v>26434</v>
      </c>
      <c r="M34">
        <v>128414</v>
      </c>
      <c r="N34">
        <v>636</v>
      </c>
      <c r="O34" t="s">
        <v>33</v>
      </c>
    </row>
    <row r="35" spans="1:15">
      <c r="A35" t="s">
        <v>204</v>
      </c>
      <c r="B35" t="s">
        <v>64</v>
      </c>
      <c r="C35" t="s">
        <v>17</v>
      </c>
      <c r="D35" t="s">
        <v>626</v>
      </c>
      <c r="E35" t="s">
        <v>206</v>
      </c>
      <c r="F35" t="s">
        <v>39</v>
      </c>
      <c r="G35" t="s">
        <v>39</v>
      </c>
      <c r="H35" t="s">
        <v>53</v>
      </c>
      <c r="I35" t="s">
        <v>207</v>
      </c>
      <c r="J35" t="s">
        <v>208</v>
      </c>
      <c r="K35">
        <v>51427</v>
      </c>
      <c r="L35">
        <v>27903</v>
      </c>
      <c r="M35">
        <v>376908</v>
      </c>
      <c r="N35">
        <v>805</v>
      </c>
      <c r="O35" t="s">
        <v>24</v>
      </c>
    </row>
    <row r="36" spans="1:15">
      <c r="A36" t="s">
        <v>209</v>
      </c>
      <c r="B36" t="s">
        <v>26</v>
      </c>
      <c r="C36" t="s">
        <v>36</v>
      </c>
      <c r="D36" t="s">
        <v>627</v>
      </c>
      <c r="E36" t="s">
        <v>211</v>
      </c>
      <c r="F36" t="s">
        <v>30</v>
      </c>
      <c r="G36" t="s">
        <v>39</v>
      </c>
      <c r="H36" t="s">
        <v>21</v>
      </c>
      <c r="I36" t="s">
        <v>212</v>
      </c>
      <c r="J36" t="s">
        <v>213</v>
      </c>
      <c r="K36">
        <v>18442</v>
      </c>
      <c r="L36">
        <v>23350</v>
      </c>
      <c r="M36">
        <v>284196</v>
      </c>
      <c r="N36">
        <v>806</v>
      </c>
      <c r="O36" t="s">
        <v>33</v>
      </c>
    </row>
    <row r="37" spans="1:15">
      <c r="A37" t="s">
        <v>214</v>
      </c>
      <c r="B37" t="s">
        <v>64</v>
      </c>
      <c r="C37" t="s">
        <v>124</v>
      </c>
      <c r="D37" t="s">
        <v>628</v>
      </c>
      <c r="E37" t="s">
        <v>216</v>
      </c>
      <c r="F37" t="s">
        <v>20</v>
      </c>
      <c r="G37" t="s">
        <v>30</v>
      </c>
      <c r="H37" t="s">
        <v>21</v>
      </c>
      <c r="I37" t="s">
        <v>217</v>
      </c>
      <c r="J37" t="s">
        <v>218</v>
      </c>
      <c r="K37">
        <v>54390</v>
      </c>
      <c r="L37">
        <v>6620</v>
      </c>
      <c r="M37">
        <v>185250</v>
      </c>
      <c r="N37">
        <v>724</v>
      </c>
      <c r="O37" t="s">
        <v>24</v>
      </c>
    </row>
    <row r="38" spans="1:15">
      <c r="A38" t="s">
        <v>219</v>
      </c>
      <c r="B38" t="s">
        <v>57</v>
      </c>
      <c r="C38" t="s">
        <v>58</v>
      </c>
      <c r="D38" t="s">
        <v>629</v>
      </c>
      <c r="E38" t="s">
        <v>221</v>
      </c>
      <c r="F38" t="s">
        <v>68</v>
      </c>
      <c r="G38" t="s">
        <v>52</v>
      </c>
      <c r="H38" t="s">
        <v>53</v>
      </c>
      <c r="I38" t="s">
        <v>222</v>
      </c>
      <c r="J38" t="s">
        <v>223</v>
      </c>
      <c r="K38">
        <v>87797</v>
      </c>
      <c r="L38">
        <v>5100</v>
      </c>
      <c r="M38">
        <v>122611</v>
      </c>
      <c r="N38">
        <v>666</v>
      </c>
      <c r="O38" t="s">
        <v>33</v>
      </c>
    </row>
    <row r="39" spans="1:15">
      <c r="A39" t="s">
        <v>224</v>
      </c>
      <c r="B39" t="s">
        <v>26</v>
      </c>
      <c r="C39" t="s">
        <v>88</v>
      </c>
      <c r="D39" t="s">
        <v>630</v>
      </c>
      <c r="E39" t="s">
        <v>226</v>
      </c>
      <c r="F39" t="s">
        <v>30</v>
      </c>
      <c r="G39" t="s">
        <v>39</v>
      </c>
      <c r="H39" t="s">
        <v>21</v>
      </c>
      <c r="I39" t="s">
        <v>227</v>
      </c>
      <c r="J39" t="s">
        <v>228</v>
      </c>
      <c r="K39">
        <v>10980</v>
      </c>
      <c r="L39">
        <v>6818</v>
      </c>
      <c r="M39">
        <v>327191</v>
      </c>
      <c r="N39">
        <v>681</v>
      </c>
      <c r="O39" t="s">
        <v>33</v>
      </c>
    </row>
    <row r="40" spans="1:15">
      <c r="A40" t="s">
        <v>229</v>
      </c>
      <c r="B40" t="s">
        <v>43</v>
      </c>
      <c r="C40" t="s">
        <v>44</v>
      </c>
      <c r="D40" t="s">
        <v>631</v>
      </c>
      <c r="E40" t="s">
        <v>231</v>
      </c>
      <c r="F40" t="s">
        <v>20</v>
      </c>
      <c r="G40" t="s">
        <v>39</v>
      </c>
      <c r="H40" t="s">
        <v>21</v>
      </c>
      <c r="I40" t="s">
        <v>232</v>
      </c>
      <c r="J40" t="s">
        <v>233</v>
      </c>
      <c r="K40">
        <v>54164</v>
      </c>
      <c r="L40">
        <v>19363</v>
      </c>
      <c r="M40">
        <v>370490</v>
      </c>
      <c r="N40">
        <v>832</v>
      </c>
      <c r="O40" t="s">
        <v>33</v>
      </c>
    </row>
    <row r="41" spans="1:15">
      <c r="A41" t="s">
        <v>234</v>
      </c>
      <c r="B41" t="s">
        <v>35</v>
      </c>
      <c r="C41" t="s">
        <v>65</v>
      </c>
      <c r="D41" t="s">
        <v>632</v>
      </c>
      <c r="E41" t="s">
        <v>236</v>
      </c>
      <c r="F41" t="s">
        <v>68</v>
      </c>
      <c r="G41" t="s">
        <v>39</v>
      </c>
      <c r="H41" t="s">
        <v>53</v>
      </c>
      <c r="I41" t="s">
        <v>222</v>
      </c>
      <c r="J41" t="s">
        <v>237</v>
      </c>
      <c r="K41">
        <v>50868</v>
      </c>
      <c r="L41">
        <v>10788</v>
      </c>
      <c r="M41">
        <v>413099</v>
      </c>
      <c r="N41">
        <v>676</v>
      </c>
      <c r="O41" t="s">
        <v>33</v>
      </c>
    </row>
    <row r="42" spans="1:15">
      <c r="A42" t="s">
        <v>238</v>
      </c>
      <c r="B42" t="s">
        <v>57</v>
      </c>
      <c r="C42" t="s">
        <v>65</v>
      </c>
      <c r="D42" t="s">
        <v>633</v>
      </c>
      <c r="E42" t="s">
        <v>240</v>
      </c>
      <c r="F42" t="s">
        <v>20</v>
      </c>
      <c r="G42" t="s">
        <v>39</v>
      </c>
      <c r="H42" t="s">
        <v>53</v>
      </c>
      <c r="I42" t="s">
        <v>241</v>
      </c>
      <c r="J42" t="s">
        <v>227</v>
      </c>
      <c r="K42">
        <v>42846</v>
      </c>
      <c r="L42">
        <v>14983</v>
      </c>
      <c r="M42">
        <v>164094</v>
      </c>
      <c r="N42">
        <v>841</v>
      </c>
      <c r="O42" t="s">
        <v>24</v>
      </c>
    </row>
    <row r="43" spans="1:15">
      <c r="A43" t="s">
        <v>242</v>
      </c>
      <c r="B43" t="s">
        <v>243</v>
      </c>
      <c r="C43" t="s">
        <v>27</v>
      </c>
      <c r="D43" t="s">
        <v>634</v>
      </c>
      <c r="E43" t="s">
        <v>245</v>
      </c>
      <c r="F43" t="s">
        <v>39</v>
      </c>
      <c r="G43" t="s">
        <v>52</v>
      </c>
      <c r="H43" t="s">
        <v>53</v>
      </c>
      <c r="I43" t="s">
        <v>246</v>
      </c>
      <c r="J43" t="s">
        <v>247</v>
      </c>
      <c r="K43">
        <v>78704</v>
      </c>
      <c r="L43">
        <v>3962</v>
      </c>
      <c r="M43">
        <v>473595</v>
      </c>
      <c r="N43">
        <v>665</v>
      </c>
      <c r="O43" t="s">
        <v>24</v>
      </c>
    </row>
    <row r="44" spans="1:15">
      <c r="A44" t="s">
        <v>248</v>
      </c>
      <c r="B44" t="s">
        <v>72</v>
      </c>
      <c r="C44" t="s">
        <v>65</v>
      </c>
      <c r="D44" t="s">
        <v>635</v>
      </c>
      <c r="E44" t="s">
        <v>250</v>
      </c>
      <c r="F44" t="s">
        <v>39</v>
      </c>
      <c r="G44" t="s">
        <v>20</v>
      </c>
      <c r="H44" t="s">
        <v>21</v>
      </c>
      <c r="I44" t="s">
        <v>251</v>
      </c>
      <c r="J44" t="s">
        <v>252</v>
      </c>
      <c r="K44">
        <v>62067</v>
      </c>
      <c r="L44">
        <v>6398</v>
      </c>
      <c r="M44">
        <v>220638</v>
      </c>
      <c r="N44">
        <v>712</v>
      </c>
      <c r="O44" t="s">
        <v>24</v>
      </c>
    </row>
    <row r="45" spans="1:15">
      <c r="A45" t="s">
        <v>253</v>
      </c>
      <c r="B45" t="s">
        <v>43</v>
      </c>
      <c r="C45" t="s">
        <v>65</v>
      </c>
      <c r="D45" t="s">
        <v>636</v>
      </c>
      <c r="E45" t="s">
        <v>255</v>
      </c>
      <c r="F45" t="s">
        <v>20</v>
      </c>
      <c r="G45" t="s">
        <v>30</v>
      </c>
      <c r="H45" t="s">
        <v>21</v>
      </c>
      <c r="I45" t="s">
        <v>256</v>
      </c>
      <c r="J45" t="s">
        <v>257</v>
      </c>
      <c r="K45">
        <v>46395</v>
      </c>
      <c r="L45">
        <v>9133</v>
      </c>
      <c r="M45">
        <v>248626</v>
      </c>
      <c r="N45">
        <v>791</v>
      </c>
      <c r="O45" t="s">
        <v>24</v>
      </c>
    </row>
    <row r="46" spans="1:15">
      <c r="A46" t="s">
        <v>258</v>
      </c>
      <c r="B46" t="s">
        <v>130</v>
      </c>
      <c r="C46" t="s">
        <v>58</v>
      </c>
      <c r="D46" t="s">
        <v>637</v>
      </c>
      <c r="E46" t="s">
        <v>260</v>
      </c>
      <c r="F46" t="s">
        <v>39</v>
      </c>
      <c r="G46" t="s">
        <v>68</v>
      </c>
      <c r="H46" t="s">
        <v>53</v>
      </c>
      <c r="I46" t="s">
        <v>261</v>
      </c>
      <c r="J46" t="s">
        <v>262</v>
      </c>
      <c r="K46">
        <v>32656</v>
      </c>
      <c r="L46">
        <v>10331</v>
      </c>
      <c r="M46">
        <v>127809</v>
      </c>
      <c r="N46">
        <v>738</v>
      </c>
      <c r="O46" t="s">
        <v>24</v>
      </c>
    </row>
    <row r="47" spans="1:15">
      <c r="A47" t="s">
        <v>263</v>
      </c>
      <c r="B47" t="s">
        <v>57</v>
      </c>
      <c r="C47" t="s">
        <v>17</v>
      </c>
      <c r="D47" t="s">
        <v>638</v>
      </c>
      <c r="E47" t="s">
        <v>265</v>
      </c>
      <c r="F47" t="s">
        <v>39</v>
      </c>
      <c r="G47" t="s">
        <v>52</v>
      </c>
      <c r="H47" t="s">
        <v>21</v>
      </c>
      <c r="I47" t="s">
        <v>266</v>
      </c>
      <c r="J47" t="s">
        <v>267</v>
      </c>
      <c r="K47">
        <v>74331</v>
      </c>
      <c r="L47">
        <v>14761</v>
      </c>
      <c r="M47">
        <v>498632</v>
      </c>
      <c r="N47">
        <v>631</v>
      </c>
      <c r="O47" t="s">
        <v>24</v>
      </c>
    </row>
    <row r="48" spans="1:15">
      <c r="A48" t="s">
        <v>268</v>
      </c>
      <c r="B48" t="s">
        <v>43</v>
      </c>
      <c r="C48" t="s">
        <v>17</v>
      </c>
      <c r="D48" t="s">
        <v>639</v>
      </c>
      <c r="F48" t="s">
        <v>30</v>
      </c>
      <c r="G48" t="s">
        <v>30</v>
      </c>
      <c r="H48" t="s">
        <v>53</v>
      </c>
      <c r="I48" t="s">
        <v>270</v>
      </c>
      <c r="J48" t="s">
        <v>271</v>
      </c>
      <c r="K48">
        <v>81471</v>
      </c>
      <c r="L48">
        <v>10712</v>
      </c>
      <c r="M48">
        <v>403324</v>
      </c>
      <c r="N48">
        <v>794</v>
      </c>
      <c r="O48" t="s">
        <v>24</v>
      </c>
    </row>
    <row r="49" spans="1:15">
      <c r="A49" t="s">
        <v>272</v>
      </c>
      <c r="B49" t="s">
        <v>243</v>
      </c>
      <c r="C49" t="s">
        <v>17</v>
      </c>
      <c r="D49" t="s">
        <v>640</v>
      </c>
      <c r="E49" t="s">
        <v>274</v>
      </c>
      <c r="F49" t="s">
        <v>68</v>
      </c>
      <c r="G49" t="s">
        <v>52</v>
      </c>
      <c r="I49" t="s">
        <v>275</v>
      </c>
      <c r="J49" t="s">
        <v>276</v>
      </c>
      <c r="K49">
        <v>10110</v>
      </c>
      <c r="L49">
        <v>5059</v>
      </c>
      <c r="M49">
        <v>281900</v>
      </c>
      <c r="N49">
        <v>783</v>
      </c>
      <c r="O49" t="s">
        <v>33</v>
      </c>
    </row>
    <row r="50" spans="1:15">
      <c r="A50" t="s">
        <v>277</v>
      </c>
      <c r="B50" t="s">
        <v>64</v>
      </c>
      <c r="C50" t="s">
        <v>27</v>
      </c>
      <c r="D50" t="s">
        <v>641</v>
      </c>
      <c r="E50" t="s">
        <v>279</v>
      </c>
      <c r="F50" t="s">
        <v>20</v>
      </c>
      <c r="G50" t="s">
        <v>30</v>
      </c>
      <c r="H50" t="s">
        <v>21</v>
      </c>
      <c r="I50" t="s">
        <v>280</v>
      </c>
      <c r="J50" t="s">
        <v>281</v>
      </c>
      <c r="K50">
        <v>60120</v>
      </c>
      <c r="L50">
        <v>7681</v>
      </c>
      <c r="M50">
        <v>341969</v>
      </c>
      <c r="N50">
        <v>600</v>
      </c>
      <c r="O50" t="s">
        <v>33</v>
      </c>
    </row>
    <row r="51" spans="1:15">
      <c r="A51" t="s">
        <v>282</v>
      </c>
      <c r="B51" t="s">
        <v>43</v>
      </c>
      <c r="C51" t="s">
        <v>124</v>
      </c>
      <c r="D51" t="s">
        <v>642</v>
      </c>
      <c r="E51" t="s">
        <v>284</v>
      </c>
      <c r="F51" t="s">
        <v>20</v>
      </c>
      <c r="G51" t="s">
        <v>68</v>
      </c>
      <c r="H51" t="s">
        <v>53</v>
      </c>
      <c r="I51" t="s">
        <v>285</v>
      </c>
      <c r="J51" t="s">
        <v>286</v>
      </c>
      <c r="K51">
        <v>68902</v>
      </c>
      <c r="L51">
        <v>21317</v>
      </c>
      <c r="M51">
        <v>400665</v>
      </c>
      <c r="N51">
        <v>735</v>
      </c>
      <c r="O51" t="s">
        <v>24</v>
      </c>
    </row>
    <row r="52" spans="1:15">
      <c r="A52" t="s">
        <v>287</v>
      </c>
      <c r="B52" t="s">
        <v>35</v>
      </c>
      <c r="C52" t="s">
        <v>27</v>
      </c>
      <c r="D52" t="s">
        <v>643</v>
      </c>
      <c r="E52" t="s">
        <v>289</v>
      </c>
      <c r="F52" t="s">
        <v>20</v>
      </c>
      <c r="G52" t="s">
        <v>20</v>
      </c>
      <c r="H52" t="s">
        <v>21</v>
      </c>
      <c r="I52" t="s">
        <v>290</v>
      </c>
      <c r="J52" t="s">
        <v>291</v>
      </c>
      <c r="K52">
        <v>91477</v>
      </c>
      <c r="L52">
        <v>20150</v>
      </c>
      <c r="M52">
        <v>434738</v>
      </c>
      <c r="N52">
        <v>779</v>
      </c>
      <c r="O52" t="s">
        <v>24</v>
      </c>
    </row>
    <row r="53" spans="1:15">
      <c r="A53" t="s">
        <v>292</v>
      </c>
      <c r="B53" t="s">
        <v>175</v>
      </c>
      <c r="C53" t="s">
        <v>58</v>
      </c>
      <c r="D53" t="s">
        <v>644</v>
      </c>
      <c r="E53" t="s">
        <v>294</v>
      </c>
      <c r="F53" t="s">
        <v>39</v>
      </c>
      <c r="G53" t="s">
        <v>20</v>
      </c>
      <c r="H53" t="s">
        <v>21</v>
      </c>
      <c r="I53" t="s">
        <v>295</v>
      </c>
      <c r="J53" t="s">
        <v>296</v>
      </c>
      <c r="K53">
        <v>33350</v>
      </c>
      <c r="M53">
        <v>88489</v>
      </c>
      <c r="N53">
        <v>808</v>
      </c>
      <c r="O53" t="s">
        <v>24</v>
      </c>
    </row>
    <row r="54" spans="1:15">
      <c r="A54" t="s">
        <v>297</v>
      </c>
      <c r="B54" t="s">
        <v>26</v>
      </c>
      <c r="C54" t="s">
        <v>36</v>
      </c>
      <c r="D54" t="s">
        <v>645</v>
      </c>
      <c r="E54" t="s">
        <v>299</v>
      </c>
      <c r="F54" t="s">
        <v>39</v>
      </c>
      <c r="G54" t="s">
        <v>20</v>
      </c>
      <c r="H54" t="s">
        <v>21</v>
      </c>
      <c r="I54" t="s">
        <v>300</v>
      </c>
      <c r="J54" t="s">
        <v>301</v>
      </c>
      <c r="K54">
        <v>73510</v>
      </c>
      <c r="L54">
        <v>6558</v>
      </c>
      <c r="M54">
        <v>294896</v>
      </c>
      <c r="N54">
        <v>730</v>
      </c>
      <c r="O54" t="s">
        <v>24</v>
      </c>
    </row>
    <row r="55" spans="1:15">
      <c r="A55" t="s">
        <v>302</v>
      </c>
      <c r="B55" t="s">
        <v>16</v>
      </c>
      <c r="C55" t="s">
        <v>27</v>
      </c>
      <c r="D55" t="s">
        <v>646</v>
      </c>
      <c r="E55" t="s">
        <v>304</v>
      </c>
      <c r="F55" t="s">
        <v>68</v>
      </c>
      <c r="G55" t="s">
        <v>30</v>
      </c>
      <c r="H55" t="s">
        <v>21</v>
      </c>
      <c r="K55">
        <v>12587</v>
      </c>
      <c r="L55">
        <v>6378</v>
      </c>
      <c r="M55">
        <v>315899</v>
      </c>
      <c r="N55">
        <v>781</v>
      </c>
    </row>
    <row r="56" spans="1:15">
      <c r="A56" t="s">
        <v>305</v>
      </c>
      <c r="B56" t="s">
        <v>175</v>
      </c>
      <c r="C56" t="s">
        <v>17</v>
      </c>
      <c r="D56" t="s">
        <v>647</v>
      </c>
      <c r="E56" t="s">
        <v>307</v>
      </c>
      <c r="F56" t="s">
        <v>39</v>
      </c>
      <c r="G56" t="s">
        <v>39</v>
      </c>
      <c r="H56" t="s">
        <v>21</v>
      </c>
      <c r="I56" t="s">
        <v>308</v>
      </c>
      <c r="J56" t="s">
        <v>309</v>
      </c>
      <c r="K56">
        <v>45267</v>
      </c>
      <c r="L56">
        <v>3246</v>
      </c>
      <c r="M56">
        <v>89261</v>
      </c>
      <c r="N56">
        <v>778</v>
      </c>
      <c r="O56" t="s">
        <v>33</v>
      </c>
    </row>
    <row r="57" spans="1:15">
      <c r="A57" t="s">
        <v>310</v>
      </c>
      <c r="B57" t="s">
        <v>64</v>
      </c>
      <c r="C57" t="s">
        <v>58</v>
      </c>
      <c r="D57" t="s">
        <v>648</v>
      </c>
      <c r="E57" t="s">
        <v>312</v>
      </c>
      <c r="F57" t="s">
        <v>68</v>
      </c>
      <c r="G57" t="s">
        <v>52</v>
      </c>
      <c r="H57" t="s">
        <v>21</v>
      </c>
      <c r="I57" t="s">
        <v>313</v>
      </c>
      <c r="J57" t="s">
        <v>314</v>
      </c>
      <c r="K57">
        <v>56642</v>
      </c>
      <c r="L57">
        <v>20977</v>
      </c>
      <c r="M57">
        <v>437891</v>
      </c>
      <c r="N57">
        <v>659</v>
      </c>
      <c r="O57" t="s">
        <v>33</v>
      </c>
    </row>
    <row r="58" spans="1:15">
      <c r="A58" t="s">
        <v>315</v>
      </c>
      <c r="B58" t="s">
        <v>72</v>
      </c>
      <c r="C58" t="s">
        <v>124</v>
      </c>
      <c r="D58" t="s">
        <v>649</v>
      </c>
      <c r="E58" t="s">
        <v>317</v>
      </c>
      <c r="F58" t="s">
        <v>68</v>
      </c>
      <c r="G58" t="s">
        <v>39</v>
      </c>
      <c r="H58" t="s">
        <v>21</v>
      </c>
      <c r="I58" t="s">
        <v>318</v>
      </c>
      <c r="J58" t="s">
        <v>319</v>
      </c>
      <c r="K58">
        <v>89947</v>
      </c>
      <c r="L58">
        <v>24156</v>
      </c>
      <c r="M58">
        <v>178045</v>
      </c>
      <c r="N58">
        <v>816</v>
      </c>
      <c r="O58" t="s">
        <v>24</v>
      </c>
    </row>
    <row r="59" spans="1:15">
      <c r="A59" t="s">
        <v>320</v>
      </c>
      <c r="B59" t="s">
        <v>243</v>
      </c>
      <c r="C59" t="s">
        <v>27</v>
      </c>
      <c r="D59" t="s">
        <v>650</v>
      </c>
      <c r="E59" t="s">
        <v>322</v>
      </c>
      <c r="F59" t="s">
        <v>68</v>
      </c>
      <c r="G59" t="s">
        <v>39</v>
      </c>
      <c r="I59" t="s">
        <v>256</v>
      </c>
      <c r="J59" t="s">
        <v>323</v>
      </c>
      <c r="K59">
        <v>92036</v>
      </c>
      <c r="L59">
        <v>24996</v>
      </c>
      <c r="M59">
        <v>136837</v>
      </c>
      <c r="N59">
        <v>822</v>
      </c>
      <c r="O59" t="s">
        <v>33</v>
      </c>
    </row>
    <row r="60" spans="1:15">
      <c r="A60" t="s">
        <v>324</v>
      </c>
      <c r="B60" t="s">
        <v>57</v>
      </c>
      <c r="C60" t="s">
        <v>17</v>
      </c>
      <c r="D60" t="s">
        <v>651</v>
      </c>
      <c r="E60" t="s">
        <v>326</v>
      </c>
      <c r="F60" t="s">
        <v>39</v>
      </c>
      <c r="G60" t="s">
        <v>39</v>
      </c>
      <c r="H60" t="s">
        <v>53</v>
      </c>
      <c r="I60" t="s">
        <v>327</v>
      </c>
      <c r="J60" t="s">
        <v>328</v>
      </c>
      <c r="K60">
        <v>67760</v>
      </c>
      <c r="L60">
        <v>12832</v>
      </c>
      <c r="M60">
        <v>212404</v>
      </c>
      <c r="N60">
        <v>792</v>
      </c>
      <c r="O60" t="s">
        <v>33</v>
      </c>
    </row>
    <row r="61" spans="1:15">
      <c r="A61" t="s">
        <v>329</v>
      </c>
      <c r="B61" t="s">
        <v>43</v>
      </c>
      <c r="C61" t="s">
        <v>17</v>
      </c>
      <c r="D61" t="s">
        <v>652</v>
      </c>
      <c r="E61" t="s">
        <v>331</v>
      </c>
      <c r="F61" t="s">
        <v>30</v>
      </c>
      <c r="G61" t="s">
        <v>39</v>
      </c>
      <c r="H61" t="s">
        <v>21</v>
      </c>
      <c r="I61" t="s">
        <v>332</v>
      </c>
      <c r="J61" t="s">
        <v>333</v>
      </c>
      <c r="K61">
        <v>52122</v>
      </c>
      <c r="L61">
        <v>17133</v>
      </c>
      <c r="M61">
        <v>102415</v>
      </c>
      <c r="N61">
        <v>844</v>
      </c>
      <c r="O61" t="s">
        <v>24</v>
      </c>
    </row>
    <row r="62" spans="1:15">
      <c r="A62" t="s">
        <v>334</v>
      </c>
      <c r="B62" t="s">
        <v>57</v>
      </c>
      <c r="C62" t="s">
        <v>58</v>
      </c>
      <c r="D62" t="s">
        <v>653</v>
      </c>
      <c r="E62" t="s">
        <v>336</v>
      </c>
      <c r="F62" t="s">
        <v>30</v>
      </c>
      <c r="G62" t="s">
        <v>20</v>
      </c>
      <c r="H62" t="s">
        <v>21</v>
      </c>
      <c r="I62" t="s">
        <v>337</v>
      </c>
      <c r="J62" t="s">
        <v>338</v>
      </c>
      <c r="K62">
        <v>54884</v>
      </c>
      <c r="L62">
        <v>22722</v>
      </c>
      <c r="M62">
        <v>489284</v>
      </c>
      <c r="N62">
        <v>670</v>
      </c>
      <c r="O62" t="s">
        <v>24</v>
      </c>
    </row>
    <row r="63" spans="1:15">
      <c r="A63" t="s">
        <v>339</v>
      </c>
      <c r="B63" t="s">
        <v>16</v>
      </c>
      <c r="C63" t="s">
        <v>104</v>
      </c>
      <c r="D63" t="s">
        <v>654</v>
      </c>
      <c r="E63" t="s">
        <v>341</v>
      </c>
      <c r="F63" t="s">
        <v>39</v>
      </c>
      <c r="G63" t="s">
        <v>20</v>
      </c>
      <c r="H63" t="s">
        <v>21</v>
      </c>
      <c r="I63" t="s">
        <v>342</v>
      </c>
      <c r="J63" t="s">
        <v>128</v>
      </c>
      <c r="K63">
        <v>59531</v>
      </c>
      <c r="L63">
        <v>25596</v>
      </c>
      <c r="M63">
        <v>138393</v>
      </c>
      <c r="N63">
        <v>849</v>
      </c>
      <c r="O63" t="s">
        <v>24</v>
      </c>
    </row>
    <row r="64" spans="1:15">
      <c r="A64" t="s">
        <v>343</v>
      </c>
      <c r="B64" t="s">
        <v>130</v>
      </c>
      <c r="C64" t="s">
        <v>36</v>
      </c>
      <c r="D64" t="s">
        <v>655</v>
      </c>
      <c r="E64" t="s">
        <v>345</v>
      </c>
      <c r="F64" t="s">
        <v>20</v>
      </c>
      <c r="G64" t="s">
        <v>39</v>
      </c>
      <c r="H64" t="s">
        <v>21</v>
      </c>
      <c r="I64" t="s">
        <v>346</v>
      </c>
      <c r="J64" t="s">
        <v>347</v>
      </c>
      <c r="K64">
        <v>43800</v>
      </c>
      <c r="L64">
        <v>11817</v>
      </c>
      <c r="M64">
        <v>310221</v>
      </c>
      <c r="N64">
        <v>751</v>
      </c>
      <c r="O64" t="s">
        <v>24</v>
      </c>
    </row>
    <row r="65" spans="1:15">
      <c r="A65" t="s">
        <v>348</v>
      </c>
      <c r="B65" t="s">
        <v>35</v>
      </c>
      <c r="C65" t="s">
        <v>58</v>
      </c>
      <c r="D65" t="s">
        <v>656</v>
      </c>
      <c r="E65" t="s">
        <v>350</v>
      </c>
      <c r="F65" t="s">
        <v>20</v>
      </c>
      <c r="G65" t="s">
        <v>68</v>
      </c>
      <c r="H65" t="s">
        <v>21</v>
      </c>
      <c r="I65" t="s">
        <v>351</v>
      </c>
      <c r="J65" t="s">
        <v>352</v>
      </c>
      <c r="K65">
        <v>86055</v>
      </c>
      <c r="L65">
        <v>10411</v>
      </c>
      <c r="N65">
        <v>702</v>
      </c>
      <c r="O65" t="s">
        <v>24</v>
      </c>
    </row>
    <row r="66" spans="1:15">
      <c r="A66" t="s">
        <v>353</v>
      </c>
      <c r="B66" t="s">
        <v>35</v>
      </c>
      <c r="C66" t="s">
        <v>58</v>
      </c>
      <c r="D66" t="s">
        <v>657</v>
      </c>
      <c r="E66" t="s">
        <v>355</v>
      </c>
      <c r="F66" t="s">
        <v>39</v>
      </c>
      <c r="H66" t="s">
        <v>53</v>
      </c>
      <c r="I66" t="s">
        <v>222</v>
      </c>
      <c r="J66" t="s">
        <v>356</v>
      </c>
      <c r="K66">
        <v>84022</v>
      </c>
      <c r="L66">
        <v>13435</v>
      </c>
      <c r="M66">
        <v>183257</v>
      </c>
      <c r="N66">
        <v>633</v>
      </c>
      <c r="O66" t="s">
        <v>24</v>
      </c>
    </row>
    <row r="67" spans="1:15">
      <c r="A67" t="s">
        <v>357</v>
      </c>
      <c r="B67" t="s">
        <v>35</v>
      </c>
      <c r="C67" t="s">
        <v>58</v>
      </c>
      <c r="D67" t="s">
        <v>658</v>
      </c>
      <c r="E67" t="s">
        <v>359</v>
      </c>
      <c r="F67" t="s">
        <v>30</v>
      </c>
      <c r="G67" t="s">
        <v>52</v>
      </c>
      <c r="H67" t="s">
        <v>53</v>
      </c>
      <c r="I67" t="s">
        <v>360</v>
      </c>
      <c r="J67" t="s">
        <v>361</v>
      </c>
      <c r="K67">
        <v>15611</v>
      </c>
      <c r="L67">
        <v>9965</v>
      </c>
      <c r="M67">
        <v>459360</v>
      </c>
      <c r="N67">
        <v>630</v>
      </c>
      <c r="O67" t="s">
        <v>33</v>
      </c>
    </row>
    <row r="68" spans="1:15">
      <c r="A68" t="s">
        <v>362</v>
      </c>
      <c r="B68" t="s">
        <v>35</v>
      </c>
      <c r="C68" t="s">
        <v>124</v>
      </c>
      <c r="D68" t="s">
        <v>659</v>
      </c>
      <c r="E68" t="s">
        <v>364</v>
      </c>
      <c r="F68" t="s">
        <v>39</v>
      </c>
      <c r="G68" t="s">
        <v>68</v>
      </c>
      <c r="H68" t="s">
        <v>53</v>
      </c>
      <c r="I68" t="s">
        <v>365</v>
      </c>
      <c r="J68" t="s">
        <v>193</v>
      </c>
      <c r="K68">
        <v>96902</v>
      </c>
      <c r="L68">
        <v>15664</v>
      </c>
      <c r="M68">
        <v>254316</v>
      </c>
      <c r="N68">
        <v>684</v>
      </c>
      <c r="O68" t="s">
        <v>33</v>
      </c>
    </row>
    <row r="69" spans="1:15">
      <c r="A69" t="s">
        <v>366</v>
      </c>
      <c r="B69" t="s">
        <v>43</v>
      </c>
      <c r="C69" t="s">
        <v>58</v>
      </c>
      <c r="D69" t="s">
        <v>660</v>
      </c>
      <c r="E69" t="s">
        <v>368</v>
      </c>
      <c r="F69" t="s">
        <v>39</v>
      </c>
      <c r="G69" t="s">
        <v>68</v>
      </c>
      <c r="H69" t="s">
        <v>21</v>
      </c>
      <c r="I69" t="s">
        <v>369</v>
      </c>
      <c r="J69" t="s">
        <v>370</v>
      </c>
      <c r="K69">
        <v>89344</v>
      </c>
      <c r="L69">
        <v>23873</v>
      </c>
      <c r="M69">
        <v>343736</v>
      </c>
      <c r="N69">
        <v>763</v>
      </c>
      <c r="O69" t="s">
        <v>24</v>
      </c>
    </row>
    <row r="70" spans="1:15">
      <c r="A70" t="s">
        <v>371</v>
      </c>
      <c r="B70" t="s">
        <v>26</v>
      </c>
      <c r="C70" t="s">
        <v>36</v>
      </c>
      <c r="D70" t="s">
        <v>661</v>
      </c>
      <c r="E70" t="s">
        <v>373</v>
      </c>
      <c r="F70" t="s">
        <v>20</v>
      </c>
      <c r="H70" t="s">
        <v>21</v>
      </c>
      <c r="I70" t="s">
        <v>374</v>
      </c>
      <c r="J70" t="s">
        <v>375</v>
      </c>
      <c r="K70">
        <v>90040</v>
      </c>
      <c r="L70">
        <v>24629</v>
      </c>
      <c r="M70">
        <v>444373</v>
      </c>
      <c r="N70">
        <v>618</v>
      </c>
      <c r="O70" t="s">
        <v>33</v>
      </c>
    </row>
    <row r="71" spans="1:15">
      <c r="A71" t="s">
        <v>376</v>
      </c>
      <c r="B71" t="s">
        <v>72</v>
      </c>
      <c r="C71" t="s">
        <v>58</v>
      </c>
      <c r="D71" t="s">
        <v>662</v>
      </c>
      <c r="E71" t="s">
        <v>378</v>
      </c>
      <c r="F71" t="s">
        <v>20</v>
      </c>
      <c r="G71" t="s">
        <v>30</v>
      </c>
      <c r="H71" t="s">
        <v>53</v>
      </c>
      <c r="I71" t="s">
        <v>379</v>
      </c>
      <c r="J71" t="s">
        <v>380</v>
      </c>
      <c r="K71">
        <v>93508</v>
      </c>
      <c r="L71">
        <v>3989</v>
      </c>
      <c r="M71">
        <v>476275</v>
      </c>
      <c r="N71">
        <v>731</v>
      </c>
      <c r="O71" t="s">
        <v>33</v>
      </c>
    </row>
    <row r="72" spans="1:15">
      <c r="A72" t="s">
        <v>381</v>
      </c>
      <c r="B72" t="s">
        <v>16</v>
      </c>
      <c r="C72" t="s">
        <v>44</v>
      </c>
      <c r="D72" t="s">
        <v>663</v>
      </c>
      <c r="E72" t="s">
        <v>383</v>
      </c>
      <c r="F72" t="s">
        <v>39</v>
      </c>
      <c r="G72" t="s">
        <v>52</v>
      </c>
      <c r="H72" t="s">
        <v>53</v>
      </c>
      <c r="K72">
        <v>68110</v>
      </c>
      <c r="L72">
        <v>22766</v>
      </c>
      <c r="M72">
        <v>117215</v>
      </c>
      <c r="N72">
        <v>829</v>
      </c>
      <c r="O72" t="s">
        <v>33</v>
      </c>
    </row>
    <row r="73" spans="1:15">
      <c r="A73" t="s">
        <v>384</v>
      </c>
      <c r="B73" t="s">
        <v>64</v>
      </c>
      <c r="C73" t="s">
        <v>17</v>
      </c>
      <c r="D73" t="s">
        <v>664</v>
      </c>
      <c r="E73" t="s">
        <v>386</v>
      </c>
      <c r="F73" t="s">
        <v>68</v>
      </c>
      <c r="G73" t="s">
        <v>68</v>
      </c>
      <c r="H73" t="s">
        <v>53</v>
      </c>
      <c r="I73" t="s">
        <v>387</v>
      </c>
      <c r="J73" t="s">
        <v>91</v>
      </c>
      <c r="L73">
        <v>2120</v>
      </c>
      <c r="M73">
        <v>251450</v>
      </c>
      <c r="N73">
        <v>614</v>
      </c>
      <c r="O73" t="s">
        <v>33</v>
      </c>
    </row>
    <row r="74" spans="1:15">
      <c r="A74" t="s">
        <v>388</v>
      </c>
      <c r="B74" t="s">
        <v>175</v>
      </c>
      <c r="C74" t="s">
        <v>27</v>
      </c>
      <c r="D74" t="s">
        <v>665</v>
      </c>
      <c r="E74" t="s">
        <v>390</v>
      </c>
      <c r="F74" t="s">
        <v>68</v>
      </c>
      <c r="G74" t="s">
        <v>30</v>
      </c>
      <c r="H74" t="s">
        <v>21</v>
      </c>
      <c r="I74" t="s">
        <v>391</v>
      </c>
      <c r="J74" t="s">
        <v>347</v>
      </c>
      <c r="K74">
        <v>42163</v>
      </c>
      <c r="L74">
        <v>17473</v>
      </c>
      <c r="M74">
        <v>342121</v>
      </c>
      <c r="N74">
        <v>652</v>
      </c>
      <c r="O74" t="s">
        <v>33</v>
      </c>
    </row>
    <row r="75" spans="1:15">
      <c r="A75" t="s">
        <v>392</v>
      </c>
      <c r="B75" t="s">
        <v>26</v>
      </c>
      <c r="C75" t="s">
        <v>124</v>
      </c>
      <c r="D75" t="s">
        <v>666</v>
      </c>
      <c r="F75" t="s">
        <v>39</v>
      </c>
      <c r="G75" t="s">
        <v>20</v>
      </c>
      <c r="H75" t="s">
        <v>53</v>
      </c>
      <c r="I75" t="s">
        <v>394</v>
      </c>
      <c r="J75" t="s">
        <v>395</v>
      </c>
      <c r="K75">
        <v>48184</v>
      </c>
      <c r="L75">
        <v>25352</v>
      </c>
      <c r="M75">
        <v>132329</v>
      </c>
      <c r="N75">
        <v>651</v>
      </c>
      <c r="O75" t="s">
        <v>33</v>
      </c>
    </row>
    <row r="76" spans="1:15">
      <c r="A76" t="s">
        <v>396</v>
      </c>
      <c r="B76" t="s">
        <v>243</v>
      </c>
      <c r="C76" t="s">
        <v>65</v>
      </c>
      <c r="D76" t="s">
        <v>667</v>
      </c>
      <c r="E76" t="s">
        <v>397</v>
      </c>
      <c r="F76" t="s">
        <v>68</v>
      </c>
      <c r="G76" t="s">
        <v>39</v>
      </c>
      <c r="H76" t="s">
        <v>53</v>
      </c>
      <c r="I76" t="s">
        <v>398</v>
      </c>
      <c r="J76" t="s">
        <v>399</v>
      </c>
      <c r="K76">
        <v>15711</v>
      </c>
      <c r="L76">
        <v>10846</v>
      </c>
      <c r="M76">
        <v>477267</v>
      </c>
      <c r="N76">
        <v>804</v>
      </c>
      <c r="O76" t="s">
        <v>33</v>
      </c>
    </row>
    <row r="77" spans="1:15">
      <c r="A77" t="s">
        <v>400</v>
      </c>
      <c r="B77" t="s">
        <v>243</v>
      </c>
      <c r="C77" t="s">
        <v>44</v>
      </c>
      <c r="D77" t="s">
        <v>668</v>
      </c>
      <c r="E77" t="s">
        <v>402</v>
      </c>
      <c r="F77" t="s">
        <v>68</v>
      </c>
      <c r="G77" t="s">
        <v>52</v>
      </c>
      <c r="H77" t="s">
        <v>53</v>
      </c>
      <c r="I77" t="s">
        <v>403</v>
      </c>
      <c r="J77" t="s">
        <v>404</v>
      </c>
      <c r="K77">
        <v>78960</v>
      </c>
      <c r="L77">
        <v>4993</v>
      </c>
      <c r="M77">
        <v>127991</v>
      </c>
      <c r="N77">
        <v>681</v>
      </c>
      <c r="O77" t="s">
        <v>33</v>
      </c>
    </row>
    <row r="78" spans="1:15">
      <c r="A78" t="s">
        <v>405</v>
      </c>
      <c r="B78" t="s">
        <v>16</v>
      </c>
      <c r="C78" t="s">
        <v>124</v>
      </c>
      <c r="D78" t="s">
        <v>669</v>
      </c>
      <c r="E78" t="s">
        <v>407</v>
      </c>
      <c r="F78" t="s">
        <v>20</v>
      </c>
      <c r="G78" t="s">
        <v>20</v>
      </c>
      <c r="H78" t="s">
        <v>21</v>
      </c>
      <c r="I78" t="s">
        <v>408</v>
      </c>
      <c r="J78" t="s">
        <v>361</v>
      </c>
      <c r="K78">
        <v>59876</v>
      </c>
      <c r="L78">
        <v>27726</v>
      </c>
      <c r="M78">
        <v>90983</v>
      </c>
      <c r="N78">
        <v>836</v>
      </c>
      <c r="O78" t="s">
        <v>24</v>
      </c>
    </row>
    <row r="79" spans="1:15">
      <c r="A79" t="s">
        <v>409</v>
      </c>
      <c r="B79" t="s">
        <v>64</v>
      </c>
      <c r="C79" t="s">
        <v>124</v>
      </c>
      <c r="D79" t="s">
        <v>670</v>
      </c>
      <c r="E79" t="s">
        <v>411</v>
      </c>
      <c r="F79" t="s">
        <v>68</v>
      </c>
      <c r="G79" t="s">
        <v>39</v>
      </c>
      <c r="H79" t="s">
        <v>21</v>
      </c>
      <c r="I79" t="s">
        <v>22</v>
      </c>
      <c r="J79" t="s">
        <v>412</v>
      </c>
      <c r="K79">
        <v>57392</v>
      </c>
      <c r="L79">
        <v>27113</v>
      </c>
      <c r="M79">
        <v>387379</v>
      </c>
      <c r="N79">
        <v>694</v>
      </c>
      <c r="O79" t="s">
        <v>33</v>
      </c>
    </row>
    <row r="80" spans="1:15">
      <c r="A80" t="s">
        <v>413</v>
      </c>
      <c r="B80" t="s">
        <v>57</v>
      </c>
      <c r="C80" t="s">
        <v>44</v>
      </c>
      <c r="D80" t="s">
        <v>671</v>
      </c>
      <c r="E80" t="s">
        <v>415</v>
      </c>
      <c r="F80" t="s">
        <v>39</v>
      </c>
      <c r="G80" t="s">
        <v>30</v>
      </c>
      <c r="H80" t="s">
        <v>53</v>
      </c>
      <c r="I80" t="s">
        <v>416</v>
      </c>
      <c r="J80" t="s">
        <v>417</v>
      </c>
      <c r="K80">
        <v>42784</v>
      </c>
      <c r="L80">
        <v>23519</v>
      </c>
      <c r="M80">
        <v>165936</v>
      </c>
      <c r="N80">
        <v>744</v>
      </c>
      <c r="O80" t="s">
        <v>24</v>
      </c>
    </row>
    <row r="81" spans="1:15">
      <c r="A81" t="s">
        <v>418</v>
      </c>
      <c r="B81" t="s">
        <v>26</v>
      </c>
      <c r="C81" t="s">
        <v>58</v>
      </c>
      <c r="D81" t="s">
        <v>672</v>
      </c>
      <c r="E81" t="s">
        <v>420</v>
      </c>
      <c r="F81" t="s">
        <v>68</v>
      </c>
      <c r="G81" t="s">
        <v>30</v>
      </c>
      <c r="H81" t="s">
        <v>53</v>
      </c>
      <c r="I81" t="s">
        <v>421</v>
      </c>
      <c r="J81" t="s">
        <v>422</v>
      </c>
      <c r="K81">
        <v>44301</v>
      </c>
      <c r="L81">
        <v>3188</v>
      </c>
      <c r="M81">
        <v>381423</v>
      </c>
      <c r="N81">
        <v>746</v>
      </c>
      <c r="O81" t="s">
        <v>24</v>
      </c>
    </row>
    <row r="82" spans="1:15">
      <c r="A82" t="s">
        <v>423</v>
      </c>
      <c r="B82" t="s">
        <v>72</v>
      </c>
      <c r="C82" t="s">
        <v>36</v>
      </c>
      <c r="D82" t="s">
        <v>673</v>
      </c>
      <c r="E82" t="s">
        <v>425</v>
      </c>
      <c r="F82" t="s">
        <v>30</v>
      </c>
      <c r="G82" t="s">
        <v>52</v>
      </c>
      <c r="H82" t="s">
        <v>21</v>
      </c>
      <c r="I82" t="s">
        <v>426</v>
      </c>
      <c r="J82" t="s">
        <v>427</v>
      </c>
      <c r="K82">
        <v>73789</v>
      </c>
      <c r="L82">
        <v>24274</v>
      </c>
      <c r="M82">
        <v>473337</v>
      </c>
      <c r="N82">
        <v>672</v>
      </c>
      <c r="O82" t="s">
        <v>24</v>
      </c>
    </row>
    <row r="83" spans="1:15">
      <c r="A83" t="s">
        <v>428</v>
      </c>
      <c r="B83" t="s">
        <v>43</v>
      </c>
      <c r="C83" t="s">
        <v>27</v>
      </c>
      <c r="D83" t="s">
        <v>674</v>
      </c>
      <c r="E83" t="s">
        <v>430</v>
      </c>
      <c r="F83" t="s">
        <v>68</v>
      </c>
      <c r="G83" t="s">
        <v>52</v>
      </c>
      <c r="H83" t="s">
        <v>53</v>
      </c>
      <c r="I83" t="s">
        <v>431</v>
      </c>
      <c r="J83" t="s">
        <v>432</v>
      </c>
      <c r="K83">
        <v>73197</v>
      </c>
      <c r="L83">
        <v>24783</v>
      </c>
      <c r="M83">
        <v>88112</v>
      </c>
      <c r="N83">
        <v>808</v>
      </c>
      <c r="O83" t="s">
        <v>33</v>
      </c>
    </row>
    <row r="84" spans="1:15">
      <c r="A84" t="s">
        <v>433</v>
      </c>
      <c r="B84" t="s">
        <v>35</v>
      </c>
      <c r="C84" t="s">
        <v>36</v>
      </c>
      <c r="D84" t="s">
        <v>675</v>
      </c>
      <c r="E84" t="s">
        <v>435</v>
      </c>
      <c r="F84" t="s">
        <v>20</v>
      </c>
      <c r="G84" t="s">
        <v>30</v>
      </c>
      <c r="H84" t="s">
        <v>21</v>
      </c>
      <c r="I84" t="s">
        <v>436</v>
      </c>
      <c r="J84" t="s">
        <v>437</v>
      </c>
      <c r="K84">
        <v>90719</v>
      </c>
      <c r="L84">
        <v>29924</v>
      </c>
      <c r="M84">
        <v>317422</v>
      </c>
      <c r="N84">
        <v>803</v>
      </c>
      <c r="O84" t="s">
        <v>33</v>
      </c>
    </row>
    <row r="85" spans="1:15">
      <c r="A85" t="s">
        <v>438</v>
      </c>
      <c r="B85" t="s">
        <v>130</v>
      </c>
      <c r="C85" t="s">
        <v>58</v>
      </c>
      <c r="D85" t="s">
        <v>439</v>
      </c>
      <c r="E85" t="s">
        <v>440</v>
      </c>
      <c r="F85" t="s">
        <v>68</v>
      </c>
      <c r="G85" t="s">
        <v>30</v>
      </c>
      <c r="H85" t="s">
        <v>53</v>
      </c>
      <c r="I85" t="s">
        <v>441</v>
      </c>
      <c r="J85" t="s">
        <v>442</v>
      </c>
      <c r="K85">
        <v>49669</v>
      </c>
      <c r="L85">
        <v>17793</v>
      </c>
      <c r="M85">
        <v>441569</v>
      </c>
      <c r="N85">
        <v>680</v>
      </c>
      <c r="O85" t="s">
        <v>33</v>
      </c>
    </row>
    <row r="86" spans="1:15">
      <c r="A86" t="s">
        <v>443</v>
      </c>
      <c r="B86" t="s">
        <v>64</v>
      </c>
      <c r="C86" t="s">
        <v>36</v>
      </c>
      <c r="D86" t="s">
        <v>444</v>
      </c>
      <c r="E86" t="s">
        <v>445</v>
      </c>
      <c r="F86" t="s">
        <v>68</v>
      </c>
      <c r="G86" t="s">
        <v>20</v>
      </c>
      <c r="H86" t="s">
        <v>21</v>
      </c>
      <c r="I86" t="s">
        <v>446</v>
      </c>
      <c r="J86" t="s">
        <v>447</v>
      </c>
      <c r="K86">
        <v>27163</v>
      </c>
      <c r="L86">
        <v>17591</v>
      </c>
      <c r="M86">
        <v>282879</v>
      </c>
      <c r="N86">
        <v>750</v>
      </c>
      <c r="O86" t="s">
        <v>24</v>
      </c>
    </row>
    <row r="87" spans="1:15">
      <c r="A87" t="s">
        <v>448</v>
      </c>
      <c r="B87" t="s">
        <v>175</v>
      </c>
      <c r="C87" t="s">
        <v>58</v>
      </c>
      <c r="D87" t="s">
        <v>449</v>
      </c>
      <c r="E87" t="s">
        <v>450</v>
      </c>
      <c r="F87" t="s">
        <v>30</v>
      </c>
      <c r="G87" t="s">
        <v>68</v>
      </c>
      <c r="H87" t="s">
        <v>21</v>
      </c>
      <c r="I87" t="s">
        <v>451</v>
      </c>
      <c r="J87" t="s">
        <v>452</v>
      </c>
      <c r="K87">
        <v>62709</v>
      </c>
      <c r="L87">
        <v>10225</v>
      </c>
      <c r="M87">
        <v>395501</v>
      </c>
      <c r="O87" t="s">
        <v>24</v>
      </c>
    </row>
    <row r="88" spans="1:15">
      <c r="A88" t="s">
        <v>453</v>
      </c>
      <c r="B88" t="s">
        <v>35</v>
      </c>
      <c r="C88" t="s">
        <v>27</v>
      </c>
      <c r="D88" t="s">
        <v>454</v>
      </c>
      <c r="E88" t="s">
        <v>455</v>
      </c>
      <c r="F88" t="s">
        <v>20</v>
      </c>
      <c r="G88" t="s">
        <v>68</v>
      </c>
      <c r="H88" t="s">
        <v>21</v>
      </c>
      <c r="I88" t="s">
        <v>456</v>
      </c>
      <c r="J88" t="s">
        <v>457</v>
      </c>
      <c r="K88">
        <v>93340</v>
      </c>
      <c r="L88">
        <v>25555</v>
      </c>
      <c r="M88">
        <v>496827</v>
      </c>
      <c r="N88">
        <v>723</v>
      </c>
      <c r="O88" t="s">
        <v>33</v>
      </c>
    </row>
    <row r="89" spans="1:15">
      <c r="A89" t="s">
        <v>458</v>
      </c>
      <c r="D89" t="s">
        <v>459</v>
      </c>
      <c r="E89" t="s">
        <v>460</v>
      </c>
      <c r="F89" t="s">
        <v>39</v>
      </c>
      <c r="G89" t="s">
        <v>20</v>
      </c>
      <c r="H89" t="s">
        <v>21</v>
      </c>
      <c r="I89" t="s">
        <v>461</v>
      </c>
      <c r="J89" t="s">
        <v>296</v>
      </c>
      <c r="K89">
        <v>12380</v>
      </c>
      <c r="L89">
        <v>6638</v>
      </c>
      <c r="M89">
        <v>476798</v>
      </c>
      <c r="N89">
        <v>666</v>
      </c>
      <c r="O89" t="s">
        <v>33</v>
      </c>
    </row>
    <row r="90" spans="1:15">
      <c r="A90" t="s">
        <v>462</v>
      </c>
      <c r="B90" t="s">
        <v>26</v>
      </c>
      <c r="C90" t="s">
        <v>17</v>
      </c>
      <c r="D90" t="s">
        <v>463</v>
      </c>
      <c r="E90" t="s">
        <v>464</v>
      </c>
      <c r="F90" t="s">
        <v>68</v>
      </c>
      <c r="G90" t="s">
        <v>20</v>
      </c>
      <c r="H90" t="s">
        <v>21</v>
      </c>
      <c r="I90" t="s">
        <v>465</v>
      </c>
      <c r="J90" t="s">
        <v>466</v>
      </c>
      <c r="K90">
        <v>66820</v>
      </c>
      <c r="L90">
        <v>12006</v>
      </c>
      <c r="M90">
        <v>457370</v>
      </c>
      <c r="N90">
        <v>833</v>
      </c>
      <c r="O90" t="s">
        <v>33</v>
      </c>
    </row>
    <row r="91" spans="1:15">
      <c r="A91" t="s">
        <v>467</v>
      </c>
      <c r="B91" t="s">
        <v>26</v>
      </c>
      <c r="C91" t="s">
        <v>27</v>
      </c>
      <c r="D91" t="s">
        <v>468</v>
      </c>
      <c r="E91" t="s">
        <v>469</v>
      </c>
      <c r="F91" t="s">
        <v>30</v>
      </c>
      <c r="G91" t="s">
        <v>39</v>
      </c>
      <c r="H91" t="s">
        <v>53</v>
      </c>
      <c r="I91" t="s">
        <v>470</v>
      </c>
      <c r="J91" t="s">
        <v>471</v>
      </c>
      <c r="K91">
        <v>29608</v>
      </c>
      <c r="L91">
        <v>8511</v>
      </c>
      <c r="M91">
        <v>432816</v>
      </c>
      <c r="N91">
        <v>606</v>
      </c>
      <c r="O91" t="s">
        <v>24</v>
      </c>
    </row>
    <row r="92" spans="1:15">
      <c r="A92" t="s">
        <v>472</v>
      </c>
      <c r="B92" t="s">
        <v>130</v>
      </c>
      <c r="C92" t="s">
        <v>65</v>
      </c>
      <c r="D92" t="s">
        <v>473</v>
      </c>
      <c r="E92" t="s">
        <v>474</v>
      </c>
      <c r="F92" t="s">
        <v>39</v>
      </c>
      <c r="G92" t="s">
        <v>30</v>
      </c>
      <c r="H92" t="s">
        <v>53</v>
      </c>
      <c r="I92" t="s">
        <v>352</v>
      </c>
      <c r="J92" t="s">
        <v>475</v>
      </c>
      <c r="K92">
        <v>66057</v>
      </c>
      <c r="L92">
        <v>21050</v>
      </c>
      <c r="M92">
        <v>76671</v>
      </c>
      <c r="N92">
        <v>740</v>
      </c>
      <c r="O92" t="s">
        <v>24</v>
      </c>
    </row>
    <row r="93" spans="1:15">
      <c r="A93" t="s">
        <v>476</v>
      </c>
      <c r="B93" t="s">
        <v>243</v>
      </c>
      <c r="C93" t="s">
        <v>58</v>
      </c>
      <c r="D93" t="s">
        <v>477</v>
      </c>
      <c r="E93" t="s">
        <v>478</v>
      </c>
      <c r="F93" t="s">
        <v>30</v>
      </c>
      <c r="G93" t="s">
        <v>52</v>
      </c>
      <c r="H93" t="s">
        <v>21</v>
      </c>
      <c r="I93" t="s">
        <v>479</v>
      </c>
      <c r="J93" t="s">
        <v>480</v>
      </c>
      <c r="K93">
        <v>98034</v>
      </c>
      <c r="L93">
        <v>25285</v>
      </c>
      <c r="M93">
        <v>112205</v>
      </c>
      <c r="N93">
        <v>667</v>
      </c>
    </row>
    <row r="94" spans="1:15">
      <c r="A94" t="s">
        <v>481</v>
      </c>
      <c r="B94" t="s">
        <v>35</v>
      </c>
      <c r="C94" t="s">
        <v>104</v>
      </c>
      <c r="D94" t="s">
        <v>482</v>
      </c>
      <c r="E94" t="s">
        <v>483</v>
      </c>
      <c r="F94" t="s">
        <v>30</v>
      </c>
      <c r="G94" t="s">
        <v>20</v>
      </c>
      <c r="H94" t="s">
        <v>53</v>
      </c>
      <c r="I94" t="s">
        <v>484</v>
      </c>
      <c r="J94" t="s">
        <v>23</v>
      </c>
      <c r="K94">
        <v>97648</v>
      </c>
      <c r="L94">
        <v>15656</v>
      </c>
      <c r="M94">
        <v>204270</v>
      </c>
      <c r="N94">
        <v>774</v>
      </c>
      <c r="O94" t="s">
        <v>33</v>
      </c>
    </row>
    <row r="95" spans="1:15">
      <c r="A95" t="s">
        <v>485</v>
      </c>
      <c r="B95" t="s">
        <v>57</v>
      </c>
      <c r="C95" t="s">
        <v>124</v>
      </c>
      <c r="D95" t="s">
        <v>486</v>
      </c>
      <c r="E95" t="s">
        <v>487</v>
      </c>
      <c r="F95" t="s">
        <v>39</v>
      </c>
      <c r="G95" t="s">
        <v>20</v>
      </c>
      <c r="H95" t="s">
        <v>53</v>
      </c>
      <c r="I95" t="s">
        <v>488</v>
      </c>
      <c r="J95" t="s">
        <v>489</v>
      </c>
      <c r="K95">
        <v>31905</v>
      </c>
      <c r="L95">
        <v>18063</v>
      </c>
      <c r="M95">
        <v>185061</v>
      </c>
      <c r="N95">
        <v>706</v>
      </c>
      <c r="O95" t="s">
        <v>33</v>
      </c>
    </row>
    <row r="96" spans="1:15">
      <c r="A96" t="s">
        <v>490</v>
      </c>
      <c r="B96" t="s">
        <v>43</v>
      </c>
      <c r="C96" t="s">
        <v>44</v>
      </c>
      <c r="D96" t="s">
        <v>491</v>
      </c>
      <c r="E96" t="s">
        <v>492</v>
      </c>
      <c r="F96" t="s">
        <v>30</v>
      </c>
      <c r="G96" t="s">
        <v>30</v>
      </c>
      <c r="H96" t="s">
        <v>21</v>
      </c>
      <c r="J96" t="s">
        <v>493</v>
      </c>
      <c r="K96">
        <v>45066</v>
      </c>
      <c r="L96">
        <v>2849</v>
      </c>
      <c r="M96">
        <v>333396</v>
      </c>
      <c r="N96">
        <v>760</v>
      </c>
      <c r="O96" t="s">
        <v>33</v>
      </c>
    </row>
    <row r="97" spans="1:15">
      <c r="A97" t="s">
        <v>494</v>
      </c>
      <c r="B97" t="s">
        <v>43</v>
      </c>
      <c r="C97" t="s">
        <v>36</v>
      </c>
      <c r="D97" t="s">
        <v>495</v>
      </c>
      <c r="E97" t="s">
        <v>496</v>
      </c>
      <c r="F97" t="s">
        <v>68</v>
      </c>
      <c r="G97" t="s">
        <v>39</v>
      </c>
      <c r="H97" t="s">
        <v>21</v>
      </c>
      <c r="I97" t="s">
        <v>497</v>
      </c>
      <c r="J97" t="s">
        <v>498</v>
      </c>
      <c r="K97">
        <v>29442</v>
      </c>
      <c r="L97">
        <v>5266</v>
      </c>
      <c r="M97">
        <v>184383</v>
      </c>
      <c r="N97">
        <v>649</v>
      </c>
      <c r="O97" t="s">
        <v>33</v>
      </c>
    </row>
    <row r="98" spans="1:15">
      <c r="A98" t="s">
        <v>499</v>
      </c>
      <c r="B98" t="s">
        <v>64</v>
      </c>
      <c r="C98" t="s">
        <v>36</v>
      </c>
      <c r="D98" t="s">
        <v>500</v>
      </c>
      <c r="E98" t="s">
        <v>501</v>
      </c>
      <c r="F98" t="s">
        <v>20</v>
      </c>
      <c r="G98" t="s">
        <v>68</v>
      </c>
      <c r="H98" t="s">
        <v>21</v>
      </c>
      <c r="I98" t="s">
        <v>318</v>
      </c>
      <c r="J98" t="s">
        <v>127</v>
      </c>
      <c r="K98">
        <v>72933</v>
      </c>
      <c r="L98">
        <v>23787</v>
      </c>
      <c r="M98">
        <v>210325</v>
      </c>
      <c r="N98">
        <v>668</v>
      </c>
      <c r="O98" t="s">
        <v>33</v>
      </c>
    </row>
    <row r="99" spans="1:15">
      <c r="A99" t="s">
        <v>502</v>
      </c>
      <c r="B99" t="s">
        <v>243</v>
      </c>
      <c r="C99" t="s">
        <v>124</v>
      </c>
      <c r="D99" t="s">
        <v>503</v>
      </c>
      <c r="E99" t="s">
        <v>504</v>
      </c>
      <c r="F99" t="s">
        <v>68</v>
      </c>
      <c r="G99" t="s">
        <v>39</v>
      </c>
      <c r="H99" t="s">
        <v>53</v>
      </c>
      <c r="I99" t="s">
        <v>505</v>
      </c>
      <c r="J99" t="s">
        <v>506</v>
      </c>
      <c r="K99">
        <v>86093</v>
      </c>
      <c r="L99">
        <v>23746</v>
      </c>
      <c r="M99">
        <v>286513</v>
      </c>
      <c r="N99">
        <v>736</v>
      </c>
      <c r="O99" t="s">
        <v>24</v>
      </c>
    </row>
    <row r="100" spans="1:15">
      <c r="A100" t="s">
        <v>507</v>
      </c>
      <c r="B100" t="s">
        <v>243</v>
      </c>
      <c r="C100" t="s">
        <v>36</v>
      </c>
      <c r="D100" t="s">
        <v>508</v>
      </c>
      <c r="E100" t="s">
        <v>509</v>
      </c>
      <c r="F100" t="s">
        <v>39</v>
      </c>
      <c r="G100" t="s">
        <v>68</v>
      </c>
      <c r="H100" t="s">
        <v>21</v>
      </c>
      <c r="I100" t="s">
        <v>510</v>
      </c>
      <c r="J100" t="s">
        <v>511</v>
      </c>
      <c r="K100">
        <v>72967</v>
      </c>
      <c r="L100">
        <v>11814</v>
      </c>
      <c r="M100">
        <v>112079</v>
      </c>
      <c r="N100">
        <v>632</v>
      </c>
      <c r="O100" t="s">
        <v>24</v>
      </c>
    </row>
    <row r="101" spans="1:15">
      <c r="A101" t="s">
        <v>512</v>
      </c>
      <c r="B101" t="s">
        <v>16</v>
      </c>
      <c r="C101" t="s">
        <v>36</v>
      </c>
      <c r="D101" t="s">
        <v>513</v>
      </c>
      <c r="E101" t="s">
        <v>514</v>
      </c>
      <c r="F101" t="s">
        <v>39</v>
      </c>
      <c r="G101" t="s">
        <v>30</v>
      </c>
      <c r="H101" t="s">
        <v>53</v>
      </c>
      <c r="I101" t="s">
        <v>515</v>
      </c>
      <c r="J101" t="s">
        <v>516</v>
      </c>
      <c r="K101">
        <v>83827</v>
      </c>
      <c r="L101">
        <v>7534</v>
      </c>
      <c r="M101">
        <v>313725</v>
      </c>
      <c r="N101">
        <v>745</v>
      </c>
      <c r="O101" t="s">
        <v>33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7A041-1DF1-4FE9-936F-54335DEFBEB8}">
  <dimension ref="A1:O101"/>
  <sheetViews>
    <sheetView workbookViewId="0">
      <selection activeCell="H1" sqref="H1:H15"/>
    </sheetView>
  </sheetViews>
  <sheetFormatPr defaultRowHeight="15"/>
  <cols>
    <col min="1" max="1" width="14.5703125" customWidth="1"/>
    <col min="2" max="2" width="13.28515625" customWidth="1"/>
    <col min="3" max="3" width="12.85546875" customWidth="1"/>
    <col min="4" max="4" width="12" bestFit="1" customWidth="1"/>
    <col min="5" max="5" width="18.140625" bestFit="1" customWidth="1"/>
    <col min="6" max="7" width="11.28515625" bestFit="1" customWidth="1"/>
    <col min="8" max="8" width="15.5703125" customWidth="1"/>
    <col min="9" max="9" width="13.140625" customWidth="1"/>
    <col min="10" max="10" width="18.42578125" customWidth="1"/>
    <col min="11" max="11" width="10" customWidth="1"/>
    <col min="12" max="12" width="13.5703125" customWidth="1"/>
    <col min="13" max="13" width="15.42578125" customWidth="1"/>
    <col min="14" max="14" width="14.42578125" customWidth="1"/>
    <col min="15" max="15" width="8.5703125" customWidth="1"/>
  </cols>
  <sheetData>
    <row r="1" spans="1:15" ht="25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20.100000000000001" customHeight="1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 t="s">
        <v>23</v>
      </c>
      <c r="K2">
        <v>95405</v>
      </c>
      <c r="L2">
        <v>13439</v>
      </c>
      <c r="M2">
        <v>463518</v>
      </c>
      <c r="N2">
        <v>653</v>
      </c>
      <c r="O2" t="s">
        <v>24</v>
      </c>
    </row>
    <row r="3" spans="1:1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20</v>
      </c>
      <c r="H3" t="s">
        <v>21</v>
      </c>
      <c r="I3" t="s">
        <v>31</v>
      </c>
      <c r="J3" t="s">
        <v>32</v>
      </c>
      <c r="K3">
        <v>39984</v>
      </c>
      <c r="L3">
        <v>20370</v>
      </c>
      <c r="M3">
        <v>103596</v>
      </c>
      <c r="N3">
        <v>830</v>
      </c>
      <c r="O3" t="s">
        <v>33</v>
      </c>
    </row>
    <row r="4" spans="1:1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20</v>
      </c>
      <c r="G4" t="s">
        <v>39</v>
      </c>
      <c r="H4" t="s">
        <v>21</v>
      </c>
      <c r="I4" t="s">
        <v>40</v>
      </c>
      <c r="J4" t="s">
        <v>41</v>
      </c>
      <c r="K4">
        <v>13806</v>
      </c>
      <c r="L4">
        <v>18289</v>
      </c>
      <c r="M4">
        <v>166230</v>
      </c>
      <c r="N4">
        <v>795</v>
      </c>
      <c r="O4" t="s">
        <v>33</v>
      </c>
    </row>
    <row r="5" spans="1:1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39</v>
      </c>
      <c r="G5" t="s">
        <v>20</v>
      </c>
      <c r="H5" t="s">
        <v>21</v>
      </c>
      <c r="I5" t="s">
        <v>47</v>
      </c>
      <c r="J5" t="s">
        <v>48</v>
      </c>
      <c r="K5">
        <v>12816</v>
      </c>
      <c r="L5">
        <v>14637</v>
      </c>
      <c r="M5">
        <v>489132</v>
      </c>
      <c r="N5">
        <v>834</v>
      </c>
      <c r="O5" t="s">
        <v>24</v>
      </c>
    </row>
    <row r="6" spans="1:15">
      <c r="A6" t="s">
        <v>49</v>
      </c>
      <c r="B6" t="s">
        <v>16</v>
      </c>
      <c r="C6" t="s">
        <v>44</v>
      </c>
      <c r="D6" t="s">
        <v>50</v>
      </c>
      <c r="E6" t="s">
        <v>51</v>
      </c>
      <c r="F6" t="s">
        <v>20</v>
      </c>
      <c r="G6" t="s">
        <v>52</v>
      </c>
      <c r="H6" t="s">
        <v>53</v>
      </c>
      <c r="I6" t="s">
        <v>54</v>
      </c>
      <c r="J6" t="s">
        <v>55</v>
      </c>
      <c r="K6">
        <v>49763</v>
      </c>
      <c r="L6">
        <v>10311</v>
      </c>
      <c r="M6">
        <v>358061</v>
      </c>
      <c r="N6">
        <v>849</v>
      </c>
      <c r="O6" t="s">
        <v>33</v>
      </c>
    </row>
    <row r="7" spans="1:1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39</v>
      </c>
      <c r="G7" t="s">
        <v>20</v>
      </c>
      <c r="H7" t="s">
        <v>21</v>
      </c>
      <c r="I7" t="s">
        <v>61</v>
      </c>
      <c r="J7" t="s">
        <v>62</v>
      </c>
      <c r="K7">
        <v>97129</v>
      </c>
      <c r="L7">
        <v>6669</v>
      </c>
      <c r="M7">
        <v>242478</v>
      </c>
      <c r="N7">
        <v>740</v>
      </c>
      <c r="O7" t="s">
        <v>33</v>
      </c>
    </row>
    <row r="8" spans="1:15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20</v>
      </c>
      <c r="G8" t="s">
        <v>68</v>
      </c>
      <c r="H8" t="s">
        <v>21</v>
      </c>
      <c r="I8" t="s">
        <v>69</v>
      </c>
      <c r="J8" t="s">
        <v>70</v>
      </c>
      <c r="K8">
        <v>13876</v>
      </c>
      <c r="L8">
        <v>16378</v>
      </c>
      <c r="M8">
        <v>72799</v>
      </c>
      <c r="N8">
        <v>678</v>
      </c>
      <c r="O8" t="s">
        <v>33</v>
      </c>
    </row>
    <row r="9" spans="1:15">
      <c r="A9" t="s">
        <v>71</v>
      </c>
      <c r="B9" t="s">
        <v>72</v>
      </c>
      <c r="C9" t="s">
        <v>36</v>
      </c>
      <c r="D9" t="s">
        <v>73</v>
      </c>
      <c r="E9" t="s">
        <v>74</v>
      </c>
      <c r="F9" t="s">
        <v>30</v>
      </c>
      <c r="G9" t="s">
        <v>39</v>
      </c>
      <c r="H9" t="s">
        <v>53</v>
      </c>
      <c r="I9" t="s">
        <v>75</v>
      </c>
      <c r="J9" t="s">
        <v>76</v>
      </c>
      <c r="K9">
        <v>63012</v>
      </c>
      <c r="L9">
        <v>17835</v>
      </c>
      <c r="M9">
        <v>230263</v>
      </c>
      <c r="N9">
        <v>843</v>
      </c>
      <c r="O9" t="s">
        <v>33</v>
      </c>
    </row>
    <row r="10" spans="1:15">
      <c r="A10" t="s">
        <v>77</v>
      </c>
      <c r="B10" t="s">
        <v>64</v>
      </c>
      <c r="C10" t="s">
        <v>58</v>
      </c>
      <c r="D10" t="s">
        <v>78</v>
      </c>
      <c r="E10" t="s">
        <v>79</v>
      </c>
      <c r="F10" t="s">
        <v>39</v>
      </c>
      <c r="G10" t="s">
        <v>52</v>
      </c>
      <c r="H10" t="s">
        <v>53</v>
      </c>
      <c r="I10" t="s">
        <v>80</v>
      </c>
      <c r="J10" t="s">
        <v>81</v>
      </c>
      <c r="K10">
        <v>65848</v>
      </c>
      <c r="L10">
        <v>2839</v>
      </c>
      <c r="M10">
        <v>302235</v>
      </c>
      <c r="N10">
        <v>822</v>
      </c>
      <c r="O10" t="s">
        <v>33</v>
      </c>
    </row>
    <row r="11" spans="1:15">
      <c r="A11" t="s">
        <v>82</v>
      </c>
      <c r="B11" t="s">
        <v>43</v>
      </c>
      <c r="C11" t="s">
        <v>36</v>
      </c>
      <c r="D11" t="s">
        <v>83</v>
      </c>
      <c r="E11" t="s">
        <v>84</v>
      </c>
      <c r="F11" t="s">
        <v>20</v>
      </c>
      <c r="G11" t="s">
        <v>68</v>
      </c>
      <c r="H11" t="s">
        <v>21</v>
      </c>
      <c r="I11" t="s">
        <v>85</v>
      </c>
      <c r="J11" t="s">
        <v>86</v>
      </c>
      <c r="K11">
        <v>55361</v>
      </c>
      <c r="L11">
        <v>1051</v>
      </c>
      <c r="M11">
        <v>332317</v>
      </c>
      <c r="N11">
        <v>738</v>
      </c>
      <c r="O11" t="s">
        <v>33</v>
      </c>
    </row>
    <row r="12" spans="1:15">
      <c r="A12" t="s">
        <v>87</v>
      </c>
      <c r="B12" t="s">
        <v>43</v>
      </c>
      <c r="C12" t="s">
        <v>88</v>
      </c>
      <c r="D12" t="s">
        <v>89</v>
      </c>
      <c r="E12" t="s">
        <v>90</v>
      </c>
      <c r="F12" t="s">
        <v>39</v>
      </c>
      <c r="G12" t="s">
        <v>30</v>
      </c>
      <c r="H12" t="s">
        <v>21</v>
      </c>
      <c r="I12" t="s">
        <v>91</v>
      </c>
      <c r="J12" t="s">
        <v>92</v>
      </c>
      <c r="K12">
        <v>14254</v>
      </c>
      <c r="M12">
        <v>402905</v>
      </c>
      <c r="N12">
        <v>618</v>
      </c>
      <c r="O12" t="s">
        <v>24</v>
      </c>
    </row>
    <row r="13" spans="1:15">
      <c r="A13" t="s">
        <v>93</v>
      </c>
      <c r="B13" t="s">
        <v>35</v>
      </c>
      <c r="C13" t="s">
        <v>17</v>
      </c>
      <c r="D13" t="s">
        <v>94</v>
      </c>
      <c r="E13" t="s">
        <v>95</v>
      </c>
      <c r="F13" t="s">
        <v>68</v>
      </c>
      <c r="G13" t="s">
        <v>30</v>
      </c>
      <c r="H13" t="s">
        <v>53</v>
      </c>
      <c r="I13" t="s">
        <v>96</v>
      </c>
      <c r="J13" t="s">
        <v>97</v>
      </c>
      <c r="K13">
        <v>55144</v>
      </c>
      <c r="L13">
        <v>10512</v>
      </c>
      <c r="M13">
        <v>86446</v>
      </c>
      <c r="N13">
        <v>642</v>
      </c>
      <c r="O13" t="s">
        <v>24</v>
      </c>
    </row>
    <row r="14" spans="1:15">
      <c r="A14" t="s">
        <v>98</v>
      </c>
      <c r="B14" t="s">
        <v>72</v>
      </c>
      <c r="C14" t="s">
        <v>17</v>
      </c>
      <c r="D14" t="s">
        <v>99</v>
      </c>
      <c r="E14" t="s">
        <v>100</v>
      </c>
      <c r="F14" t="s">
        <v>68</v>
      </c>
      <c r="G14" t="s">
        <v>20</v>
      </c>
      <c r="H14" t="s">
        <v>21</v>
      </c>
      <c r="I14" t="s">
        <v>101</v>
      </c>
      <c r="J14" t="s">
        <v>102</v>
      </c>
      <c r="K14">
        <v>75076</v>
      </c>
      <c r="L14">
        <v>16524</v>
      </c>
      <c r="M14">
        <v>109868</v>
      </c>
      <c r="O14" t="s">
        <v>33</v>
      </c>
    </row>
    <row r="15" spans="1:15">
      <c r="A15" t="s">
        <v>103</v>
      </c>
      <c r="B15" t="s">
        <v>26</v>
      </c>
      <c r="C15" t="s">
        <v>104</v>
      </c>
      <c r="D15" t="s">
        <v>105</v>
      </c>
      <c r="E15" t="s">
        <v>106</v>
      </c>
      <c r="G15" t="s">
        <v>68</v>
      </c>
      <c r="H15" t="s">
        <v>53</v>
      </c>
      <c r="I15" t="s">
        <v>107</v>
      </c>
      <c r="J15" t="s">
        <v>108</v>
      </c>
      <c r="K15">
        <v>89383</v>
      </c>
      <c r="L15">
        <v>15144</v>
      </c>
      <c r="M15">
        <v>478364</v>
      </c>
      <c r="N15">
        <v>849</v>
      </c>
      <c r="O15" t="s">
        <v>24</v>
      </c>
    </row>
    <row r="16" spans="1:15">
      <c r="A16" t="s">
        <v>109</v>
      </c>
      <c r="B16" t="s">
        <v>26</v>
      </c>
      <c r="C16" t="s">
        <v>88</v>
      </c>
      <c r="D16" t="s">
        <v>110</v>
      </c>
      <c r="E16" t="s">
        <v>111</v>
      </c>
      <c r="F16" t="s">
        <v>39</v>
      </c>
      <c r="G16" t="s">
        <v>20</v>
      </c>
      <c r="H16" t="s">
        <v>21</v>
      </c>
      <c r="I16" t="s">
        <v>112</v>
      </c>
      <c r="J16" t="s">
        <v>113</v>
      </c>
      <c r="K16">
        <v>81395</v>
      </c>
      <c r="L16">
        <v>28271</v>
      </c>
      <c r="M16">
        <v>165657</v>
      </c>
      <c r="N16">
        <v>850</v>
      </c>
      <c r="O16" t="s">
        <v>33</v>
      </c>
    </row>
    <row r="17" spans="1:15">
      <c r="A17" t="s">
        <v>114</v>
      </c>
      <c r="B17" t="s">
        <v>35</v>
      </c>
      <c r="C17" t="s">
        <v>27</v>
      </c>
      <c r="D17" t="s">
        <v>115</v>
      </c>
      <c r="E17" t="s">
        <v>116</v>
      </c>
      <c r="F17" t="s">
        <v>68</v>
      </c>
      <c r="G17" t="s">
        <v>20</v>
      </c>
      <c r="H17" t="s">
        <v>53</v>
      </c>
      <c r="I17" t="s">
        <v>117</v>
      </c>
      <c r="J17" t="s">
        <v>118</v>
      </c>
      <c r="K17">
        <v>49138</v>
      </c>
      <c r="L17">
        <v>5118</v>
      </c>
      <c r="M17">
        <v>161218</v>
      </c>
      <c r="N17">
        <v>824</v>
      </c>
      <c r="O17" t="s">
        <v>24</v>
      </c>
    </row>
    <row r="18" spans="1:15">
      <c r="A18" t="s">
        <v>119</v>
      </c>
      <c r="B18" t="s">
        <v>16</v>
      </c>
      <c r="C18" t="s">
        <v>17</v>
      </c>
      <c r="D18" t="s">
        <v>120</v>
      </c>
      <c r="E18" t="s">
        <v>121</v>
      </c>
      <c r="F18" t="s">
        <v>39</v>
      </c>
      <c r="G18" t="s">
        <v>20</v>
      </c>
      <c r="H18" t="s">
        <v>21</v>
      </c>
      <c r="I18" t="s">
        <v>70</v>
      </c>
      <c r="J18" t="s">
        <v>122</v>
      </c>
      <c r="K18">
        <v>27090</v>
      </c>
      <c r="L18">
        <v>1277</v>
      </c>
      <c r="M18">
        <v>343977</v>
      </c>
      <c r="N18">
        <v>824</v>
      </c>
      <c r="O18" t="s">
        <v>24</v>
      </c>
    </row>
    <row r="19" spans="1:15">
      <c r="A19" t="s">
        <v>123</v>
      </c>
      <c r="B19" t="s">
        <v>57</v>
      </c>
      <c r="C19" t="s">
        <v>124</v>
      </c>
      <c r="D19" t="s">
        <v>125</v>
      </c>
      <c r="E19" t="s">
        <v>126</v>
      </c>
      <c r="F19" t="s">
        <v>30</v>
      </c>
      <c r="G19" t="s">
        <v>20</v>
      </c>
      <c r="H19" t="s">
        <v>53</v>
      </c>
      <c r="I19" t="s">
        <v>127</v>
      </c>
      <c r="J19" t="s">
        <v>128</v>
      </c>
      <c r="K19">
        <v>55472</v>
      </c>
      <c r="L19">
        <v>4244</v>
      </c>
      <c r="M19">
        <v>157878</v>
      </c>
      <c r="N19">
        <v>746</v>
      </c>
      <c r="O19" t="s">
        <v>33</v>
      </c>
    </row>
    <row r="20" spans="1:15">
      <c r="A20" t="s">
        <v>129</v>
      </c>
      <c r="B20" t="s">
        <v>130</v>
      </c>
      <c r="C20" t="s">
        <v>65</v>
      </c>
      <c r="D20" t="s">
        <v>131</v>
      </c>
      <c r="E20" t="s">
        <v>132</v>
      </c>
      <c r="F20" t="s">
        <v>68</v>
      </c>
      <c r="G20" t="s">
        <v>52</v>
      </c>
      <c r="H20" t="s">
        <v>21</v>
      </c>
      <c r="I20" t="s">
        <v>133</v>
      </c>
      <c r="J20" t="s">
        <v>134</v>
      </c>
      <c r="K20">
        <v>12254</v>
      </c>
      <c r="L20">
        <v>11660</v>
      </c>
      <c r="M20">
        <v>370931</v>
      </c>
      <c r="N20">
        <v>823</v>
      </c>
      <c r="O20" t="s">
        <v>33</v>
      </c>
    </row>
    <row r="21" spans="1:15">
      <c r="A21" t="s">
        <v>135</v>
      </c>
      <c r="B21" t="s">
        <v>72</v>
      </c>
      <c r="C21" t="s">
        <v>104</v>
      </c>
      <c r="D21" t="s">
        <v>136</v>
      </c>
      <c r="E21" t="s">
        <v>137</v>
      </c>
      <c r="F21" t="s">
        <v>39</v>
      </c>
      <c r="G21" t="s">
        <v>68</v>
      </c>
      <c r="H21" t="s">
        <v>21</v>
      </c>
      <c r="I21" t="s">
        <v>138</v>
      </c>
      <c r="J21" t="s">
        <v>139</v>
      </c>
      <c r="K21">
        <v>37922</v>
      </c>
      <c r="L21">
        <v>9733</v>
      </c>
      <c r="M21">
        <v>403608</v>
      </c>
      <c r="N21">
        <v>624</v>
      </c>
      <c r="O21" t="s">
        <v>33</v>
      </c>
    </row>
    <row r="22" spans="1:15">
      <c r="A22" t="s">
        <v>140</v>
      </c>
      <c r="B22" t="s">
        <v>64</v>
      </c>
      <c r="C22" t="s">
        <v>124</v>
      </c>
      <c r="D22" t="s">
        <v>141</v>
      </c>
      <c r="E22" t="s">
        <v>142</v>
      </c>
      <c r="F22" t="s">
        <v>39</v>
      </c>
      <c r="G22" t="s">
        <v>30</v>
      </c>
      <c r="H22" t="s">
        <v>53</v>
      </c>
      <c r="I22" t="s">
        <v>143</v>
      </c>
      <c r="J22" t="s">
        <v>144</v>
      </c>
      <c r="L22">
        <v>5358</v>
      </c>
      <c r="M22">
        <v>138968</v>
      </c>
      <c r="N22">
        <v>642</v>
      </c>
      <c r="O22" t="s">
        <v>24</v>
      </c>
    </row>
    <row r="23" spans="1:15">
      <c r="A23" t="s">
        <v>145</v>
      </c>
      <c r="B23" t="s">
        <v>57</v>
      </c>
      <c r="C23" t="s">
        <v>36</v>
      </c>
      <c r="D23" t="s">
        <v>146</v>
      </c>
      <c r="E23" t="s">
        <v>147</v>
      </c>
      <c r="F23" t="s">
        <v>68</v>
      </c>
      <c r="G23" t="s">
        <v>68</v>
      </c>
      <c r="H23" t="s">
        <v>21</v>
      </c>
      <c r="I23" t="s">
        <v>148</v>
      </c>
      <c r="J23" t="s">
        <v>149</v>
      </c>
      <c r="K23">
        <v>24930</v>
      </c>
      <c r="L23">
        <v>10542</v>
      </c>
      <c r="M23">
        <v>173307</v>
      </c>
      <c r="O23" t="s">
        <v>33</v>
      </c>
    </row>
    <row r="24" spans="1:15">
      <c r="A24" t="s">
        <v>150</v>
      </c>
      <c r="B24" t="s">
        <v>64</v>
      </c>
      <c r="C24" t="s">
        <v>65</v>
      </c>
      <c r="D24" t="s">
        <v>151</v>
      </c>
      <c r="E24" t="s">
        <v>152</v>
      </c>
      <c r="F24" t="s">
        <v>30</v>
      </c>
      <c r="G24" t="s">
        <v>20</v>
      </c>
      <c r="H24" t="s">
        <v>53</v>
      </c>
      <c r="I24" t="s">
        <v>153</v>
      </c>
      <c r="J24" t="s">
        <v>154</v>
      </c>
      <c r="K24">
        <v>59837</v>
      </c>
      <c r="L24">
        <v>29382</v>
      </c>
      <c r="M24">
        <v>463199</v>
      </c>
      <c r="N24">
        <v>637</v>
      </c>
      <c r="O24" t="s">
        <v>24</v>
      </c>
    </row>
    <row r="25" spans="1:15">
      <c r="A25" t="s">
        <v>155</v>
      </c>
      <c r="B25" t="s">
        <v>57</v>
      </c>
      <c r="C25" t="s">
        <v>27</v>
      </c>
      <c r="D25" t="s">
        <v>156</v>
      </c>
      <c r="E25" t="s">
        <v>157</v>
      </c>
      <c r="F25" t="s">
        <v>39</v>
      </c>
      <c r="G25" t="s">
        <v>52</v>
      </c>
      <c r="H25" t="s">
        <v>53</v>
      </c>
      <c r="I25" t="s">
        <v>158</v>
      </c>
      <c r="J25" t="s">
        <v>159</v>
      </c>
      <c r="K25">
        <v>44960</v>
      </c>
      <c r="L25">
        <v>12956</v>
      </c>
      <c r="M25">
        <v>204954</v>
      </c>
      <c r="N25">
        <v>744</v>
      </c>
      <c r="O25" t="s">
        <v>24</v>
      </c>
    </row>
    <row r="26" spans="1:15">
      <c r="A26" t="s">
        <v>160</v>
      </c>
      <c r="B26" t="s">
        <v>16</v>
      </c>
      <c r="C26" t="s">
        <v>58</v>
      </c>
      <c r="D26" t="s">
        <v>161</v>
      </c>
      <c r="E26" t="s">
        <v>162</v>
      </c>
      <c r="F26" t="s">
        <v>30</v>
      </c>
      <c r="G26" t="s">
        <v>52</v>
      </c>
      <c r="H26" t="s">
        <v>53</v>
      </c>
      <c r="I26" t="s">
        <v>163</v>
      </c>
      <c r="J26" t="s">
        <v>164</v>
      </c>
      <c r="K26">
        <v>22017</v>
      </c>
      <c r="L26">
        <v>14550</v>
      </c>
      <c r="M26">
        <v>110346</v>
      </c>
      <c r="N26">
        <v>811</v>
      </c>
      <c r="O26" t="s">
        <v>24</v>
      </c>
    </row>
    <row r="27" spans="1:15">
      <c r="A27" t="s">
        <v>165</v>
      </c>
      <c r="B27" t="s">
        <v>57</v>
      </c>
      <c r="C27" t="s">
        <v>27</v>
      </c>
      <c r="D27" t="s">
        <v>166</v>
      </c>
      <c r="E27" t="s">
        <v>167</v>
      </c>
      <c r="F27" t="s">
        <v>30</v>
      </c>
      <c r="G27" t="s">
        <v>20</v>
      </c>
      <c r="H27" t="s">
        <v>53</v>
      </c>
      <c r="I27" t="s">
        <v>168</v>
      </c>
      <c r="J27" t="s">
        <v>169</v>
      </c>
      <c r="K27">
        <v>99245</v>
      </c>
      <c r="L27">
        <v>8910</v>
      </c>
      <c r="M27">
        <v>133332</v>
      </c>
      <c r="N27">
        <v>790</v>
      </c>
      <c r="O27" t="s">
        <v>24</v>
      </c>
    </row>
    <row r="28" spans="1:15">
      <c r="A28" t="s">
        <v>170</v>
      </c>
      <c r="B28" t="s">
        <v>64</v>
      </c>
      <c r="C28" t="s">
        <v>17</v>
      </c>
      <c r="D28" t="s">
        <v>171</v>
      </c>
      <c r="E28" t="s">
        <v>172</v>
      </c>
      <c r="F28" t="s">
        <v>68</v>
      </c>
      <c r="G28" t="s">
        <v>20</v>
      </c>
      <c r="H28" t="s">
        <v>21</v>
      </c>
      <c r="I28" t="s">
        <v>149</v>
      </c>
      <c r="J28" t="s">
        <v>173</v>
      </c>
      <c r="K28">
        <v>23124</v>
      </c>
      <c r="L28">
        <v>7803</v>
      </c>
      <c r="M28">
        <v>391862</v>
      </c>
      <c r="N28">
        <v>681</v>
      </c>
    </row>
    <row r="29" spans="1:15">
      <c r="A29" t="s">
        <v>174</v>
      </c>
      <c r="B29" t="s">
        <v>175</v>
      </c>
      <c r="C29" t="s">
        <v>44</v>
      </c>
      <c r="D29" t="s">
        <v>176</v>
      </c>
      <c r="E29" t="s">
        <v>177</v>
      </c>
      <c r="F29" t="s">
        <v>20</v>
      </c>
      <c r="G29" t="s">
        <v>68</v>
      </c>
      <c r="H29" t="s">
        <v>21</v>
      </c>
      <c r="I29" t="s">
        <v>178</v>
      </c>
      <c r="J29" t="s">
        <v>179</v>
      </c>
      <c r="K29">
        <v>18252</v>
      </c>
      <c r="L29">
        <v>3103</v>
      </c>
      <c r="M29">
        <v>216382</v>
      </c>
      <c r="N29">
        <v>848</v>
      </c>
      <c r="O29" t="s">
        <v>33</v>
      </c>
    </row>
    <row r="30" spans="1:15">
      <c r="A30" t="s">
        <v>180</v>
      </c>
      <c r="B30" t="s">
        <v>43</v>
      </c>
      <c r="C30" t="s">
        <v>36</v>
      </c>
      <c r="D30" t="s">
        <v>181</v>
      </c>
      <c r="E30" t="s">
        <v>182</v>
      </c>
      <c r="F30" t="s">
        <v>68</v>
      </c>
      <c r="G30" t="s">
        <v>68</v>
      </c>
      <c r="H30" t="s">
        <v>53</v>
      </c>
      <c r="I30" t="s">
        <v>183</v>
      </c>
      <c r="J30" t="s">
        <v>184</v>
      </c>
      <c r="K30">
        <v>80988</v>
      </c>
      <c r="L30">
        <v>7810</v>
      </c>
      <c r="M30">
        <v>211124</v>
      </c>
      <c r="N30">
        <v>650</v>
      </c>
      <c r="O30" t="s">
        <v>24</v>
      </c>
    </row>
    <row r="31" spans="1:15">
      <c r="A31" t="s">
        <v>185</v>
      </c>
      <c r="B31" t="s">
        <v>175</v>
      </c>
      <c r="C31" t="s">
        <v>65</v>
      </c>
      <c r="D31" t="s">
        <v>186</v>
      </c>
      <c r="E31" t="s">
        <v>187</v>
      </c>
      <c r="F31" t="s">
        <v>30</v>
      </c>
      <c r="G31" t="s">
        <v>52</v>
      </c>
      <c r="H31" t="s">
        <v>21</v>
      </c>
      <c r="I31" t="s">
        <v>188</v>
      </c>
      <c r="J31" t="s">
        <v>189</v>
      </c>
      <c r="K31">
        <v>39809</v>
      </c>
      <c r="L31">
        <v>13795</v>
      </c>
      <c r="M31">
        <v>210843</v>
      </c>
      <c r="N31">
        <v>610</v>
      </c>
      <c r="O31" t="s">
        <v>33</v>
      </c>
    </row>
    <row r="32" spans="1:15">
      <c r="A32" t="s">
        <v>190</v>
      </c>
      <c r="B32" t="s">
        <v>57</v>
      </c>
      <c r="C32" t="s">
        <v>17</v>
      </c>
      <c r="D32" t="s">
        <v>191</v>
      </c>
      <c r="E32" t="s">
        <v>192</v>
      </c>
      <c r="F32" t="s">
        <v>68</v>
      </c>
      <c r="G32" t="s">
        <v>30</v>
      </c>
      <c r="H32" t="s">
        <v>53</v>
      </c>
      <c r="I32" t="s">
        <v>193</v>
      </c>
      <c r="J32" t="s">
        <v>194</v>
      </c>
      <c r="K32">
        <v>42125</v>
      </c>
      <c r="L32">
        <v>8214</v>
      </c>
      <c r="M32">
        <v>60681</v>
      </c>
      <c r="N32">
        <v>806</v>
      </c>
      <c r="O32" t="s">
        <v>24</v>
      </c>
    </row>
    <row r="33" spans="1:15">
      <c r="A33" t="s">
        <v>195</v>
      </c>
      <c r="B33" t="s">
        <v>175</v>
      </c>
      <c r="C33" t="s">
        <v>36</v>
      </c>
      <c r="D33" t="s">
        <v>196</v>
      </c>
      <c r="E33" t="s">
        <v>197</v>
      </c>
      <c r="F33" t="s">
        <v>30</v>
      </c>
      <c r="G33" t="s">
        <v>30</v>
      </c>
      <c r="H33" t="s">
        <v>53</v>
      </c>
      <c r="I33" t="s">
        <v>189</v>
      </c>
      <c r="J33" t="s">
        <v>198</v>
      </c>
      <c r="K33">
        <v>48118</v>
      </c>
      <c r="L33">
        <v>25599</v>
      </c>
      <c r="M33">
        <v>465332</v>
      </c>
      <c r="N33">
        <v>691</v>
      </c>
      <c r="O33" t="s">
        <v>33</v>
      </c>
    </row>
    <row r="34" spans="1:15">
      <c r="A34" t="s">
        <v>199</v>
      </c>
      <c r="B34" t="s">
        <v>16</v>
      </c>
      <c r="C34" t="s">
        <v>36</v>
      </c>
      <c r="D34" t="s">
        <v>200</v>
      </c>
      <c r="E34" t="s">
        <v>201</v>
      </c>
      <c r="F34" t="s">
        <v>30</v>
      </c>
      <c r="G34" t="s">
        <v>52</v>
      </c>
      <c r="H34" t="s">
        <v>53</v>
      </c>
      <c r="I34" t="s">
        <v>202</v>
      </c>
      <c r="J34" t="s">
        <v>203</v>
      </c>
      <c r="K34">
        <v>33536</v>
      </c>
      <c r="L34">
        <v>26434</v>
      </c>
      <c r="M34">
        <v>128414</v>
      </c>
      <c r="N34">
        <v>636</v>
      </c>
      <c r="O34" t="s">
        <v>33</v>
      </c>
    </row>
    <row r="35" spans="1:15">
      <c r="A35" t="s">
        <v>204</v>
      </c>
      <c r="B35" t="s">
        <v>64</v>
      </c>
      <c r="C35" t="s">
        <v>17</v>
      </c>
      <c r="D35" t="s">
        <v>205</v>
      </c>
      <c r="E35" t="s">
        <v>206</v>
      </c>
      <c r="F35" t="s">
        <v>39</v>
      </c>
      <c r="G35" t="s">
        <v>39</v>
      </c>
      <c r="H35" t="s">
        <v>53</v>
      </c>
      <c r="I35" t="s">
        <v>207</v>
      </c>
      <c r="J35" t="s">
        <v>208</v>
      </c>
      <c r="K35">
        <v>51427</v>
      </c>
      <c r="L35">
        <v>27903</v>
      </c>
      <c r="M35">
        <v>376908</v>
      </c>
      <c r="N35">
        <v>805</v>
      </c>
      <c r="O35" t="s">
        <v>24</v>
      </c>
    </row>
    <row r="36" spans="1:15">
      <c r="A36" t="s">
        <v>209</v>
      </c>
      <c r="B36" t="s">
        <v>26</v>
      </c>
      <c r="C36" t="s">
        <v>36</v>
      </c>
      <c r="D36" t="s">
        <v>210</v>
      </c>
      <c r="E36" t="s">
        <v>211</v>
      </c>
      <c r="F36" t="s">
        <v>30</v>
      </c>
      <c r="G36" t="s">
        <v>39</v>
      </c>
      <c r="H36" t="s">
        <v>21</v>
      </c>
      <c r="I36" t="s">
        <v>212</v>
      </c>
      <c r="J36" t="s">
        <v>213</v>
      </c>
      <c r="K36">
        <v>18442</v>
      </c>
      <c r="L36">
        <v>23350</v>
      </c>
      <c r="M36">
        <v>284196</v>
      </c>
      <c r="N36">
        <v>806</v>
      </c>
      <c r="O36" t="s">
        <v>33</v>
      </c>
    </row>
    <row r="37" spans="1:15">
      <c r="A37" t="s">
        <v>214</v>
      </c>
      <c r="B37" t="s">
        <v>64</v>
      </c>
      <c r="C37" t="s">
        <v>124</v>
      </c>
      <c r="D37" t="s">
        <v>215</v>
      </c>
      <c r="E37" t="s">
        <v>216</v>
      </c>
      <c r="F37" t="s">
        <v>20</v>
      </c>
      <c r="G37" t="s">
        <v>30</v>
      </c>
      <c r="H37" t="s">
        <v>21</v>
      </c>
      <c r="I37" t="s">
        <v>217</v>
      </c>
      <c r="J37" t="s">
        <v>218</v>
      </c>
      <c r="K37">
        <v>54390</v>
      </c>
      <c r="L37">
        <v>6620</v>
      </c>
      <c r="M37">
        <v>185250</v>
      </c>
      <c r="N37">
        <v>724</v>
      </c>
      <c r="O37" t="s">
        <v>24</v>
      </c>
    </row>
    <row r="38" spans="1:15">
      <c r="A38" t="s">
        <v>219</v>
      </c>
      <c r="B38" t="s">
        <v>57</v>
      </c>
      <c r="C38" t="s">
        <v>58</v>
      </c>
      <c r="D38" t="s">
        <v>220</v>
      </c>
      <c r="E38" t="s">
        <v>221</v>
      </c>
      <c r="F38" t="s">
        <v>68</v>
      </c>
      <c r="G38" t="s">
        <v>52</v>
      </c>
      <c r="H38" t="s">
        <v>53</v>
      </c>
      <c r="I38" t="s">
        <v>222</v>
      </c>
      <c r="J38" t="s">
        <v>223</v>
      </c>
      <c r="K38">
        <v>87797</v>
      </c>
      <c r="L38">
        <v>5100</v>
      </c>
      <c r="M38">
        <v>122611</v>
      </c>
      <c r="N38">
        <v>666</v>
      </c>
      <c r="O38" t="s">
        <v>33</v>
      </c>
    </row>
    <row r="39" spans="1:15">
      <c r="A39" t="s">
        <v>224</v>
      </c>
      <c r="B39" t="s">
        <v>26</v>
      </c>
      <c r="C39" t="s">
        <v>88</v>
      </c>
      <c r="D39" t="s">
        <v>225</v>
      </c>
      <c r="E39" t="s">
        <v>226</v>
      </c>
      <c r="F39" t="s">
        <v>30</v>
      </c>
      <c r="G39" t="s">
        <v>39</v>
      </c>
      <c r="H39" t="s">
        <v>21</v>
      </c>
      <c r="I39" t="s">
        <v>227</v>
      </c>
      <c r="J39" t="s">
        <v>228</v>
      </c>
      <c r="K39">
        <v>10980</v>
      </c>
      <c r="L39">
        <v>6818</v>
      </c>
      <c r="M39">
        <v>327191</v>
      </c>
      <c r="N39">
        <v>681</v>
      </c>
      <c r="O39" t="s">
        <v>33</v>
      </c>
    </row>
    <row r="40" spans="1:15">
      <c r="A40" t="s">
        <v>229</v>
      </c>
      <c r="B40" t="s">
        <v>43</v>
      </c>
      <c r="C40" t="s">
        <v>44</v>
      </c>
      <c r="D40" t="s">
        <v>230</v>
      </c>
      <c r="E40" t="s">
        <v>231</v>
      </c>
      <c r="F40" t="s">
        <v>20</v>
      </c>
      <c r="G40" t="s">
        <v>39</v>
      </c>
      <c r="H40" t="s">
        <v>21</v>
      </c>
      <c r="I40" t="s">
        <v>232</v>
      </c>
      <c r="J40" t="s">
        <v>233</v>
      </c>
      <c r="K40">
        <v>54164</v>
      </c>
      <c r="L40">
        <v>19363</v>
      </c>
      <c r="M40">
        <v>370490</v>
      </c>
      <c r="N40">
        <v>832</v>
      </c>
      <c r="O40" t="s">
        <v>33</v>
      </c>
    </row>
    <row r="41" spans="1:15">
      <c r="A41" t="s">
        <v>234</v>
      </c>
      <c r="B41" t="s">
        <v>35</v>
      </c>
      <c r="C41" t="s">
        <v>65</v>
      </c>
      <c r="D41" t="s">
        <v>235</v>
      </c>
      <c r="E41" t="s">
        <v>236</v>
      </c>
      <c r="F41" t="s">
        <v>68</v>
      </c>
      <c r="G41" t="s">
        <v>39</v>
      </c>
      <c r="H41" t="s">
        <v>53</v>
      </c>
      <c r="I41" t="s">
        <v>222</v>
      </c>
      <c r="J41" t="s">
        <v>237</v>
      </c>
      <c r="K41">
        <v>50868</v>
      </c>
      <c r="L41">
        <v>10788</v>
      </c>
      <c r="M41">
        <v>413099</v>
      </c>
      <c r="N41">
        <v>676</v>
      </c>
      <c r="O41" t="s">
        <v>33</v>
      </c>
    </row>
    <row r="42" spans="1:15">
      <c r="A42" t="s">
        <v>238</v>
      </c>
      <c r="B42" t="s">
        <v>57</v>
      </c>
      <c r="C42" t="s">
        <v>65</v>
      </c>
      <c r="D42" t="s">
        <v>239</v>
      </c>
      <c r="E42" t="s">
        <v>240</v>
      </c>
      <c r="F42" t="s">
        <v>20</v>
      </c>
      <c r="G42" t="s">
        <v>39</v>
      </c>
      <c r="H42" t="s">
        <v>53</v>
      </c>
      <c r="I42" t="s">
        <v>241</v>
      </c>
      <c r="J42" t="s">
        <v>227</v>
      </c>
      <c r="K42">
        <v>42846</v>
      </c>
      <c r="L42">
        <v>14983</v>
      </c>
      <c r="M42">
        <v>164094</v>
      </c>
      <c r="N42">
        <v>841</v>
      </c>
      <c r="O42" t="s">
        <v>24</v>
      </c>
    </row>
    <row r="43" spans="1:15">
      <c r="A43" t="s">
        <v>242</v>
      </c>
      <c r="B43" t="s">
        <v>243</v>
      </c>
      <c r="C43" t="s">
        <v>27</v>
      </c>
      <c r="D43" t="s">
        <v>244</v>
      </c>
      <c r="E43" t="s">
        <v>245</v>
      </c>
      <c r="F43" t="s">
        <v>39</v>
      </c>
      <c r="G43" t="s">
        <v>52</v>
      </c>
      <c r="H43" t="s">
        <v>53</v>
      </c>
      <c r="I43" t="s">
        <v>246</v>
      </c>
      <c r="J43" t="s">
        <v>247</v>
      </c>
      <c r="K43">
        <v>78704</v>
      </c>
      <c r="L43">
        <v>3962</v>
      </c>
      <c r="M43">
        <v>473595</v>
      </c>
      <c r="N43">
        <v>665</v>
      </c>
      <c r="O43" t="s">
        <v>24</v>
      </c>
    </row>
    <row r="44" spans="1:15">
      <c r="A44" t="s">
        <v>248</v>
      </c>
      <c r="B44" t="s">
        <v>72</v>
      </c>
      <c r="C44" t="s">
        <v>65</v>
      </c>
      <c r="D44" t="s">
        <v>249</v>
      </c>
      <c r="E44" t="s">
        <v>250</v>
      </c>
      <c r="F44" t="s">
        <v>39</v>
      </c>
      <c r="G44" t="s">
        <v>20</v>
      </c>
      <c r="H44" t="s">
        <v>21</v>
      </c>
      <c r="I44" t="s">
        <v>251</v>
      </c>
      <c r="J44" t="s">
        <v>252</v>
      </c>
      <c r="K44">
        <v>62067</v>
      </c>
      <c r="L44">
        <v>6398</v>
      </c>
      <c r="M44">
        <v>220638</v>
      </c>
      <c r="N44">
        <v>712</v>
      </c>
      <c r="O44" t="s">
        <v>24</v>
      </c>
    </row>
    <row r="45" spans="1:15">
      <c r="A45" t="s">
        <v>253</v>
      </c>
      <c r="B45" t="s">
        <v>43</v>
      </c>
      <c r="C45" t="s">
        <v>65</v>
      </c>
      <c r="D45" t="s">
        <v>254</v>
      </c>
      <c r="E45" t="s">
        <v>255</v>
      </c>
      <c r="F45" t="s">
        <v>20</v>
      </c>
      <c r="G45" t="s">
        <v>30</v>
      </c>
      <c r="H45" t="s">
        <v>21</v>
      </c>
      <c r="I45" t="s">
        <v>256</v>
      </c>
      <c r="J45" t="s">
        <v>257</v>
      </c>
      <c r="K45">
        <v>46395</v>
      </c>
      <c r="L45">
        <v>9133</v>
      </c>
      <c r="M45">
        <v>248626</v>
      </c>
      <c r="N45">
        <v>791</v>
      </c>
      <c r="O45" t="s">
        <v>24</v>
      </c>
    </row>
    <row r="46" spans="1:15">
      <c r="A46" t="s">
        <v>258</v>
      </c>
      <c r="B46" t="s">
        <v>130</v>
      </c>
      <c r="C46" t="s">
        <v>58</v>
      </c>
      <c r="D46" t="s">
        <v>259</v>
      </c>
      <c r="E46" t="s">
        <v>260</v>
      </c>
      <c r="F46" t="s">
        <v>39</v>
      </c>
      <c r="G46" t="s">
        <v>68</v>
      </c>
      <c r="H46" t="s">
        <v>53</v>
      </c>
      <c r="I46" t="s">
        <v>261</v>
      </c>
      <c r="J46" t="s">
        <v>262</v>
      </c>
      <c r="K46">
        <v>32656</v>
      </c>
      <c r="L46">
        <v>10331</v>
      </c>
      <c r="M46">
        <v>127809</v>
      </c>
      <c r="N46">
        <v>738</v>
      </c>
      <c r="O46" t="s">
        <v>24</v>
      </c>
    </row>
    <row r="47" spans="1:15">
      <c r="A47" t="s">
        <v>263</v>
      </c>
      <c r="B47" t="s">
        <v>57</v>
      </c>
      <c r="C47" t="s">
        <v>17</v>
      </c>
      <c r="D47" t="s">
        <v>264</v>
      </c>
      <c r="E47" t="s">
        <v>265</v>
      </c>
      <c r="F47" t="s">
        <v>39</v>
      </c>
      <c r="G47" t="s">
        <v>52</v>
      </c>
      <c r="H47" t="s">
        <v>21</v>
      </c>
      <c r="I47" t="s">
        <v>266</v>
      </c>
      <c r="J47" t="s">
        <v>267</v>
      </c>
      <c r="K47">
        <v>74331</v>
      </c>
      <c r="L47">
        <v>14761</v>
      </c>
      <c r="M47">
        <v>498632</v>
      </c>
      <c r="N47">
        <v>631</v>
      </c>
      <c r="O47" t="s">
        <v>24</v>
      </c>
    </row>
    <row r="48" spans="1:15">
      <c r="A48" t="s">
        <v>268</v>
      </c>
      <c r="B48" t="s">
        <v>43</v>
      </c>
      <c r="C48" t="s">
        <v>17</v>
      </c>
      <c r="D48" t="s">
        <v>269</v>
      </c>
      <c r="F48" t="s">
        <v>30</v>
      </c>
      <c r="G48" t="s">
        <v>30</v>
      </c>
      <c r="H48" t="s">
        <v>53</v>
      </c>
      <c r="I48" t="s">
        <v>270</v>
      </c>
      <c r="J48" t="s">
        <v>271</v>
      </c>
      <c r="K48">
        <v>81471</v>
      </c>
      <c r="L48">
        <v>10712</v>
      </c>
      <c r="M48">
        <v>403324</v>
      </c>
      <c r="N48">
        <v>794</v>
      </c>
      <c r="O48" t="s">
        <v>24</v>
      </c>
    </row>
    <row r="49" spans="1:15">
      <c r="A49" t="s">
        <v>272</v>
      </c>
      <c r="B49" t="s">
        <v>243</v>
      </c>
      <c r="C49" t="s">
        <v>17</v>
      </c>
      <c r="D49" t="s">
        <v>273</v>
      </c>
      <c r="E49" t="s">
        <v>274</v>
      </c>
      <c r="F49" t="s">
        <v>68</v>
      </c>
      <c r="G49" t="s">
        <v>52</v>
      </c>
      <c r="I49" t="s">
        <v>275</v>
      </c>
      <c r="J49" t="s">
        <v>276</v>
      </c>
      <c r="K49">
        <v>10110</v>
      </c>
      <c r="L49">
        <v>5059</v>
      </c>
      <c r="M49">
        <v>281900</v>
      </c>
      <c r="N49">
        <v>783</v>
      </c>
      <c r="O49" t="s">
        <v>33</v>
      </c>
    </row>
    <row r="50" spans="1:15">
      <c r="A50" t="s">
        <v>277</v>
      </c>
      <c r="B50" t="s">
        <v>64</v>
      </c>
      <c r="C50" t="s">
        <v>27</v>
      </c>
      <c r="D50" t="s">
        <v>278</v>
      </c>
      <c r="E50" t="s">
        <v>279</v>
      </c>
      <c r="F50" t="s">
        <v>20</v>
      </c>
      <c r="G50" t="s">
        <v>30</v>
      </c>
      <c r="H50" t="s">
        <v>21</v>
      </c>
      <c r="I50" t="s">
        <v>280</v>
      </c>
      <c r="J50" t="s">
        <v>281</v>
      </c>
      <c r="K50">
        <v>60120</v>
      </c>
      <c r="L50">
        <v>7681</v>
      </c>
      <c r="M50">
        <v>341969</v>
      </c>
      <c r="N50">
        <v>600</v>
      </c>
      <c r="O50" t="s">
        <v>33</v>
      </c>
    </row>
    <row r="51" spans="1:15">
      <c r="A51" t="s">
        <v>282</v>
      </c>
      <c r="B51" t="s">
        <v>43</v>
      </c>
      <c r="C51" t="s">
        <v>124</v>
      </c>
      <c r="D51" t="s">
        <v>283</v>
      </c>
      <c r="E51" t="s">
        <v>284</v>
      </c>
      <c r="F51" t="s">
        <v>20</v>
      </c>
      <c r="G51" t="s">
        <v>68</v>
      </c>
      <c r="H51" t="s">
        <v>53</v>
      </c>
      <c r="I51" t="s">
        <v>285</v>
      </c>
      <c r="J51" t="s">
        <v>286</v>
      </c>
      <c r="K51">
        <v>68902</v>
      </c>
      <c r="L51">
        <v>21317</v>
      </c>
      <c r="M51">
        <v>400665</v>
      </c>
      <c r="N51">
        <v>735</v>
      </c>
      <c r="O51" t="s">
        <v>24</v>
      </c>
    </row>
    <row r="52" spans="1:15">
      <c r="A52" t="s">
        <v>287</v>
      </c>
      <c r="B52" t="s">
        <v>35</v>
      </c>
      <c r="C52" t="s">
        <v>27</v>
      </c>
      <c r="D52" t="s">
        <v>288</v>
      </c>
      <c r="E52" t="s">
        <v>289</v>
      </c>
      <c r="F52" t="s">
        <v>20</v>
      </c>
      <c r="G52" t="s">
        <v>20</v>
      </c>
      <c r="H52" t="s">
        <v>21</v>
      </c>
      <c r="I52" t="s">
        <v>290</v>
      </c>
      <c r="J52" t="s">
        <v>291</v>
      </c>
      <c r="K52">
        <v>91477</v>
      </c>
      <c r="L52">
        <v>20150</v>
      </c>
      <c r="M52">
        <v>434738</v>
      </c>
      <c r="N52">
        <v>779</v>
      </c>
      <c r="O52" t="s">
        <v>24</v>
      </c>
    </row>
    <row r="53" spans="1:15">
      <c r="A53" t="s">
        <v>292</v>
      </c>
      <c r="B53" t="s">
        <v>175</v>
      </c>
      <c r="C53" t="s">
        <v>58</v>
      </c>
      <c r="D53" t="s">
        <v>293</v>
      </c>
      <c r="E53" t="s">
        <v>294</v>
      </c>
      <c r="F53" t="s">
        <v>39</v>
      </c>
      <c r="G53" t="s">
        <v>20</v>
      </c>
      <c r="H53" t="s">
        <v>21</v>
      </c>
      <c r="I53" t="s">
        <v>295</v>
      </c>
      <c r="J53" t="s">
        <v>296</v>
      </c>
      <c r="K53">
        <v>33350</v>
      </c>
      <c r="M53">
        <v>88489</v>
      </c>
      <c r="N53">
        <v>808</v>
      </c>
      <c r="O53" t="s">
        <v>24</v>
      </c>
    </row>
    <row r="54" spans="1:15">
      <c r="A54" t="s">
        <v>297</v>
      </c>
      <c r="B54" t="s">
        <v>26</v>
      </c>
      <c r="C54" t="s">
        <v>36</v>
      </c>
      <c r="D54" t="s">
        <v>298</v>
      </c>
      <c r="E54" t="s">
        <v>299</v>
      </c>
      <c r="F54" t="s">
        <v>39</v>
      </c>
      <c r="G54" t="s">
        <v>20</v>
      </c>
      <c r="H54" t="s">
        <v>21</v>
      </c>
      <c r="I54" t="s">
        <v>300</v>
      </c>
      <c r="J54" t="s">
        <v>301</v>
      </c>
      <c r="K54">
        <v>73510</v>
      </c>
      <c r="L54">
        <v>6558</v>
      </c>
      <c r="M54">
        <v>294896</v>
      </c>
      <c r="N54">
        <v>730</v>
      </c>
      <c r="O54" t="s">
        <v>24</v>
      </c>
    </row>
    <row r="55" spans="1:15">
      <c r="A55" t="s">
        <v>302</v>
      </c>
      <c r="B55" t="s">
        <v>16</v>
      </c>
      <c r="C55" t="s">
        <v>27</v>
      </c>
      <c r="D55" t="s">
        <v>303</v>
      </c>
      <c r="E55" t="s">
        <v>304</v>
      </c>
      <c r="F55" t="s">
        <v>68</v>
      </c>
      <c r="G55" t="s">
        <v>30</v>
      </c>
      <c r="H55" t="s">
        <v>21</v>
      </c>
      <c r="K55">
        <v>12587</v>
      </c>
      <c r="L55">
        <v>6378</v>
      </c>
      <c r="M55">
        <v>315899</v>
      </c>
      <c r="N55">
        <v>781</v>
      </c>
    </row>
    <row r="56" spans="1:15">
      <c r="A56" t="s">
        <v>305</v>
      </c>
      <c r="B56" t="s">
        <v>175</v>
      </c>
      <c r="C56" t="s">
        <v>17</v>
      </c>
      <c r="D56" t="s">
        <v>306</v>
      </c>
      <c r="E56" t="s">
        <v>307</v>
      </c>
      <c r="F56" t="s">
        <v>39</v>
      </c>
      <c r="G56" t="s">
        <v>39</v>
      </c>
      <c r="H56" t="s">
        <v>21</v>
      </c>
      <c r="I56" t="s">
        <v>308</v>
      </c>
      <c r="J56" t="s">
        <v>309</v>
      </c>
      <c r="K56">
        <v>45267</v>
      </c>
      <c r="L56">
        <v>3246</v>
      </c>
      <c r="M56">
        <v>89261</v>
      </c>
      <c r="N56">
        <v>778</v>
      </c>
      <c r="O56" t="s">
        <v>33</v>
      </c>
    </row>
    <row r="57" spans="1:15">
      <c r="A57" t="s">
        <v>310</v>
      </c>
      <c r="B57" t="s">
        <v>64</v>
      </c>
      <c r="C57" t="s">
        <v>58</v>
      </c>
      <c r="D57" t="s">
        <v>311</v>
      </c>
      <c r="E57" t="s">
        <v>312</v>
      </c>
      <c r="F57" t="s">
        <v>68</v>
      </c>
      <c r="G57" t="s">
        <v>52</v>
      </c>
      <c r="H57" t="s">
        <v>21</v>
      </c>
      <c r="I57" t="s">
        <v>313</v>
      </c>
      <c r="J57" t="s">
        <v>314</v>
      </c>
      <c r="K57">
        <v>56642</v>
      </c>
      <c r="L57">
        <v>20977</v>
      </c>
      <c r="M57">
        <v>437891</v>
      </c>
      <c r="N57">
        <v>659</v>
      </c>
      <c r="O57" t="s">
        <v>33</v>
      </c>
    </row>
    <row r="58" spans="1:15">
      <c r="A58" t="s">
        <v>315</v>
      </c>
      <c r="B58" t="s">
        <v>72</v>
      </c>
      <c r="C58" t="s">
        <v>124</v>
      </c>
      <c r="D58" t="s">
        <v>316</v>
      </c>
      <c r="E58" t="s">
        <v>317</v>
      </c>
      <c r="F58" t="s">
        <v>68</v>
      </c>
      <c r="G58" t="s">
        <v>39</v>
      </c>
      <c r="H58" t="s">
        <v>21</v>
      </c>
      <c r="I58" t="s">
        <v>318</v>
      </c>
      <c r="J58" t="s">
        <v>319</v>
      </c>
      <c r="K58">
        <v>89947</v>
      </c>
      <c r="L58">
        <v>24156</v>
      </c>
      <c r="M58">
        <v>178045</v>
      </c>
      <c r="N58">
        <v>816</v>
      </c>
      <c r="O58" t="s">
        <v>24</v>
      </c>
    </row>
    <row r="59" spans="1:15">
      <c r="A59" t="s">
        <v>320</v>
      </c>
      <c r="B59" t="s">
        <v>243</v>
      </c>
      <c r="C59" t="s">
        <v>27</v>
      </c>
      <c r="D59" t="s">
        <v>321</v>
      </c>
      <c r="E59" t="s">
        <v>322</v>
      </c>
      <c r="F59" t="s">
        <v>68</v>
      </c>
      <c r="G59" t="s">
        <v>39</v>
      </c>
      <c r="I59" t="s">
        <v>256</v>
      </c>
      <c r="J59" t="s">
        <v>323</v>
      </c>
      <c r="K59">
        <v>92036</v>
      </c>
      <c r="L59">
        <v>24996</v>
      </c>
      <c r="M59">
        <v>136837</v>
      </c>
      <c r="N59">
        <v>822</v>
      </c>
      <c r="O59" t="s">
        <v>33</v>
      </c>
    </row>
    <row r="60" spans="1:15">
      <c r="A60" t="s">
        <v>324</v>
      </c>
      <c r="B60" t="s">
        <v>57</v>
      </c>
      <c r="C60" t="s">
        <v>17</v>
      </c>
      <c r="D60" t="s">
        <v>325</v>
      </c>
      <c r="E60" t="s">
        <v>326</v>
      </c>
      <c r="F60" t="s">
        <v>39</v>
      </c>
      <c r="G60" t="s">
        <v>39</v>
      </c>
      <c r="H60" t="s">
        <v>53</v>
      </c>
      <c r="I60" t="s">
        <v>327</v>
      </c>
      <c r="J60" t="s">
        <v>328</v>
      </c>
      <c r="K60">
        <v>67760</v>
      </c>
      <c r="L60">
        <v>12832</v>
      </c>
      <c r="M60">
        <v>212404</v>
      </c>
      <c r="N60">
        <v>792</v>
      </c>
      <c r="O60" t="s">
        <v>33</v>
      </c>
    </row>
    <row r="61" spans="1:15">
      <c r="A61" t="s">
        <v>329</v>
      </c>
      <c r="B61" t="s">
        <v>43</v>
      </c>
      <c r="C61" t="s">
        <v>17</v>
      </c>
      <c r="D61" t="s">
        <v>330</v>
      </c>
      <c r="E61" t="s">
        <v>331</v>
      </c>
      <c r="F61" t="s">
        <v>30</v>
      </c>
      <c r="G61" t="s">
        <v>39</v>
      </c>
      <c r="H61" t="s">
        <v>21</v>
      </c>
      <c r="I61" t="s">
        <v>332</v>
      </c>
      <c r="J61" t="s">
        <v>333</v>
      </c>
      <c r="K61">
        <v>52122</v>
      </c>
      <c r="L61">
        <v>17133</v>
      </c>
      <c r="M61">
        <v>102415</v>
      </c>
      <c r="N61">
        <v>844</v>
      </c>
      <c r="O61" t="s">
        <v>24</v>
      </c>
    </row>
    <row r="62" spans="1:15">
      <c r="A62" t="s">
        <v>334</v>
      </c>
      <c r="B62" t="s">
        <v>57</v>
      </c>
      <c r="C62" t="s">
        <v>58</v>
      </c>
      <c r="D62" t="s">
        <v>335</v>
      </c>
      <c r="E62" t="s">
        <v>336</v>
      </c>
      <c r="F62" t="s">
        <v>30</v>
      </c>
      <c r="G62" t="s">
        <v>20</v>
      </c>
      <c r="H62" t="s">
        <v>21</v>
      </c>
      <c r="I62" t="s">
        <v>337</v>
      </c>
      <c r="J62" t="s">
        <v>338</v>
      </c>
      <c r="K62">
        <v>54884</v>
      </c>
      <c r="L62">
        <v>22722</v>
      </c>
      <c r="M62">
        <v>489284</v>
      </c>
      <c r="N62">
        <v>670</v>
      </c>
      <c r="O62" t="s">
        <v>24</v>
      </c>
    </row>
    <row r="63" spans="1:15">
      <c r="A63" t="s">
        <v>339</v>
      </c>
      <c r="B63" t="s">
        <v>16</v>
      </c>
      <c r="C63" t="s">
        <v>104</v>
      </c>
      <c r="D63" t="s">
        <v>340</v>
      </c>
      <c r="E63" t="s">
        <v>341</v>
      </c>
      <c r="F63" t="s">
        <v>39</v>
      </c>
      <c r="G63" t="s">
        <v>20</v>
      </c>
      <c r="H63" t="s">
        <v>21</v>
      </c>
      <c r="I63" t="s">
        <v>342</v>
      </c>
      <c r="J63" t="s">
        <v>128</v>
      </c>
      <c r="K63">
        <v>59531</v>
      </c>
      <c r="L63">
        <v>25596</v>
      </c>
      <c r="M63">
        <v>138393</v>
      </c>
      <c r="N63">
        <v>849</v>
      </c>
      <c r="O63" t="s">
        <v>24</v>
      </c>
    </row>
    <row r="64" spans="1:15">
      <c r="A64" t="s">
        <v>343</v>
      </c>
      <c r="B64" t="s">
        <v>130</v>
      </c>
      <c r="C64" t="s">
        <v>36</v>
      </c>
      <c r="D64" t="s">
        <v>344</v>
      </c>
      <c r="E64" t="s">
        <v>345</v>
      </c>
      <c r="F64" t="s">
        <v>20</v>
      </c>
      <c r="G64" t="s">
        <v>39</v>
      </c>
      <c r="H64" t="s">
        <v>21</v>
      </c>
      <c r="I64" t="s">
        <v>346</v>
      </c>
      <c r="J64" t="s">
        <v>347</v>
      </c>
      <c r="K64">
        <v>43800</v>
      </c>
      <c r="L64">
        <v>11817</v>
      </c>
      <c r="M64">
        <v>310221</v>
      </c>
      <c r="N64">
        <v>751</v>
      </c>
      <c r="O64" t="s">
        <v>24</v>
      </c>
    </row>
    <row r="65" spans="1:15">
      <c r="A65" t="s">
        <v>348</v>
      </c>
      <c r="B65" t="s">
        <v>35</v>
      </c>
      <c r="C65" t="s">
        <v>58</v>
      </c>
      <c r="D65" t="s">
        <v>349</v>
      </c>
      <c r="E65" t="s">
        <v>350</v>
      </c>
      <c r="F65" t="s">
        <v>20</v>
      </c>
      <c r="G65" t="s">
        <v>68</v>
      </c>
      <c r="H65" t="s">
        <v>21</v>
      </c>
      <c r="I65" t="s">
        <v>351</v>
      </c>
      <c r="J65" t="s">
        <v>352</v>
      </c>
      <c r="K65">
        <v>86055</v>
      </c>
      <c r="L65">
        <v>10411</v>
      </c>
      <c r="N65">
        <v>702</v>
      </c>
      <c r="O65" t="s">
        <v>24</v>
      </c>
    </row>
    <row r="66" spans="1:15">
      <c r="A66" t="s">
        <v>353</v>
      </c>
      <c r="B66" t="s">
        <v>35</v>
      </c>
      <c r="C66" t="s">
        <v>58</v>
      </c>
      <c r="D66" t="s">
        <v>354</v>
      </c>
      <c r="E66" t="s">
        <v>355</v>
      </c>
      <c r="F66" t="s">
        <v>39</v>
      </c>
      <c r="H66" t="s">
        <v>53</v>
      </c>
      <c r="I66" t="s">
        <v>222</v>
      </c>
      <c r="J66" t="s">
        <v>356</v>
      </c>
      <c r="K66">
        <v>84022</v>
      </c>
      <c r="L66">
        <v>13435</v>
      </c>
      <c r="M66">
        <v>183257</v>
      </c>
      <c r="N66">
        <v>633</v>
      </c>
      <c r="O66" t="s">
        <v>24</v>
      </c>
    </row>
    <row r="67" spans="1:15">
      <c r="A67" t="s">
        <v>357</v>
      </c>
      <c r="B67" t="s">
        <v>35</v>
      </c>
      <c r="C67" t="s">
        <v>58</v>
      </c>
      <c r="D67" t="s">
        <v>358</v>
      </c>
      <c r="E67" t="s">
        <v>359</v>
      </c>
      <c r="F67" t="s">
        <v>30</v>
      </c>
      <c r="G67" t="s">
        <v>52</v>
      </c>
      <c r="H67" t="s">
        <v>53</v>
      </c>
      <c r="I67" t="s">
        <v>360</v>
      </c>
      <c r="J67" t="s">
        <v>361</v>
      </c>
      <c r="K67">
        <v>15611</v>
      </c>
      <c r="L67">
        <v>9965</v>
      </c>
      <c r="M67">
        <v>459360</v>
      </c>
      <c r="N67">
        <v>630</v>
      </c>
      <c r="O67" t="s">
        <v>33</v>
      </c>
    </row>
    <row r="68" spans="1:15">
      <c r="A68" t="s">
        <v>362</v>
      </c>
      <c r="B68" t="s">
        <v>35</v>
      </c>
      <c r="C68" t="s">
        <v>124</v>
      </c>
      <c r="D68" t="s">
        <v>363</v>
      </c>
      <c r="E68" t="s">
        <v>364</v>
      </c>
      <c r="F68" t="s">
        <v>39</v>
      </c>
      <c r="G68" t="s">
        <v>68</v>
      </c>
      <c r="H68" t="s">
        <v>53</v>
      </c>
      <c r="I68" t="s">
        <v>365</v>
      </c>
      <c r="J68" t="s">
        <v>193</v>
      </c>
      <c r="K68">
        <v>96902</v>
      </c>
      <c r="L68">
        <v>15664</v>
      </c>
      <c r="M68">
        <v>254316</v>
      </c>
      <c r="N68">
        <v>684</v>
      </c>
      <c r="O68" t="s">
        <v>33</v>
      </c>
    </row>
    <row r="69" spans="1:15">
      <c r="A69" t="s">
        <v>366</v>
      </c>
      <c r="B69" t="s">
        <v>43</v>
      </c>
      <c r="C69" t="s">
        <v>58</v>
      </c>
      <c r="D69" t="s">
        <v>367</v>
      </c>
      <c r="E69" t="s">
        <v>368</v>
      </c>
      <c r="F69" t="s">
        <v>39</v>
      </c>
      <c r="G69" t="s">
        <v>68</v>
      </c>
      <c r="H69" t="s">
        <v>21</v>
      </c>
      <c r="I69" t="s">
        <v>369</v>
      </c>
      <c r="J69" t="s">
        <v>370</v>
      </c>
      <c r="K69">
        <v>89344</v>
      </c>
      <c r="L69">
        <v>23873</v>
      </c>
      <c r="M69">
        <v>343736</v>
      </c>
      <c r="N69">
        <v>763</v>
      </c>
      <c r="O69" t="s">
        <v>24</v>
      </c>
    </row>
    <row r="70" spans="1:15">
      <c r="A70" t="s">
        <v>371</v>
      </c>
      <c r="B70" t="s">
        <v>26</v>
      </c>
      <c r="C70" t="s">
        <v>36</v>
      </c>
      <c r="D70" t="s">
        <v>372</v>
      </c>
      <c r="E70" t="s">
        <v>373</v>
      </c>
      <c r="F70" t="s">
        <v>20</v>
      </c>
      <c r="H70" t="s">
        <v>21</v>
      </c>
      <c r="I70" t="s">
        <v>374</v>
      </c>
      <c r="J70" t="s">
        <v>375</v>
      </c>
      <c r="K70">
        <v>90040</v>
      </c>
      <c r="L70">
        <v>24629</v>
      </c>
      <c r="M70">
        <v>444373</v>
      </c>
      <c r="N70">
        <v>618</v>
      </c>
      <c r="O70" t="s">
        <v>33</v>
      </c>
    </row>
    <row r="71" spans="1:15">
      <c r="A71" t="s">
        <v>376</v>
      </c>
      <c r="B71" t="s">
        <v>72</v>
      </c>
      <c r="C71" t="s">
        <v>58</v>
      </c>
      <c r="D71" t="s">
        <v>377</v>
      </c>
      <c r="E71" t="s">
        <v>378</v>
      </c>
      <c r="F71" t="s">
        <v>20</v>
      </c>
      <c r="G71" t="s">
        <v>30</v>
      </c>
      <c r="H71" t="s">
        <v>53</v>
      </c>
      <c r="I71" t="s">
        <v>379</v>
      </c>
      <c r="J71" t="s">
        <v>380</v>
      </c>
      <c r="K71">
        <v>93508</v>
      </c>
      <c r="L71">
        <v>3989</v>
      </c>
      <c r="M71">
        <v>476275</v>
      </c>
      <c r="N71">
        <v>731</v>
      </c>
      <c r="O71" t="s">
        <v>33</v>
      </c>
    </row>
    <row r="72" spans="1:15">
      <c r="A72" t="s">
        <v>381</v>
      </c>
      <c r="B72" t="s">
        <v>16</v>
      </c>
      <c r="C72" t="s">
        <v>44</v>
      </c>
      <c r="D72" t="s">
        <v>382</v>
      </c>
      <c r="E72" t="s">
        <v>383</v>
      </c>
      <c r="F72" t="s">
        <v>39</v>
      </c>
      <c r="G72" t="s">
        <v>52</v>
      </c>
      <c r="H72" t="s">
        <v>53</v>
      </c>
      <c r="K72">
        <v>68110</v>
      </c>
      <c r="L72">
        <v>22766</v>
      </c>
      <c r="M72">
        <v>117215</v>
      </c>
      <c r="N72">
        <v>829</v>
      </c>
      <c r="O72" t="s">
        <v>33</v>
      </c>
    </row>
    <row r="73" spans="1:15">
      <c r="A73" t="s">
        <v>384</v>
      </c>
      <c r="B73" t="s">
        <v>64</v>
      </c>
      <c r="C73" t="s">
        <v>17</v>
      </c>
      <c r="D73" t="s">
        <v>385</v>
      </c>
      <c r="E73" t="s">
        <v>386</v>
      </c>
      <c r="F73" t="s">
        <v>68</v>
      </c>
      <c r="G73" t="s">
        <v>68</v>
      </c>
      <c r="H73" t="s">
        <v>53</v>
      </c>
      <c r="I73" t="s">
        <v>387</v>
      </c>
      <c r="J73" t="s">
        <v>91</v>
      </c>
      <c r="L73">
        <v>2120</v>
      </c>
      <c r="M73">
        <v>251450</v>
      </c>
      <c r="N73">
        <v>614</v>
      </c>
      <c r="O73" t="s">
        <v>33</v>
      </c>
    </row>
    <row r="74" spans="1:15">
      <c r="A74" t="s">
        <v>388</v>
      </c>
      <c r="B74" t="s">
        <v>175</v>
      </c>
      <c r="C74" t="s">
        <v>27</v>
      </c>
      <c r="D74" t="s">
        <v>389</v>
      </c>
      <c r="E74" t="s">
        <v>390</v>
      </c>
      <c r="F74" t="s">
        <v>68</v>
      </c>
      <c r="G74" t="s">
        <v>30</v>
      </c>
      <c r="H74" t="s">
        <v>21</v>
      </c>
      <c r="I74" t="s">
        <v>391</v>
      </c>
      <c r="J74" t="s">
        <v>347</v>
      </c>
      <c r="K74">
        <v>42163</v>
      </c>
      <c r="L74">
        <v>17473</v>
      </c>
      <c r="M74">
        <v>342121</v>
      </c>
      <c r="N74">
        <v>652</v>
      </c>
      <c r="O74" t="s">
        <v>33</v>
      </c>
    </row>
    <row r="75" spans="1:15">
      <c r="A75" t="s">
        <v>392</v>
      </c>
      <c r="B75" t="s">
        <v>26</v>
      </c>
      <c r="C75" t="s">
        <v>124</v>
      </c>
      <c r="D75" t="s">
        <v>393</v>
      </c>
      <c r="F75" t="s">
        <v>39</v>
      </c>
      <c r="G75" t="s">
        <v>20</v>
      </c>
      <c r="H75" t="s">
        <v>53</v>
      </c>
      <c r="I75" t="s">
        <v>394</v>
      </c>
      <c r="J75" t="s">
        <v>395</v>
      </c>
      <c r="K75">
        <v>48184</v>
      </c>
      <c r="L75">
        <v>25352</v>
      </c>
      <c r="M75">
        <v>132329</v>
      </c>
      <c r="N75">
        <v>651</v>
      </c>
      <c r="O75" t="s">
        <v>33</v>
      </c>
    </row>
    <row r="76" spans="1:15">
      <c r="A76" t="s">
        <v>396</v>
      </c>
      <c r="B76" t="s">
        <v>243</v>
      </c>
      <c r="C76" t="s">
        <v>65</v>
      </c>
      <c r="E76" t="s">
        <v>397</v>
      </c>
      <c r="F76" t="s">
        <v>68</v>
      </c>
      <c r="G76" t="s">
        <v>39</v>
      </c>
      <c r="H76" t="s">
        <v>53</v>
      </c>
      <c r="I76" t="s">
        <v>398</v>
      </c>
      <c r="J76" t="s">
        <v>399</v>
      </c>
      <c r="K76">
        <v>15711</v>
      </c>
      <c r="L76">
        <v>10846</v>
      </c>
      <c r="M76">
        <v>477267</v>
      </c>
      <c r="N76">
        <v>804</v>
      </c>
      <c r="O76" t="s">
        <v>33</v>
      </c>
    </row>
    <row r="77" spans="1:15">
      <c r="A77" t="s">
        <v>400</v>
      </c>
      <c r="B77" t="s">
        <v>243</v>
      </c>
      <c r="C77" t="s">
        <v>44</v>
      </c>
      <c r="D77" t="s">
        <v>401</v>
      </c>
      <c r="E77" t="s">
        <v>402</v>
      </c>
      <c r="F77" t="s">
        <v>68</v>
      </c>
      <c r="G77" t="s">
        <v>52</v>
      </c>
      <c r="H77" t="s">
        <v>53</v>
      </c>
      <c r="I77" t="s">
        <v>403</v>
      </c>
      <c r="J77" t="s">
        <v>404</v>
      </c>
      <c r="K77">
        <v>78960</v>
      </c>
      <c r="L77">
        <v>4993</v>
      </c>
      <c r="M77">
        <v>127991</v>
      </c>
      <c r="N77">
        <v>681</v>
      </c>
      <c r="O77" t="s">
        <v>33</v>
      </c>
    </row>
    <row r="78" spans="1:15">
      <c r="A78" t="s">
        <v>405</v>
      </c>
      <c r="B78" t="s">
        <v>16</v>
      </c>
      <c r="C78" t="s">
        <v>124</v>
      </c>
      <c r="D78" t="s">
        <v>406</v>
      </c>
      <c r="E78" t="s">
        <v>407</v>
      </c>
      <c r="F78" t="s">
        <v>20</v>
      </c>
      <c r="G78" t="s">
        <v>20</v>
      </c>
      <c r="H78" t="s">
        <v>21</v>
      </c>
      <c r="I78" t="s">
        <v>408</v>
      </c>
      <c r="J78" t="s">
        <v>361</v>
      </c>
      <c r="K78">
        <v>59876</v>
      </c>
      <c r="L78">
        <v>27726</v>
      </c>
      <c r="M78">
        <v>90983</v>
      </c>
      <c r="N78">
        <v>836</v>
      </c>
      <c r="O78" t="s">
        <v>24</v>
      </c>
    </row>
    <row r="79" spans="1:15">
      <c r="A79" t="s">
        <v>409</v>
      </c>
      <c r="B79" t="s">
        <v>64</v>
      </c>
      <c r="C79" t="s">
        <v>124</v>
      </c>
      <c r="D79" t="s">
        <v>410</v>
      </c>
      <c r="E79" t="s">
        <v>411</v>
      </c>
      <c r="F79" t="s">
        <v>68</v>
      </c>
      <c r="G79" t="s">
        <v>39</v>
      </c>
      <c r="H79" t="s">
        <v>21</v>
      </c>
      <c r="I79" t="s">
        <v>22</v>
      </c>
      <c r="J79" t="s">
        <v>412</v>
      </c>
      <c r="K79">
        <v>57392</v>
      </c>
      <c r="L79">
        <v>27113</v>
      </c>
      <c r="M79">
        <v>387379</v>
      </c>
      <c r="N79">
        <v>694</v>
      </c>
      <c r="O79" t="s">
        <v>33</v>
      </c>
    </row>
    <row r="80" spans="1:15">
      <c r="A80" t="s">
        <v>413</v>
      </c>
      <c r="B80" t="s">
        <v>57</v>
      </c>
      <c r="C80" t="s">
        <v>44</v>
      </c>
      <c r="D80" t="s">
        <v>414</v>
      </c>
      <c r="E80" t="s">
        <v>415</v>
      </c>
      <c r="F80" t="s">
        <v>39</v>
      </c>
      <c r="G80" t="s">
        <v>30</v>
      </c>
      <c r="H80" t="s">
        <v>53</v>
      </c>
      <c r="I80" t="s">
        <v>416</v>
      </c>
      <c r="J80" t="s">
        <v>417</v>
      </c>
      <c r="K80">
        <v>42784</v>
      </c>
      <c r="L80">
        <v>23519</v>
      </c>
      <c r="M80">
        <v>165936</v>
      </c>
      <c r="N80">
        <v>744</v>
      </c>
      <c r="O80" t="s">
        <v>24</v>
      </c>
    </row>
    <row r="81" spans="1:15">
      <c r="A81" t="s">
        <v>418</v>
      </c>
      <c r="B81" t="s">
        <v>26</v>
      </c>
      <c r="C81" t="s">
        <v>58</v>
      </c>
      <c r="D81" t="s">
        <v>419</v>
      </c>
      <c r="E81" t="s">
        <v>420</v>
      </c>
      <c r="F81" t="s">
        <v>68</v>
      </c>
      <c r="G81" t="s">
        <v>30</v>
      </c>
      <c r="H81" t="s">
        <v>53</v>
      </c>
      <c r="I81" t="s">
        <v>421</v>
      </c>
      <c r="J81" t="s">
        <v>422</v>
      </c>
      <c r="K81">
        <v>44301</v>
      </c>
      <c r="L81">
        <v>3188</v>
      </c>
      <c r="M81">
        <v>381423</v>
      </c>
      <c r="N81">
        <v>746</v>
      </c>
      <c r="O81" t="s">
        <v>24</v>
      </c>
    </row>
    <row r="82" spans="1:15">
      <c r="A82" t="s">
        <v>423</v>
      </c>
      <c r="B82" t="s">
        <v>72</v>
      </c>
      <c r="C82" t="s">
        <v>36</v>
      </c>
      <c r="D82" t="s">
        <v>424</v>
      </c>
      <c r="E82" t="s">
        <v>425</v>
      </c>
      <c r="F82" t="s">
        <v>30</v>
      </c>
      <c r="G82" t="s">
        <v>52</v>
      </c>
      <c r="H82" t="s">
        <v>21</v>
      </c>
      <c r="I82" t="s">
        <v>426</v>
      </c>
      <c r="J82" t="s">
        <v>427</v>
      </c>
      <c r="K82">
        <v>73789</v>
      </c>
      <c r="L82">
        <v>24274</v>
      </c>
      <c r="M82">
        <v>473337</v>
      </c>
      <c r="N82">
        <v>672</v>
      </c>
      <c r="O82" t="s">
        <v>24</v>
      </c>
    </row>
    <row r="83" spans="1:15">
      <c r="A83" t="s">
        <v>428</v>
      </c>
      <c r="B83" t="s">
        <v>43</v>
      </c>
      <c r="C83" t="s">
        <v>27</v>
      </c>
      <c r="D83" t="s">
        <v>429</v>
      </c>
      <c r="E83" t="s">
        <v>430</v>
      </c>
      <c r="F83" t="s">
        <v>68</v>
      </c>
      <c r="G83" t="s">
        <v>52</v>
      </c>
      <c r="H83" t="s">
        <v>53</v>
      </c>
      <c r="I83" t="s">
        <v>431</v>
      </c>
      <c r="J83" t="s">
        <v>432</v>
      </c>
      <c r="K83">
        <v>73197</v>
      </c>
      <c r="L83">
        <v>24783</v>
      </c>
      <c r="M83">
        <v>88112</v>
      </c>
      <c r="N83">
        <v>808</v>
      </c>
      <c r="O83" t="s">
        <v>33</v>
      </c>
    </row>
    <row r="84" spans="1:15">
      <c r="A84" t="s">
        <v>433</v>
      </c>
      <c r="B84" t="s">
        <v>35</v>
      </c>
      <c r="C84" t="s">
        <v>36</v>
      </c>
      <c r="D84" t="s">
        <v>434</v>
      </c>
      <c r="E84" t="s">
        <v>435</v>
      </c>
      <c r="F84" t="s">
        <v>20</v>
      </c>
      <c r="G84" t="s">
        <v>30</v>
      </c>
      <c r="H84" t="s">
        <v>21</v>
      </c>
      <c r="I84" t="s">
        <v>436</v>
      </c>
      <c r="J84" t="s">
        <v>437</v>
      </c>
      <c r="K84">
        <v>90719</v>
      </c>
      <c r="L84">
        <v>29924</v>
      </c>
      <c r="M84">
        <v>317422</v>
      </c>
      <c r="N84">
        <v>803</v>
      </c>
      <c r="O84" t="s">
        <v>33</v>
      </c>
    </row>
    <row r="85" spans="1:15">
      <c r="A85" t="s">
        <v>438</v>
      </c>
      <c r="B85" t="s">
        <v>130</v>
      </c>
      <c r="C85" t="s">
        <v>58</v>
      </c>
      <c r="D85" t="s">
        <v>439</v>
      </c>
      <c r="E85" t="s">
        <v>440</v>
      </c>
      <c r="F85" t="s">
        <v>68</v>
      </c>
      <c r="G85" t="s">
        <v>30</v>
      </c>
      <c r="H85" t="s">
        <v>53</v>
      </c>
      <c r="I85" t="s">
        <v>441</v>
      </c>
      <c r="J85" t="s">
        <v>442</v>
      </c>
      <c r="K85">
        <v>49669</v>
      </c>
      <c r="L85">
        <v>17793</v>
      </c>
      <c r="M85">
        <v>441569</v>
      </c>
      <c r="N85">
        <v>680</v>
      </c>
      <c r="O85" t="s">
        <v>33</v>
      </c>
    </row>
    <row r="86" spans="1:15">
      <c r="A86" t="s">
        <v>443</v>
      </c>
      <c r="B86" t="s">
        <v>64</v>
      </c>
      <c r="C86" t="s">
        <v>36</v>
      </c>
      <c r="D86" t="s">
        <v>444</v>
      </c>
      <c r="E86" t="s">
        <v>445</v>
      </c>
      <c r="F86" t="s">
        <v>68</v>
      </c>
      <c r="G86" t="s">
        <v>20</v>
      </c>
      <c r="H86" t="s">
        <v>21</v>
      </c>
      <c r="I86" t="s">
        <v>446</v>
      </c>
      <c r="J86" t="s">
        <v>447</v>
      </c>
      <c r="K86">
        <v>27163</v>
      </c>
      <c r="L86">
        <v>17591</v>
      </c>
      <c r="M86">
        <v>282879</v>
      </c>
      <c r="N86">
        <v>750</v>
      </c>
      <c r="O86" t="s">
        <v>24</v>
      </c>
    </row>
    <row r="87" spans="1:15">
      <c r="A87" t="s">
        <v>448</v>
      </c>
      <c r="B87" t="s">
        <v>175</v>
      </c>
      <c r="C87" t="s">
        <v>58</v>
      </c>
      <c r="D87" t="s">
        <v>449</v>
      </c>
      <c r="E87" t="s">
        <v>450</v>
      </c>
      <c r="F87" t="s">
        <v>30</v>
      </c>
      <c r="G87" t="s">
        <v>68</v>
      </c>
      <c r="H87" t="s">
        <v>21</v>
      </c>
      <c r="I87" t="s">
        <v>451</v>
      </c>
      <c r="J87" t="s">
        <v>452</v>
      </c>
      <c r="K87">
        <v>62709</v>
      </c>
      <c r="L87">
        <v>10225</v>
      </c>
      <c r="M87">
        <v>395501</v>
      </c>
      <c r="O87" t="s">
        <v>24</v>
      </c>
    </row>
    <row r="88" spans="1:15">
      <c r="A88" t="s">
        <v>453</v>
      </c>
      <c r="B88" t="s">
        <v>35</v>
      </c>
      <c r="C88" t="s">
        <v>27</v>
      </c>
      <c r="D88" t="s">
        <v>454</v>
      </c>
      <c r="E88" t="s">
        <v>455</v>
      </c>
      <c r="F88" t="s">
        <v>20</v>
      </c>
      <c r="G88" t="s">
        <v>68</v>
      </c>
      <c r="H88" t="s">
        <v>21</v>
      </c>
      <c r="I88" t="s">
        <v>456</v>
      </c>
      <c r="J88" t="s">
        <v>457</v>
      </c>
      <c r="K88">
        <v>93340</v>
      </c>
      <c r="L88">
        <v>25555</v>
      </c>
      <c r="M88">
        <v>496827</v>
      </c>
      <c r="N88">
        <v>723</v>
      </c>
      <c r="O88" t="s">
        <v>33</v>
      </c>
    </row>
    <row r="89" spans="1:15">
      <c r="A89" t="s">
        <v>458</v>
      </c>
      <c r="D89" t="s">
        <v>459</v>
      </c>
      <c r="E89" t="s">
        <v>460</v>
      </c>
      <c r="F89" t="s">
        <v>39</v>
      </c>
      <c r="G89" t="s">
        <v>20</v>
      </c>
      <c r="I89" t="s">
        <v>461</v>
      </c>
      <c r="J89" t="s">
        <v>296</v>
      </c>
      <c r="K89">
        <v>12380</v>
      </c>
      <c r="L89">
        <v>6638</v>
      </c>
      <c r="M89">
        <v>476798</v>
      </c>
      <c r="N89">
        <v>666</v>
      </c>
      <c r="O89" t="s">
        <v>33</v>
      </c>
    </row>
    <row r="90" spans="1:15">
      <c r="A90" t="s">
        <v>462</v>
      </c>
      <c r="B90" t="s">
        <v>26</v>
      </c>
      <c r="C90" t="s">
        <v>17</v>
      </c>
      <c r="D90" t="s">
        <v>463</v>
      </c>
      <c r="E90" t="s">
        <v>464</v>
      </c>
      <c r="F90" t="s">
        <v>68</v>
      </c>
      <c r="G90" t="s">
        <v>20</v>
      </c>
      <c r="H90" t="s">
        <v>21</v>
      </c>
      <c r="I90" t="s">
        <v>465</v>
      </c>
      <c r="J90" t="s">
        <v>466</v>
      </c>
      <c r="K90">
        <v>66820</v>
      </c>
      <c r="L90">
        <v>12006</v>
      </c>
      <c r="M90">
        <v>457370</v>
      </c>
      <c r="N90">
        <v>833</v>
      </c>
      <c r="O90" t="s">
        <v>33</v>
      </c>
    </row>
    <row r="91" spans="1:15">
      <c r="A91" t="s">
        <v>467</v>
      </c>
      <c r="B91" t="s">
        <v>26</v>
      </c>
      <c r="C91" t="s">
        <v>27</v>
      </c>
      <c r="D91" t="s">
        <v>468</v>
      </c>
      <c r="E91" t="s">
        <v>469</v>
      </c>
      <c r="F91" t="s">
        <v>30</v>
      </c>
      <c r="G91" t="s">
        <v>39</v>
      </c>
      <c r="H91" t="s">
        <v>53</v>
      </c>
      <c r="I91" t="s">
        <v>470</v>
      </c>
      <c r="J91" t="s">
        <v>471</v>
      </c>
      <c r="K91">
        <v>29608</v>
      </c>
      <c r="L91">
        <v>8511</v>
      </c>
      <c r="M91">
        <v>432816</v>
      </c>
      <c r="N91">
        <v>606</v>
      </c>
      <c r="O91" t="s">
        <v>24</v>
      </c>
    </row>
    <row r="92" spans="1:15">
      <c r="A92" t="s">
        <v>472</v>
      </c>
      <c r="B92" t="s">
        <v>130</v>
      </c>
      <c r="C92" t="s">
        <v>65</v>
      </c>
      <c r="D92" t="s">
        <v>473</v>
      </c>
      <c r="E92" t="s">
        <v>474</v>
      </c>
      <c r="F92" t="s">
        <v>39</v>
      </c>
      <c r="G92" t="s">
        <v>30</v>
      </c>
      <c r="H92" t="s">
        <v>53</v>
      </c>
      <c r="I92" t="s">
        <v>352</v>
      </c>
      <c r="J92" t="s">
        <v>475</v>
      </c>
      <c r="K92">
        <v>66057</v>
      </c>
      <c r="L92">
        <v>21050</v>
      </c>
      <c r="M92">
        <v>76671</v>
      </c>
      <c r="N92">
        <v>740</v>
      </c>
      <c r="O92" t="s">
        <v>24</v>
      </c>
    </row>
    <row r="93" spans="1:15">
      <c r="A93" t="s">
        <v>476</v>
      </c>
      <c r="B93" t="s">
        <v>243</v>
      </c>
      <c r="C93" t="s">
        <v>58</v>
      </c>
      <c r="D93" t="s">
        <v>477</v>
      </c>
      <c r="E93" t="s">
        <v>478</v>
      </c>
      <c r="F93" t="s">
        <v>30</v>
      </c>
      <c r="G93" t="s">
        <v>52</v>
      </c>
      <c r="H93" t="s">
        <v>21</v>
      </c>
      <c r="I93" t="s">
        <v>479</v>
      </c>
      <c r="J93" t="s">
        <v>480</v>
      </c>
      <c r="K93">
        <v>98034</v>
      </c>
      <c r="L93">
        <v>25285</v>
      </c>
      <c r="M93">
        <v>112205</v>
      </c>
      <c r="N93">
        <v>667</v>
      </c>
    </row>
    <row r="94" spans="1:15">
      <c r="A94" t="s">
        <v>481</v>
      </c>
      <c r="B94" t="s">
        <v>35</v>
      </c>
      <c r="C94" t="s">
        <v>104</v>
      </c>
      <c r="D94" t="s">
        <v>482</v>
      </c>
      <c r="E94" t="s">
        <v>483</v>
      </c>
      <c r="F94" t="s">
        <v>30</v>
      </c>
      <c r="G94" t="s">
        <v>20</v>
      </c>
      <c r="H94" t="s">
        <v>53</v>
      </c>
      <c r="I94" t="s">
        <v>484</v>
      </c>
      <c r="J94" t="s">
        <v>23</v>
      </c>
      <c r="K94">
        <v>97648</v>
      </c>
      <c r="L94">
        <v>15656</v>
      </c>
      <c r="M94">
        <v>204270</v>
      </c>
      <c r="N94">
        <v>774</v>
      </c>
      <c r="O94" t="s">
        <v>33</v>
      </c>
    </row>
    <row r="95" spans="1:15">
      <c r="A95" t="s">
        <v>485</v>
      </c>
      <c r="B95" t="s">
        <v>57</v>
      </c>
      <c r="C95" t="s">
        <v>124</v>
      </c>
      <c r="D95" t="s">
        <v>486</v>
      </c>
      <c r="E95" t="s">
        <v>487</v>
      </c>
      <c r="F95" t="s">
        <v>39</v>
      </c>
      <c r="G95" t="s">
        <v>20</v>
      </c>
      <c r="H95" t="s">
        <v>53</v>
      </c>
      <c r="I95" t="s">
        <v>488</v>
      </c>
      <c r="J95" t="s">
        <v>489</v>
      </c>
      <c r="K95">
        <v>31905</v>
      </c>
      <c r="L95">
        <v>18063</v>
      </c>
      <c r="M95">
        <v>185061</v>
      </c>
      <c r="N95">
        <v>706</v>
      </c>
      <c r="O95" t="s">
        <v>33</v>
      </c>
    </row>
    <row r="96" spans="1:15">
      <c r="A96" t="s">
        <v>490</v>
      </c>
      <c r="B96" t="s">
        <v>43</v>
      </c>
      <c r="C96" t="s">
        <v>44</v>
      </c>
      <c r="D96" t="s">
        <v>491</v>
      </c>
      <c r="E96" t="s">
        <v>492</v>
      </c>
      <c r="F96" t="s">
        <v>30</v>
      </c>
      <c r="G96" t="s">
        <v>30</v>
      </c>
      <c r="H96" t="s">
        <v>21</v>
      </c>
      <c r="J96" t="s">
        <v>493</v>
      </c>
      <c r="K96">
        <v>45066</v>
      </c>
      <c r="L96">
        <v>2849</v>
      </c>
      <c r="M96">
        <v>333396</v>
      </c>
      <c r="N96">
        <v>760</v>
      </c>
      <c r="O96" t="s">
        <v>33</v>
      </c>
    </row>
    <row r="97" spans="1:15">
      <c r="A97" t="s">
        <v>494</v>
      </c>
      <c r="B97" t="s">
        <v>43</v>
      </c>
      <c r="C97" t="s">
        <v>36</v>
      </c>
      <c r="D97" t="s">
        <v>495</v>
      </c>
      <c r="E97" t="s">
        <v>496</v>
      </c>
      <c r="F97" t="s">
        <v>68</v>
      </c>
      <c r="G97" t="s">
        <v>39</v>
      </c>
      <c r="H97" t="s">
        <v>21</v>
      </c>
      <c r="I97" t="s">
        <v>497</v>
      </c>
      <c r="J97" t="s">
        <v>498</v>
      </c>
      <c r="K97">
        <v>29442</v>
      </c>
      <c r="L97">
        <v>5266</v>
      </c>
      <c r="M97">
        <v>184383</v>
      </c>
      <c r="N97">
        <v>649</v>
      </c>
      <c r="O97" t="s">
        <v>33</v>
      </c>
    </row>
    <row r="98" spans="1:15">
      <c r="A98" t="s">
        <v>499</v>
      </c>
      <c r="B98" t="s">
        <v>64</v>
      </c>
      <c r="C98" t="s">
        <v>36</v>
      </c>
      <c r="D98" t="s">
        <v>500</v>
      </c>
      <c r="E98" t="s">
        <v>501</v>
      </c>
      <c r="F98" t="s">
        <v>20</v>
      </c>
      <c r="G98" t="s">
        <v>68</v>
      </c>
      <c r="H98" t="s">
        <v>21</v>
      </c>
      <c r="I98" t="s">
        <v>318</v>
      </c>
      <c r="J98" t="s">
        <v>127</v>
      </c>
      <c r="K98">
        <v>72933</v>
      </c>
      <c r="L98">
        <v>23787</v>
      </c>
      <c r="M98">
        <v>210325</v>
      </c>
      <c r="N98">
        <v>668</v>
      </c>
      <c r="O98" t="s">
        <v>33</v>
      </c>
    </row>
    <row r="99" spans="1:15">
      <c r="A99" t="s">
        <v>502</v>
      </c>
      <c r="B99" t="s">
        <v>243</v>
      </c>
      <c r="C99" t="s">
        <v>124</v>
      </c>
      <c r="D99" t="s">
        <v>503</v>
      </c>
      <c r="E99" t="s">
        <v>504</v>
      </c>
      <c r="F99" t="s">
        <v>68</v>
      </c>
      <c r="G99" t="s">
        <v>39</v>
      </c>
      <c r="H99" t="s">
        <v>53</v>
      </c>
      <c r="I99" t="s">
        <v>505</v>
      </c>
      <c r="J99" t="s">
        <v>506</v>
      </c>
      <c r="K99">
        <v>86093</v>
      </c>
      <c r="L99">
        <v>23746</v>
      </c>
      <c r="M99">
        <v>286513</v>
      </c>
      <c r="N99">
        <v>736</v>
      </c>
      <c r="O99" t="s">
        <v>24</v>
      </c>
    </row>
    <row r="100" spans="1:15">
      <c r="A100" t="s">
        <v>507</v>
      </c>
      <c r="B100" t="s">
        <v>243</v>
      </c>
      <c r="C100" t="s">
        <v>36</v>
      </c>
      <c r="D100" t="s">
        <v>508</v>
      </c>
      <c r="E100" t="s">
        <v>509</v>
      </c>
      <c r="F100" t="s">
        <v>39</v>
      </c>
      <c r="G100" t="s">
        <v>68</v>
      </c>
      <c r="H100" t="s">
        <v>21</v>
      </c>
      <c r="I100" t="s">
        <v>510</v>
      </c>
      <c r="J100" t="s">
        <v>511</v>
      </c>
      <c r="K100">
        <v>72967</v>
      </c>
      <c r="L100">
        <v>11814</v>
      </c>
      <c r="M100">
        <v>112079</v>
      </c>
      <c r="N100">
        <v>632</v>
      </c>
      <c r="O100" t="s">
        <v>24</v>
      </c>
    </row>
    <row r="101" spans="1:15">
      <c r="A101" t="s">
        <v>512</v>
      </c>
      <c r="B101" t="s">
        <v>16</v>
      </c>
      <c r="C101" t="s">
        <v>36</v>
      </c>
      <c r="D101" t="s">
        <v>513</v>
      </c>
      <c r="E101" t="s">
        <v>514</v>
      </c>
      <c r="F101" t="s">
        <v>39</v>
      </c>
      <c r="G101" t="s">
        <v>30</v>
      </c>
      <c r="H101" t="s">
        <v>53</v>
      </c>
      <c r="I101" t="s">
        <v>515</v>
      </c>
      <c r="J101" t="s">
        <v>516</v>
      </c>
      <c r="K101">
        <v>83827</v>
      </c>
      <c r="L101">
        <v>7534</v>
      </c>
      <c r="M101">
        <v>313725</v>
      </c>
      <c r="N101">
        <v>745</v>
      </c>
      <c r="O101" t="s">
        <v>33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ECB75-5A60-4710-9672-61F35A992D7B}">
  <dimension ref="A1:D17"/>
  <sheetViews>
    <sheetView workbookViewId="0">
      <selection activeCell="C16" sqref="C16:D16"/>
    </sheetView>
  </sheetViews>
  <sheetFormatPr defaultRowHeight="15"/>
  <cols>
    <col min="1" max="1" width="16.42578125" style="14" bestFit="1" customWidth="1"/>
    <col min="2" max="2" width="13.7109375" style="15" bestFit="1" customWidth="1"/>
    <col min="3" max="3" width="14.28515625" style="14" customWidth="1"/>
    <col min="4" max="4" width="72.140625" style="14" bestFit="1" customWidth="1"/>
  </cols>
  <sheetData>
    <row r="1" spans="1:4" s="13" customFormat="1" ht="24.95" customHeight="1">
      <c r="A1" s="1" t="s">
        <v>571</v>
      </c>
      <c r="B1" s="1" t="s">
        <v>572</v>
      </c>
      <c r="C1" s="1" t="s">
        <v>584</v>
      </c>
      <c r="D1" s="1" t="s">
        <v>585</v>
      </c>
    </row>
    <row r="2" spans="1:4" ht="20.100000000000001" customHeight="1">
      <c r="A2" s="12" t="s">
        <v>0</v>
      </c>
      <c r="B2" s="32">
        <v>0</v>
      </c>
      <c r="C2" s="12" t="s">
        <v>586</v>
      </c>
      <c r="D2" s="12" t="s">
        <v>587</v>
      </c>
    </row>
    <row r="3" spans="1:4" ht="20.100000000000001" customHeight="1">
      <c r="A3" s="12" t="s">
        <v>1</v>
      </c>
      <c r="B3" s="32">
        <v>1</v>
      </c>
      <c r="C3" s="12" t="s">
        <v>586</v>
      </c>
      <c r="D3" s="12" t="s">
        <v>587</v>
      </c>
    </row>
    <row r="4" spans="1:4" ht="20.100000000000001" customHeight="1">
      <c r="A4" s="12" t="s">
        <v>2</v>
      </c>
      <c r="B4" s="32">
        <v>1</v>
      </c>
      <c r="C4" s="12" t="s">
        <v>588</v>
      </c>
      <c r="D4" s="12" t="s">
        <v>589</v>
      </c>
    </row>
    <row r="5" spans="1:4" ht="20.100000000000001" customHeight="1">
      <c r="A5" s="12" t="s">
        <v>3</v>
      </c>
      <c r="B5" s="32">
        <v>1</v>
      </c>
      <c r="C5" s="12" t="s">
        <v>588</v>
      </c>
      <c r="D5" s="12" t="s">
        <v>590</v>
      </c>
    </row>
    <row r="6" spans="1:4" ht="20.100000000000001" customHeight="1">
      <c r="A6" s="12" t="s">
        <v>4</v>
      </c>
      <c r="B6" s="32">
        <v>2</v>
      </c>
      <c r="C6" s="12" t="s">
        <v>591</v>
      </c>
      <c r="D6" s="12" t="s">
        <v>592</v>
      </c>
    </row>
    <row r="7" spans="1:4" ht="20.100000000000001" customHeight="1">
      <c r="A7" s="12" t="s">
        <v>5</v>
      </c>
      <c r="B7" s="32">
        <v>1</v>
      </c>
      <c r="C7" s="12" t="s">
        <v>593</v>
      </c>
      <c r="D7" s="12" t="s">
        <v>594</v>
      </c>
    </row>
    <row r="8" spans="1:4" ht="20.100000000000001" customHeight="1">
      <c r="A8" s="12" t="s">
        <v>6</v>
      </c>
      <c r="B8" s="32">
        <v>2</v>
      </c>
      <c r="C8" s="12" t="s">
        <v>588</v>
      </c>
      <c r="D8" s="12" t="s">
        <v>595</v>
      </c>
    </row>
    <row r="9" spans="1:4" ht="20.100000000000001" customHeight="1">
      <c r="A9" s="12" t="s">
        <v>7</v>
      </c>
      <c r="B9" s="32">
        <v>3</v>
      </c>
      <c r="C9" s="12" t="s">
        <v>593</v>
      </c>
      <c r="D9" s="12" t="s">
        <v>596</v>
      </c>
    </row>
    <row r="10" spans="1:4" ht="20.100000000000001" customHeight="1">
      <c r="A10" s="12" t="s">
        <v>8</v>
      </c>
      <c r="B10" s="32">
        <v>3</v>
      </c>
      <c r="C10" s="12" t="s">
        <v>593</v>
      </c>
      <c r="D10" s="12" t="s">
        <v>597</v>
      </c>
    </row>
    <row r="11" spans="1:4" ht="20.100000000000001" customHeight="1">
      <c r="A11" s="12" t="s">
        <v>9</v>
      </c>
      <c r="B11" s="32">
        <v>2</v>
      </c>
      <c r="C11" s="12" t="s">
        <v>593</v>
      </c>
      <c r="D11" s="12" t="s">
        <v>598</v>
      </c>
    </row>
    <row r="12" spans="1:4" ht="20.100000000000001" customHeight="1">
      <c r="A12" s="12" t="s">
        <v>10</v>
      </c>
      <c r="B12" s="32">
        <v>2</v>
      </c>
      <c r="C12" s="12" t="s">
        <v>593</v>
      </c>
      <c r="D12" s="12" t="s">
        <v>599</v>
      </c>
    </row>
    <row r="13" spans="1:4" ht="20.100000000000001" customHeight="1">
      <c r="A13" s="12" t="s">
        <v>11</v>
      </c>
      <c r="B13" s="32">
        <v>2</v>
      </c>
      <c r="C13" s="12" t="s">
        <v>593</v>
      </c>
      <c r="D13" s="12" t="s">
        <v>599</v>
      </c>
    </row>
    <row r="14" spans="1:4" ht="20.100000000000001" customHeight="1">
      <c r="A14" s="12" t="s">
        <v>12</v>
      </c>
      <c r="B14" s="32">
        <v>3</v>
      </c>
      <c r="C14" s="12" t="s">
        <v>593</v>
      </c>
      <c r="D14" s="12" t="s">
        <v>600</v>
      </c>
    </row>
    <row r="15" spans="1:4" ht="20.100000000000001" customHeight="1">
      <c r="A15" s="12" t="s">
        <v>13</v>
      </c>
      <c r="B15" s="32">
        <v>3</v>
      </c>
      <c r="C15" s="12" t="s">
        <v>588</v>
      </c>
      <c r="D15" s="12" t="s">
        <v>601</v>
      </c>
    </row>
    <row r="16" spans="1:4" ht="20.100000000000001" customHeight="1">
      <c r="A16" s="12" t="s">
        <v>14</v>
      </c>
      <c r="B16" s="32">
        <v>3</v>
      </c>
      <c r="C16" s="12" t="s">
        <v>593</v>
      </c>
      <c r="D16" s="12" t="s">
        <v>602</v>
      </c>
    </row>
    <row r="17" spans="1:4" ht="20.100000000000001" customHeight="1">
      <c r="A17" s="12"/>
      <c r="B17" s="32"/>
      <c r="C17" s="12"/>
      <c r="D17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4AA4-A30D-4DE5-AB9B-05A81BD24004}">
  <dimension ref="A1:L16"/>
  <sheetViews>
    <sheetView workbookViewId="0">
      <selection activeCell="E23" sqref="E23"/>
    </sheetView>
  </sheetViews>
  <sheetFormatPr defaultRowHeight="20.100000000000001" customHeight="1"/>
  <cols>
    <col min="1" max="1" width="8.140625" bestFit="1" customWidth="1"/>
    <col min="2" max="2" width="16.42578125" bestFit="1" customWidth="1"/>
    <col min="3" max="3" width="13.42578125" bestFit="1" customWidth="1"/>
    <col min="4" max="4" width="8.42578125" bestFit="1" customWidth="1"/>
    <col min="5" max="5" width="33" bestFit="1" customWidth="1"/>
    <col min="7" max="7" width="7.85546875" bestFit="1" customWidth="1"/>
    <col min="8" max="8" width="11.140625" bestFit="1" customWidth="1"/>
    <col min="9" max="9" width="13.42578125" bestFit="1" customWidth="1"/>
    <col min="10" max="10" width="8.42578125" bestFit="1" customWidth="1"/>
    <col min="11" max="11" width="10.85546875" bestFit="1" customWidth="1"/>
    <col min="12" max="12" width="8.28515625" bestFit="1" customWidth="1"/>
  </cols>
  <sheetData>
    <row r="1" spans="1:12" ht="24.95" customHeight="1">
      <c r="A1" s="34" t="s">
        <v>603</v>
      </c>
      <c r="B1" s="34" t="s">
        <v>571</v>
      </c>
      <c r="C1" s="34" t="s">
        <v>604</v>
      </c>
      <c r="D1" s="34" t="s">
        <v>584</v>
      </c>
      <c r="E1" s="34" t="s">
        <v>585</v>
      </c>
      <c r="G1" s="34" t="s">
        <v>603</v>
      </c>
      <c r="H1" s="34" t="s">
        <v>571</v>
      </c>
      <c r="I1" s="34" t="s">
        <v>604</v>
      </c>
      <c r="J1" s="34" t="s">
        <v>584</v>
      </c>
      <c r="K1" s="34" t="s">
        <v>585</v>
      </c>
      <c r="L1" s="34" t="s">
        <v>14</v>
      </c>
    </row>
    <row r="2" spans="1:12" ht="20.100000000000001" customHeight="1">
      <c r="A2" s="12">
        <v>89</v>
      </c>
      <c r="B2" s="33" t="s">
        <v>1</v>
      </c>
      <c r="C2" s="33" t="s">
        <v>685</v>
      </c>
      <c r="D2" s="33" t="s">
        <v>609</v>
      </c>
      <c r="E2" s="33" t="s">
        <v>691</v>
      </c>
      <c r="G2" s="33">
        <v>89</v>
      </c>
      <c r="H2" s="33" t="s">
        <v>1</v>
      </c>
      <c r="I2" s="33" t="s">
        <v>685</v>
      </c>
      <c r="J2" s="33" t="s">
        <v>609</v>
      </c>
      <c r="K2" s="33" t="s">
        <v>608</v>
      </c>
      <c r="L2" s="33" t="s">
        <v>686</v>
      </c>
    </row>
    <row r="3" spans="1:12" ht="20.100000000000001" customHeight="1">
      <c r="A3" s="12">
        <v>89</v>
      </c>
      <c r="B3" s="33" t="s">
        <v>2</v>
      </c>
      <c r="C3" s="33" t="s">
        <v>685</v>
      </c>
      <c r="D3" s="33" t="s">
        <v>609</v>
      </c>
      <c r="E3" s="33" t="s">
        <v>691</v>
      </c>
      <c r="G3" s="33">
        <v>15</v>
      </c>
      <c r="H3" s="33" t="s">
        <v>5</v>
      </c>
      <c r="I3" s="33" t="s">
        <v>685</v>
      </c>
      <c r="J3" s="33" t="s">
        <v>607</v>
      </c>
      <c r="K3" s="33" t="s">
        <v>687</v>
      </c>
      <c r="L3" s="33" t="s">
        <v>686</v>
      </c>
    </row>
    <row r="4" spans="1:12" ht="20.100000000000001" customHeight="1">
      <c r="A4" s="12">
        <v>76</v>
      </c>
      <c r="B4" s="33" t="s">
        <v>3</v>
      </c>
      <c r="C4" s="33" t="s">
        <v>685</v>
      </c>
      <c r="D4" s="33" t="s">
        <v>609</v>
      </c>
      <c r="E4" s="33" t="s">
        <v>692</v>
      </c>
      <c r="G4" s="33">
        <v>22</v>
      </c>
      <c r="H4" s="33" t="s">
        <v>10</v>
      </c>
      <c r="I4" s="33" t="s">
        <v>685</v>
      </c>
      <c r="J4" s="33" t="s">
        <v>607</v>
      </c>
      <c r="K4" s="33" t="s">
        <v>688</v>
      </c>
      <c r="L4" s="33" t="s">
        <v>689</v>
      </c>
    </row>
    <row r="5" spans="1:12" ht="20.100000000000001" customHeight="1">
      <c r="A5" s="12" t="s">
        <v>676</v>
      </c>
      <c r="B5" s="33" t="s">
        <v>4</v>
      </c>
      <c r="C5" s="33" t="s">
        <v>685</v>
      </c>
      <c r="D5" s="33" t="s">
        <v>605</v>
      </c>
      <c r="E5" s="33" t="s">
        <v>693</v>
      </c>
      <c r="G5" s="33">
        <v>48</v>
      </c>
      <c r="H5" s="33" t="s">
        <v>4</v>
      </c>
      <c r="I5" s="33" t="s">
        <v>685</v>
      </c>
      <c r="J5" s="33" t="s">
        <v>605</v>
      </c>
      <c r="K5" s="33" t="s">
        <v>606</v>
      </c>
      <c r="L5" s="33" t="s">
        <v>690</v>
      </c>
    </row>
    <row r="6" spans="1:12" ht="20.100000000000001" customHeight="1">
      <c r="A6" s="12">
        <v>15</v>
      </c>
      <c r="B6" s="33" t="s">
        <v>5</v>
      </c>
      <c r="C6" s="33" t="s">
        <v>685</v>
      </c>
      <c r="D6" s="33" t="s">
        <v>607</v>
      </c>
      <c r="E6" s="33" t="s">
        <v>694</v>
      </c>
    </row>
    <row r="7" spans="1:12" ht="20.100000000000001" customHeight="1">
      <c r="A7" s="12" t="s">
        <v>677</v>
      </c>
      <c r="B7" s="33" t="s">
        <v>6</v>
      </c>
      <c r="C7" s="33" t="s">
        <v>685</v>
      </c>
      <c r="D7" s="33" t="s">
        <v>609</v>
      </c>
      <c r="E7" s="33" t="s">
        <v>695</v>
      </c>
    </row>
    <row r="8" spans="1:12" ht="20.100000000000001" customHeight="1">
      <c r="A8" s="12" t="s">
        <v>678</v>
      </c>
      <c r="B8" s="33" t="s">
        <v>7</v>
      </c>
      <c r="C8" s="33" t="s">
        <v>685</v>
      </c>
      <c r="D8" s="33" t="s">
        <v>607</v>
      </c>
      <c r="E8" s="33" t="s">
        <v>696</v>
      </c>
    </row>
    <row r="9" spans="1:12" ht="20.100000000000001" customHeight="1">
      <c r="A9" s="12" t="s">
        <v>679</v>
      </c>
      <c r="B9" s="33" t="s">
        <v>8</v>
      </c>
      <c r="C9" s="33" t="s">
        <v>685</v>
      </c>
      <c r="D9" s="33" t="s">
        <v>607</v>
      </c>
      <c r="E9" s="33" t="s">
        <v>697</v>
      </c>
    </row>
    <row r="10" spans="1:12" ht="20.100000000000001" customHeight="1">
      <c r="A10" s="12" t="s">
        <v>680</v>
      </c>
      <c r="B10" s="33" t="s">
        <v>9</v>
      </c>
      <c r="C10" s="33" t="s">
        <v>685</v>
      </c>
      <c r="D10" s="33" t="s">
        <v>607</v>
      </c>
      <c r="E10" s="33" t="s">
        <v>698</v>
      </c>
    </row>
    <row r="11" spans="1:12" ht="20.100000000000001" customHeight="1">
      <c r="A11" s="12" t="s">
        <v>681</v>
      </c>
      <c r="B11" s="33" t="s">
        <v>10</v>
      </c>
      <c r="C11" s="33" t="s">
        <v>685</v>
      </c>
      <c r="D11" s="33" t="s">
        <v>607</v>
      </c>
      <c r="E11" s="33" t="s">
        <v>699</v>
      </c>
    </row>
    <row r="12" spans="1:12" ht="20.100000000000001" customHeight="1">
      <c r="A12" s="12" t="s">
        <v>682</v>
      </c>
      <c r="B12" s="33" t="s">
        <v>11</v>
      </c>
      <c r="C12" s="33" t="s">
        <v>685</v>
      </c>
      <c r="D12" s="33" t="s">
        <v>607</v>
      </c>
      <c r="E12" s="33" t="s">
        <v>699</v>
      </c>
    </row>
    <row r="13" spans="1:12" ht="20.100000000000001" customHeight="1">
      <c r="A13" s="12">
        <v>65</v>
      </c>
      <c r="B13" s="33" t="s">
        <v>12</v>
      </c>
      <c r="C13" s="33" t="s">
        <v>685</v>
      </c>
      <c r="D13" s="33" t="s">
        <v>607</v>
      </c>
      <c r="E13" s="33" t="s">
        <v>700</v>
      </c>
    </row>
    <row r="14" spans="1:12" ht="20.100000000000001" customHeight="1">
      <c r="A14" s="12" t="s">
        <v>683</v>
      </c>
      <c r="B14" s="33" t="s">
        <v>13</v>
      </c>
      <c r="C14" s="33" t="s">
        <v>685</v>
      </c>
      <c r="D14" s="33" t="s">
        <v>609</v>
      </c>
      <c r="E14" s="33" t="s">
        <v>701</v>
      </c>
    </row>
    <row r="15" spans="1:12" ht="20.100000000000001" customHeight="1">
      <c r="A15" s="12" t="s">
        <v>684</v>
      </c>
      <c r="B15" s="33" t="s">
        <v>14</v>
      </c>
      <c r="C15" s="33" t="s">
        <v>685</v>
      </c>
      <c r="D15" s="33" t="s">
        <v>607</v>
      </c>
      <c r="E15" s="33" t="s">
        <v>702</v>
      </c>
    </row>
    <row r="16" spans="1:12" ht="20.100000000000001" customHeight="1">
      <c r="A16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7C7AF-66E7-4E93-8DD1-3CC2FBFF7B68}">
  <dimension ref="A1:J22"/>
  <sheetViews>
    <sheetView topLeftCell="B6" zoomScale="110" zoomScaleNormal="110" workbookViewId="0">
      <selection activeCell="O27" sqref="O27"/>
    </sheetView>
  </sheetViews>
  <sheetFormatPr defaultRowHeight="20.100000000000001" customHeight="1"/>
  <cols>
    <col min="1" max="1" width="12.42578125" bestFit="1" customWidth="1"/>
    <col min="2" max="2" width="11.85546875" customWidth="1"/>
    <col min="3" max="3" width="12.28515625" customWidth="1"/>
    <col min="4" max="4" width="19" bestFit="1" customWidth="1"/>
    <col min="5" max="5" width="11.5703125" customWidth="1"/>
    <col min="6" max="6" width="12.5703125" customWidth="1"/>
  </cols>
  <sheetData>
    <row r="1" spans="1:10" s="13" customFormat="1" ht="24.95" customHeight="1">
      <c r="A1" s="39" t="s">
        <v>0</v>
      </c>
      <c r="B1" s="39" t="s">
        <v>1</v>
      </c>
      <c r="C1" s="39" t="s">
        <v>2</v>
      </c>
      <c r="D1" s="39" t="s">
        <v>3</v>
      </c>
      <c r="E1" s="40" t="s">
        <v>703</v>
      </c>
      <c r="F1" s="40" t="s">
        <v>705</v>
      </c>
      <c r="G1" s="40" t="s">
        <v>704</v>
      </c>
      <c r="H1" s="40" t="s">
        <v>706</v>
      </c>
      <c r="I1" s="40" t="s">
        <v>707</v>
      </c>
      <c r="J1" s="40" t="s">
        <v>708</v>
      </c>
    </row>
    <row r="2" spans="1:10" ht="20.100000000000001" customHeight="1">
      <c r="A2" s="35" t="s">
        <v>15</v>
      </c>
      <c r="B2" s="36" t="s">
        <v>16</v>
      </c>
      <c r="C2" s="36" t="s">
        <v>17</v>
      </c>
      <c r="D2" s="36" t="s">
        <v>18</v>
      </c>
      <c r="E2" s="38">
        <f>LEN(B2)</f>
        <v>5</v>
      </c>
      <c r="F2" s="38" t="b">
        <f>LEN(D2)=11</f>
        <v>1</v>
      </c>
      <c r="G2" s="38" t="str">
        <f>TRIM(B2)</f>
        <v>Karim</v>
      </c>
      <c r="H2" s="38" t="str">
        <f>PROPER(B2)</f>
        <v>Karim</v>
      </c>
      <c r="I2" s="38" t="str">
        <f>UPPER(H2)</f>
        <v>KARIM</v>
      </c>
      <c r="J2" s="38" t="str">
        <f>LOWER(C2)</f>
        <v>ali</v>
      </c>
    </row>
    <row r="3" spans="1:10" ht="20.100000000000001" customHeight="1">
      <c r="A3" s="35" t="s">
        <v>25</v>
      </c>
      <c r="B3" s="36" t="s">
        <v>26</v>
      </c>
      <c r="C3" s="36" t="s">
        <v>27</v>
      </c>
      <c r="D3" s="36" t="s">
        <v>563</v>
      </c>
      <c r="E3" s="38">
        <f t="shared" ref="E3:E15" si="0">LEN(B3)</f>
        <v>5</v>
      </c>
      <c r="F3" s="38" t="b">
        <f t="shared" ref="F3:F15" si="1">LEN(D3)=11</f>
        <v>1</v>
      </c>
      <c r="G3" s="38" t="str">
        <f t="shared" ref="G3:G15" si="2">TRIM(B3)</f>
        <v>Tania</v>
      </c>
      <c r="H3" s="38" t="str">
        <f t="shared" ref="H3:H15" si="3">PROPER(B3)</f>
        <v>Tania</v>
      </c>
      <c r="I3" s="38" t="str">
        <f t="shared" ref="I3:I15" si="4">UPPER(H3)</f>
        <v>TANIA</v>
      </c>
      <c r="J3" s="38" t="str">
        <f t="shared" ref="J3:J15" si="5">LOWER(C3)</f>
        <v>sultana</v>
      </c>
    </row>
    <row r="4" spans="1:10" ht="20.100000000000001" customHeight="1">
      <c r="A4" s="35" t="s">
        <v>34</v>
      </c>
      <c r="B4" s="36" t="s">
        <v>35</v>
      </c>
      <c r="C4" s="36" t="s">
        <v>36</v>
      </c>
      <c r="D4" s="36" t="s">
        <v>564</v>
      </c>
      <c r="E4" s="38">
        <f t="shared" si="0"/>
        <v>5</v>
      </c>
      <c r="F4" s="38" t="b">
        <f t="shared" si="1"/>
        <v>1</v>
      </c>
      <c r="G4" s="38" t="str">
        <f t="shared" si="2"/>
        <v>Rahim</v>
      </c>
      <c r="H4" s="38" t="str">
        <f t="shared" si="3"/>
        <v>Rahim</v>
      </c>
      <c r="I4" s="38" t="str">
        <f t="shared" si="4"/>
        <v>RAHIM</v>
      </c>
      <c r="J4" s="38" t="str">
        <f t="shared" si="5"/>
        <v>rahman</v>
      </c>
    </row>
    <row r="5" spans="1:10" ht="20.100000000000001" customHeight="1">
      <c r="A5" s="35" t="s">
        <v>42</v>
      </c>
      <c r="B5" s="36" t="s">
        <v>43</v>
      </c>
      <c r="C5" s="36" t="s">
        <v>44</v>
      </c>
      <c r="D5" s="36" t="s">
        <v>565</v>
      </c>
      <c r="E5" s="38">
        <f t="shared" si="0"/>
        <v>6</v>
      </c>
      <c r="F5" s="38" t="b">
        <f t="shared" si="1"/>
        <v>1</v>
      </c>
      <c r="G5" s="38" t="str">
        <f t="shared" si="2"/>
        <v>Nabila</v>
      </c>
      <c r="H5" s="38" t="str">
        <f t="shared" si="3"/>
        <v>Nabila</v>
      </c>
      <c r="I5" s="38" t="str">
        <f t="shared" si="4"/>
        <v>NABILA</v>
      </c>
      <c r="J5" s="38" t="str">
        <f t="shared" si="5"/>
        <v>noor</v>
      </c>
    </row>
    <row r="6" spans="1:10" ht="20.100000000000001" customHeight="1">
      <c r="A6" s="35" t="s">
        <v>49</v>
      </c>
      <c r="B6" s="36" t="s">
        <v>16</v>
      </c>
      <c r="C6" s="36" t="s">
        <v>44</v>
      </c>
      <c r="D6" s="36" t="s">
        <v>566</v>
      </c>
      <c r="E6" s="38">
        <f t="shared" si="0"/>
        <v>5</v>
      </c>
      <c r="F6" s="38" t="b">
        <f t="shared" si="1"/>
        <v>1</v>
      </c>
      <c r="G6" s="38" t="str">
        <f t="shared" si="2"/>
        <v>Karim</v>
      </c>
      <c r="H6" s="38" t="str">
        <f t="shared" si="3"/>
        <v>Karim</v>
      </c>
      <c r="I6" s="38" t="str">
        <f t="shared" si="4"/>
        <v>KARIM</v>
      </c>
      <c r="J6" s="38" t="str">
        <f t="shared" si="5"/>
        <v>noor</v>
      </c>
    </row>
    <row r="7" spans="1:10" ht="20.100000000000001" customHeight="1">
      <c r="A7" s="35" t="s">
        <v>56</v>
      </c>
      <c r="B7" s="36" t="s">
        <v>57</v>
      </c>
      <c r="C7" s="36" t="s">
        <v>58</v>
      </c>
      <c r="D7" s="36" t="s">
        <v>567</v>
      </c>
      <c r="E7" s="38">
        <f t="shared" si="0"/>
        <v>6</v>
      </c>
      <c r="F7" s="38" t="b">
        <f t="shared" si="1"/>
        <v>1</v>
      </c>
      <c r="G7" s="38" t="str">
        <f t="shared" si="2"/>
        <v>Jannat</v>
      </c>
      <c r="H7" s="38" t="str">
        <f t="shared" si="3"/>
        <v>Jannat</v>
      </c>
      <c r="I7" s="38" t="str">
        <f t="shared" si="4"/>
        <v>JANNAT</v>
      </c>
      <c r="J7" s="38" t="str">
        <f t="shared" si="5"/>
        <v>ahmed</v>
      </c>
    </row>
    <row r="8" spans="1:10" ht="20.100000000000001" customHeight="1">
      <c r="A8" s="35" t="s">
        <v>63</v>
      </c>
      <c r="B8" s="36" t="s">
        <v>64</v>
      </c>
      <c r="C8" s="36" t="s">
        <v>65</v>
      </c>
      <c r="D8" s="36">
        <v>1426614248</v>
      </c>
      <c r="E8" s="38">
        <f t="shared" si="0"/>
        <v>6</v>
      </c>
      <c r="F8" s="38" t="b">
        <f t="shared" si="1"/>
        <v>0</v>
      </c>
      <c r="G8" s="38" t="str">
        <f t="shared" si="2"/>
        <v>Mehedi</v>
      </c>
      <c r="H8" s="38" t="str">
        <f t="shared" si="3"/>
        <v>Mehedi</v>
      </c>
      <c r="I8" s="38" t="str">
        <f t="shared" si="4"/>
        <v>MEHEDI</v>
      </c>
      <c r="J8" s="38" t="str">
        <f t="shared" si="5"/>
        <v>islam</v>
      </c>
    </row>
    <row r="9" spans="1:10" ht="20.100000000000001" customHeight="1">
      <c r="A9" s="35" t="s">
        <v>71</v>
      </c>
      <c r="B9" s="36" t="s">
        <v>72</v>
      </c>
      <c r="C9" s="36" t="s">
        <v>36</v>
      </c>
      <c r="D9" s="36" t="s">
        <v>574</v>
      </c>
      <c r="E9" s="38">
        <f t="shared" si="0"/>
        <v>7</v>
      </c>
      <c r="F9" s="38" t="b">
        <f t="shared" si="1"/>
        <v>1</v>
      </c>
      <c r="G9" s="38" t="str">
        <f t="shared" si="2"/>
        <v>Sumaiya</v>
      </c>
      <c r="H9" s="38" t="str">
        <f t="shared" si="3"/>
        <v>Sumaiya</v>
      </c>
      <c r="I9" s="38" t="str">
        <f t="shared" si="4"/>
        <v>SUMAIYA</v>
      </c>
      <c r="J9" s="38" t="str">
        <f t="shared" si="5"/>
        <v>rahman</v>
      </c>
    </row>
    <row r="10" spans="1:10" ht="20.100000000000001" customHeight="1">
      <c r="A10" s="35" t="s">
        <v>77</v>
      </c>
      <c r="B10" s="36" t="s">
        <v>64</v>
      </c>
      <c r="C10" s="36" t="s">
        <v>58</v>
      </c>
      <c r="D10" s="36" t="s">
        <v>575</v>
      </c>
      <c r="E10" s="38">
        <f t="shared" si="0"/>
        <v>6</v>
      </c>
      <c r="F10" s="38" t="b">
        <f t="shared" si="1"/>
        <v>1</v>
      </c>
      <c r="G10" s="38" t="str">
        <f t="shared" si="2"/>
        <v>Mehedi</v>
      </c>
      <c r="H10" s="38" t="str">
        <f t="shared" si="3"/>
        <v>Mehedi</v>
      </c>
      <c r="I10" s="38" t="str">
        <f t="shared" si="4"/>
        <v>MEHEDI</v>
      </c>
      <c r="J10" s="38" t="str">
        <f t="shared" si="5"/>
        <v>ahmed</v>
      </c>
    </row>
    <row r="11" spans="1:10" ht="20.100000000000001" customHeight="1">
      <c r="A11" s="35" t="s">
        <v>82</v>
      </c>
      <c r="B11" s="36" t="s">
        <v>43</v>
      </c>
      <c r="C11" s="36" t="s">
        <v>36</v>
      </c>
      <c r="D11" s="36" t="s">
        <v>576</v>
      </c>
      <c r="E11" s="38">
        <f t="shared" si="0"/>
        <v>6</v>
      </c>
      <c r="F11" s="38" t="b">
        <f t="shared" si="1"/>
        <v>1</v>
      </c>
      <c r="G11" s="38" t="str">
        <f t="shared" si="2"/>
        <v>Nabila</v>
      </c>
      <c r="H11" s="38" t="str">
        <f t="shared" si="3"/>
        <v>Nabila</v>
      </c>
      <c r="I11" s="38" t="str">
        <f t="shared" si="4"/>
        <v>NABILA</v>
      </c>
      <c r="J11" s="38" t="str">
        <f t="shared" si="5"/>
        <v>rahman</v>
      </c>
    </row>
    <row r="12" spans="1:10" ht="20.100000000000001" customHeight="1">
      <c r="A12" s="35" t="s">
        <v>87</v>
      </c>
      <c r="B12" s="36" t="s">
        <v>43</v>
      </c>
      <c r="C12" s="36" t="s">
        <v>88</v>
      </c>
      <c r="D12" s="36">
        <v>126614252</v>
      </c>
      <c r="E12" s="38">
        <f t="shared" si="0"/>
        <v>6</v>
      </c>
      <c r="F12" s="38" t="b">
        <f t="shared" si="1"/>
        <v>0</v>
      </c>
      <c r="G12" s="38" t="str">
        <f t="shared" si="2"/>
        <v>Nabila</v>
      </c>
      <c r="H12" s="38" t="str">
        <f t="shared" si="3"/>
        <v>Nabila</v>
      </c>
      <c r="I12" s="38" t="str">
        <f t="shared" si="4"/>
        <v>NABILA</v>
      </c>
      <c r="J12" s="38" t="str">
        <f t="shared" si="5"/>
        <v>akter</v>
      </c>
    </row>
    <row r="13" spans="1:10" ht="20.100000000000001" customHeight="1">
      <c r="A13" s="35" t="s">
        <v>93</v>
      </c>
      <c r="B13" s="36" t="s">
        <v>35</v>
      </c>
      <c r="C13" s="36" t="s">
        <v>17</v>
      </c>
      <c r="D13" s="36" t="s">
        <v>578</v>
      </c>
      <c r="E13" s="38">
        <f t="shared" si="0"/>
        <v>5</v>
      </c>
      <c r="F13" s="38" t="b">
        <f t="shared" si="1"/>
        <v>1</v>
      </c>
      <c r="G13" s="38" t="str">
        <f t="shared" si="2"/>
        <v>Rahim</v>
      </c>
      <c r="H13" s="38" t="str">
        <f t="shared" si="3"/>
        <v>Rahim</v>
      </c>
      <c r="I13" s="38" t="str">
        <f t="shared" si="4"/>
        <v>RAHIM</v>
      </c>
      <c r="J13" s="38" t="str">
        <f t="shared" si="5"/>
        <v>ali</v>
      </c>
    </row>
    <row r="14" spans="1:10" ht="20.100000000000001" customHeight="1">
      <c r="A14" s="35" t="s">
        <v>98</v>
      </c>
      <c r="B14" s="36" t="s">
        <v>72</v>
      </c>
      <c r="C14" s="36" t="s">
        <v>17</v>
      </c>
      <c r="D14" s="36" t="s">
        <v>579</v>
      </c>
      <c r="E14" s="38">
        <f t="shared" si="0"/>
        <v>7</v>
      </c>
      <c r="F14" s="38" t="b">
        <f t="shared" si="1"/>
        <v>1</v>
      </c>
      <c r="G14" s="38" t="str">
        <f t="shared" si="2"/>
        <v>Sumaiya</v>
      </c>
      <c r="H14" s="38" t="str">
        <f t="shared" si="3"/>
        <v>Sumaiya</v>
      </c>
      <c r="I14" s="38" t="str">
        <f t="shared" si="4"/>
        <v>SUMAIYA</v>
      </c>
      <c r="J14" s="38" t="str">
        <f t="shared" si="5"/>
        <v>ali</v>
      </c>
    </row>
    <row r="15" spans="1:10" ht="20.100000000000001" customHeight="1">
      <c r="A15" s="35" t="s">
        <v>103</v>
      </c>
      <c r="B15" s="36" t="s">
        <v>26</v>
      </c>
      <c r="C15" s="36" t="s">
        <v>104</v>
      </c>
      <c r="D15" s="36" t="s">
        <v>580</v>
      </c>
      <c r="E15" s="38">
        <f t="shared" si="0"/>
        <v>5</v>
      </c>
      <c r="F15" s="38" t="b">
        <f t="shared" si="1"/>
        <v>1</v>
      </c>
      <c r="G15" s="38" t="str">
        <f t="shared" si="2"/>
        <v>Tania</v>
      </c>
      <c r="H15" s="38" t="str">
        <f t="shared" si="3"/>
        <v>Tania</v>
      </c>
      <c r="I15" s="38" t="str">
        <f t="shared" si="4"/>
        <v>TANIA</v>
      </c>
      <c r="J15" s="38" t="str">
        <f t="shared" si="5"/>
        <v>khan</v>
      </c>
    </row>
    <row r="19" spans="1:6" ht="20.100000000000001" customHeight="1">
      <c r="A19" s="1" t="s">
        <v>1</v>
      </c>
      <c r="B19" s="1" t="s">
        <v>2</v>
      </c>
      <c r="C19" s="1" t="s">
        <v>6</v>
      </c>
      <c r="D19" s="1" t="s">
        <v>4</v>
      </c>
      <c r="E19" s="1" t="s">
        <v>3</v>
      </c>
      <c r="F19" s="1"/>
    </row>
    <row r="20" spans="1:6" ht="29.25" customHeight="1">
      <c r="A20" s="37" t="s">
        <v>712</v>
      </c>
      <c r="B20" s="37" t="s">
        <v>711</v>
      </c>
      <c r="C20" s="37" t="s">
        <v>709</v>
      </c>
      <c r="D20" s="37" t="s">
        <v>710</v>
      </c>
      <c r="E20" s="37">
        <v>171234567</v>
      </c>
      <c r="F20">
        <f>LEN(A20)</f>
        <v>13</v>
      </c>
    </row>
    <row r="21" spans="1:6" ht="33.75" customHeight="1">
      <c r="A21" t="str">
        <f>TRIM(A20)</f>
        <v>" karim "</v>
      </c>
      <c r="B21" t="str">
        <f>PROPER(TRIM(B20))</f>
        <v>" Ali "</v>
      </c>
      <c r="C21" t="str">
        <f>PROPER(TRIM(C20))</f>
        <v>"Dhaka"</v>
      </c>
      <c r="D21" t="str">
        <f>LOWER(D20)</f>
        <v>"karim@gmail.com"</v>
      </c>
      <c r="E21" t="b">
        <f>LEN(E20)=11</f>
        <v>0</v>
      </c>
      <c r="F21">
        <f>LEN(A21)</f>
        <v>9</v>
      </c>
    </row>
    <row r="22" spans="1:6" ht="20.100000000000001" customHeight="1">
      <c r="A22" t="str">
        <f>"[" &amp; TRIM(B2) &amp; "]"</f>
        <v>[Karim]</v>
      </c>
      <c r="F22">
        <f>LEN(A22)</f>
        <v>7</v>
      </c>
    </row>
  </sheetData>
  <pageMargins left="0.7" right="0.7" top="0.75" bottom="0.75" header="0.3" footer="0.3"/>
  <ignoredErrors>
    <ignoredError sqref="D2:D1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6C30-C104-47AF-83C7-CD08931CCEE7}">
  <dimension ref="A1:K15"/>
  <sheetViews>
    <sheetView workbookViewId="0">
      <selection activeCell="E21" sqref="E21"/>
    </sheetView>
  </sheetViews>
  <sheetFormatPr defaultRowHeight="15"/>
  <cols>
    <col min="1" max="1" width="12.42578125" bestFit="1" customWidth="1"/>
    <col min="2" max="2" width="11.140625" bestFit="1" customWidth="1"/>
    <col min="3" max="3" width="10.7109375" bestFit="1" customWidth="1"/>
    <col min="4" max="4" width="12" bestFit="1" customWidth="1"/>
    <col min="5" max="5" width="13.5703125" bestFit="1" customWidth="1"/>
    <col min="9" max="9" width="10.85546875" customWidth="1"/>
    <col min="10" max="10" width="11.5703125" bestFit="1" customWidth="1"/>
    <col min="11" max="11" width="16.140625" bestFit="1" customWidth="1"/>
  </cols>
  <sheetData>
    <row r="1" spans="1:11" ht="24.95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7</v>
      </c>
      <c r="G1" s="39" t="s">
        <v>713</v>
      </c>
      <c r="H1" s="39" t="s">
        <v>714</v>
      </c>
      <c r="I1" s="39" t="s">
        <v>715</v>
      </c>
      <c r="J1" s="39" t="s">
        <v>716</v>
      </c>
      <c r="K1" s="39" t="s">
        <v>717</v>
      </c>
    </row>
    <row r="2" spans="1:11" ht="20.100000000000001" customHeight="1">
      <c r="A2" s="35" t="s">
        <v>15</v>
      </c>
      <c r="B2" s="36" t="s">
        <v>16</v>
      </c>
      <c r="C2" s="36" t="s">
        <v>17</v>
      </c>
      <c r="D2" s="36" t="s">
        <v>18</v>
      </c>
      <c r="E2" s="36" t="s">
        <v>21</v>
      </c>
      <c r="G2" t="str">
        <f>LEFT(B2,2)</f>
        <v>Ka</v>
      </c>
      <c r="H2" t="str">
        <f>RIGHT(D2,4)</f>
        <v>4242</v>
      </c>
      <c r="I2" t="str">
        <f>MID(A2,2,4)</f>
        <v>0001</v>
      </c>
      <c r="J2" t="str">
        <f>SUBSTITUTE(E2,"Savings","Saving")</f>
        <v>Current</v>
      </c>
      <c r="K2" t="str">
        <f>CONCATENATE(B2, " ",C2)</f>
        <v>Karim Ali</v>
      </c>
    </row>
    <row r="3" spans="1:11" ht="20.100000000000001" customHeight="1">
      <c r="A3" s="35" t="s">
        <v>25</v>
      </c>
      <c r="B3" s="36" t="s">
        <v>26</v>
      </c>
      <c r="C3" s="36" t="s">
        <v>27</v>
      </c>
      <c r="D3" s="36" t="s">
        <v>563</v>
      </c>
      <c r="E3" s="36" t="s">
        <v>21</v>
      </c>
      <c r="G3" t="str">
        <f>LEFT(B3,2)</f>
        <v>Ta</v>
      </c>
      <c r="H3" t="str">
        <f t="shared" ref="H3:H15" si="0">RIGHT(D3,4)</f>
        <v>4243</v>
      </c>
      <c r="I3" t="str">
        <f t="shared" ref="I3:I8" si="1">MID(A3,2,4)</f>
        <v>0002</v>
      </c>
      <c r="J3" t="str">
        <f t="shared" ref="J3:J15" si="2">SUBSTITUTE(E3,"Savings","Saving")</f>
        <v>Current</v>
      </c>
      <c r="K3" t="str">
        <f t="shared" ref="K3:K15" si="3">CONCATENATE(B3, " ",C3)</f>
        <v>Tania Sultana</v>
      </c>
    </row>
    <row r="4" spans="1:11" ht="20.100000000000001" customHeight="1">
      <c r="A4" s="35" t="s">
        <v>34</v>
      </c>
      <c r="B4" s="36" t="s">
        <v>35</v>
      </c>
      <c r="C4" s="36" t="s">
        <v>36</v>
      </c>
      <c r="D4" s="36" t="s">
        <v>564</v>
      </c>
      <c r="E4" s="36" t="s">
        <v>21</v>
      </c>
      <c r="G4" t="str">
        <f>LEFT(B4,2)</f>
        <v>Ra</v>
      </c>
      <c r="H4" t="str">
        <f t="shared" si="0"/>
        <v>4244</v>
      </c>
      <c r="I4" t="str">
        <f t="shared" si="1"/>
        <v>0003</v>
      </c>
      <c r="J4" t="str">
        <f t="shared" si="2"/>
        <v>Current</v>
      </c>
      <c r="K4" t="str">
        <f t="shared" si="3"/>
        <v>Rahim Rahman</v>
      </c>
    </row>
    <row r="5" spans="1:11" ht="20.100000000000001" customHeight="1">
      <c r="A5" s="35" t="s">
        <v>42</v>
      </c>
      <c r="B5" s="36" t="s">
        <v>43</v>
      </c>
      <c r="C5" s="36" t="s">
        <v>44</v>
      </c>
      <c r="D5" s="36" t="s">
        <v>565</v>
      </c>
      <c r="E5" s="36" t="s">
        <v>21</v>
      </c>
      <c r="G5" t="str">
        <f>LEFT(D5,3)</f>
        <v>014</v>
      </c>
      <c r="H5" t="str">
        <f t="shared" si="0"/>
        <v>4245</v>
      </c>
      <c r="I5" t="str">
        <f t="shared" si="1"/>
        <v>0004</v>
      </c>
      <c r="J5" t="str">
        <f t="shared" si="2"/>
        <v>Current</v>
      </c>
      <c r="K5" t="str">
        <f t="shared" si="3"/>
        <v>Nabila Noor</v>
      </c>
    </row>
    <row r="6" spans="1:11" ht="20.100000000000001" customHeight="1">
      <c r="A6" s="35" t="s">
        <v>49</v>
      </c>
      <c r="B6" s="36" t="s">
        <v>16</v>
      </c>
      <c r="C6" s="36" t="s">
        <v>44</v>
      </c>
      <c r="D6" s="36" t="s">
        <v>566</v>
      </c>
      <c r="E6" s="36" t="s">
        <v>53</v>
      </c>
      <c r="G6" t="str">
        <f t="shared" ref="G6:G15" si="4">LEFT(D6,3)</f>
        <v>014</v>
      </c>
      <c r="H6" t="str">
        <f t="shared" si="0"/>
        <v>4246</v>
      </c>
      <c r="I6" t="str">
        <f t="shared" si="1"/>
        <v>0005</v>
      </c>
      <c r="J6" t="str">
        <f t="shared" si="2"/>
        <v>Saving</v>
      </c>
      <c r="K6" t="str">
        <f t="shared" si="3"/>
        <v>Karim Noor</v>
      </c>
    </row>
    <row r="7" spans="1:11" ht="20.100000000000001" customHeight="1">
      <c r="A7" s="35" t="s">
        <v>56</v>
      </c>
      <c r="B7" s="36" t="s">
        <v>57</v>
      </c>
      <c r="C7" s="36" t="s">
        <v>58</v>
      </c>
      <c r="D7" s="36" t="s">
        <v>567</v>
      </c>
      <c r="E7" s="36" t="s">
        <v>21</v>
      </c>
      <c r="G7" t="str">
        <f t="shared" si="4"/>
        <v>014</v>
      </c>
      <c r="H7" t="str">
        <f t="shared" si="0"/>
        <v>4247</v>
      </c>
      <c r="I7" t="str">
        <f t="shared" si="1"/>
        <v>0006</v>
      </c>
      <c r="J7" t="str">
        <f t="shared" si="2"/>
        <v>Current</v>
      </c>
      <c r="K7" t="str">
        <f t="shared" si="3"/>
        <v>Jannat Ahmed</v>
      </c>
    </row>
    <row r="8" spans="1:11" ht="20.100000000000001" customHeight="1">
      <c r="A8" s="35" t="s">
        <v>63</v>
      </c>
      <c r="B8" s="36" t="s">
        <v>64</v>
      </c>
      <c r="C8" s="36" t="s">
        <v>65</v>
      </c>
      <c r="D8" s="36" t="s">
        <v>573</v>
      </c>
      <c r="E8" s="36" t="s">
        <v>21</v>
      </c>
      <c r="G8" t="str">
        <f t="shared" si="4"/>
        <v>014</v>
      </c>
      <c r="H8" t="str">
        <f t="shared" si="0"/>
        <v>4248</v>
      </c>
      <c r="I8" t="str">
        <f t="shared" si="1"/>
        <v>0007</v>
      </c>
      <c r="J8" t="str">
        <f t="shared" si="2"/>
        <v>Current</v>
      </c>
      <c r="K8" t="str">
        <f t="shared" si="3"/>
        <v>Mehedi Islam</v>
      </c>
    </row>
    <row r="9" spans="1:11" ht="20.100000000000001" customHeight="1">
      <c r="A9" s="35" t="s">
        <v>71</v>
      </c>
      <c r="B9" s="36" t="s">
        <v>72</v>
      </c>
      <c r="C9" s="36" t="s">
        <v>36</v>
      </c>
      <c r="D9" s="36" t="s">
        <v>574</v>
      </c>
      <c r="E9" s="36" t="s">
        <v>53</v>
      </c>
      <c r="G9" t="str">
        <f t="shared" si="4"/>
        <v>014</v>
      </c>
      <c r="H9" t="str">
        <f t="shared" si="0"/>
        <v>4249</v>
      </c>
      <c r="I9" t="str">
        <f>MID(D9,4,8)</f>
        <v>26614249</v>
      </c>
      <c r="J9" t="str">
        <f t="shared" si="2"/>
        <v>Saving</v>
      </c>
      <c r="K9" t="str">
        <f t="shared" si="3"/>
        <v>Sumaiya Rahman</v>
      </c>
    </row>
    <row r="10" spans="1:11" ht="20.100000000000001" customHeight="1">
      <c r="A10" s="35" t="s">
        <v>77</v>
      </c>
      <c r="B10" s="36" t="s">
        <v>64</v>
      </c>
      <c r="C10" s="36" t="s">
        <v>58</v>
      </c>
      <c r="D10" s="36" t="s">
        <v>575</v>
      </c>
      <c r="E10" s="36" t="s">
        <v>53</v>
      </c>
      <c r="G10" t="str">
        <f t="shared" si="4"/>
        <v>014</v>
      </c>
      <c r="H10" t="str">
        <f t="shared" si="0"/>
        <v>4250</v>
      </c>
      <c r="I10" t="str">
        <f t="shared" ref="I10:I15" si="5">MID(D10,4,8)</f>
        <v>26614250</v>
      </c>
      <c r="J10" t="str">
        <f t="shared" si="2"/>
        <v>Saving</v>
      </c>
      <c r="K10" t="str">
        <f t="shared" si="3"/>
        <v>Mehedi Ahmed</v>
      </c>
    </row>
    <row r="11" spans="1:11" ht="20.100000000000001" customHeight="1">
      <c r="A11" s="35" t="s">
        <v>82</v>
      </c>
      <c r="B11" s="36" t="s">
        <v>43</v>
      </c>
      <c r="C11" s="36" t="s">
        <v>36</v>
      </c>
      <c r="D11" s="36" t="s">
        <v>576</v>
      </c>
      <c r="E11" s="36" t="s">
        <v>21</v>
      </c>
      <c r="G11" t="str">
        <f t="shared" si="4"/>
        <v>014</v>
      </c>
      <c r="H11" t="str">
        <f t="shared" si="0"/>
        <v>4251</v>
      </c>
      <c r="I11" t="str">
        <f t="shared" si="5"/>
        <v>26614251</v>
      </c>
      <c r="J11" t="str">
        <f t="shared" si="2"/>
        <v>Current</v>
      </c>
      <c r="K11" t="str">
        <f t="shared" si="3"/>
        <v>Nabila Rahman</v>
      </c>
    </row>
    <row r="12" spans="1:11" ht="20.100000000000001" customHeight="1">
      <c r="A12" s="35" t="s">
        <v>87</v>
      </c>
      <c r="B12" s="36" t="s">
        <v>43</v>
      </c>
      <c r="C12" s="36" t="s">
        <v>88</v>
      </c>
      <c r="D12" s="36" t="s">
        <v>577</v>
      </c>
      <c r="E12" s="36" t="s">
        <v>21</v>
      </c>
      <c r="G12" t="str">
        <f t="shared" si="4"/>
        <v>014</v>
      </c>
      <c r="H12" t="str">
        <f t="shared" si="0"/>
        <v>4252</v>
      </c>
      <c r="I12" t="str">
        <f t="shared" si="5"/>
        <v>26614252</v>
      </c>
      <c r="J12" t="str">
        <f t="shared" si="2"/>
        <v>Current</v>
      </c>
      <c r="K12" t="str">
        <f t="shared" si="3"/>
        <v>Nabila Akter</v>
      </c>
    </row>
    <row r="13" spans="1:11" ht="20.100000000000001" customHeight="1">
      <c r="A13" s="35" t="s">
        <v>93</v>
      </c>
      <c r="B13" s="36" t="s">
        <v>35</v>
      </c>
      <c r="C13" s="36" t="s">
        <v>17</v>
      </c>
      <c r="D13" s="36" t="s">
        <v>578</v>
      </c>
      <c r="E13" s="36" t="s">
        <v>53</v>
      </c>
      <c r="G13" t="str">
        <f t="shared" si="4"/>
        <v>014</v>
      </c>
      <c r="H13" t="str">
        <f t="shared" si="0"/>
        <v>4253</v>
      </c>
      <c r="I13" t="str">
        <f t="shared" si="5"/>
        <v>26614253</v>
      </c>
      <c r="J13" t="str">
        <f t="shared" si="2"/>
        <v>Saving</v>
      </c>
      <c r="K13" t="str">
        <f t="shared" si="3"/>
        <v>Rahim Ali</v>
      </c>
    </row>
    <row r="14" spans="1:11" ht="20.100000000000001" customHeight="1">
      <c r="A14" s="35" t="s">
        <v>98</v>
      </c>
      <c r="B14" s="36" t="s">
        <v>72</v>
      </c>
      <c r="C14" s="36" t="s">
        <v>17</v>
      </c>
      <c r="D14" s="36" t="s">
        <v>579</v>
      </c>
      <c r="E14" s="36" t="s">
        <v>21</v>
      </c>
      <c r="G14" t="str">
        <f t="shared" si="4"/>
        <v>014</v>
      </c>
      <c r="H14" t="str">
        <f t="shared" si="0"/>
        <v>4254</v>
      </c>
      <c r="I14" t="str">
        <f t="shared" si="5"/>
        <v>26614254</v>
      </c>
      <c r="J14" t="str">
        <f t="shared" si="2"/>
        <v>Current</v>
      </c>
      <c r="K14" t="str">
        <f t="shared" si="3"/>
        <v>Sumaiya Ali</v>
      </c>
    </row>
    <row r="15" spans="1:11" ht="20.100000000000001" customHeight="1">
      <c r="A15" s="35" t="s">
        <v>103</v>
      </c>
      <c r="B15" s="36" t="s">
        <v>26</v>
      </c>
      <c r="C15" s="36" t="s">
        <v>104</v>
      </c>
      <c r="D15" s="36" t="s">
        <v>580</v>
      </c>
      <c r="E15" s="36" t="s">
        <v>53</v>
      </c>
      <c r="G15" t="str">
        <f t="shared" si="4"/>
        <v>014</v>
      </c>
      <c r="H15" t="str">
        <f t="shared" si="0"/>
        <v>4255</v>
      </c>
      <c r="I15" t="str">
        <f t="shared" si="5"/>
        <v>26614255</v>
      </c>
      <c r="J15" t="str">
        <f t="shared" si="2"/>
        <v>Saving</v>
      </c>
      <c r="K15" t="str">
        <f t="shared" si="3"/>
        <v>Tania Khan</v>
      </c>
    </row>
  </sheetData>
  <phoneticPr fontId="3" type="noConversion"/>
  <pageMargins left="0.7" right="0.7" top="0.75" bottom="0.75" header="0.3" footer="0.3"/>
  <ignoredErrors>
    <ignoredError sqref="D2:D1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316D-81D4-4D74-8863-84C3E4A95683}">
  <dimension ref="A1:I15"/>
  <sheetViews>
    <sheetView workbookViewId="0">
      <selection activeCell="M7" sqref="M7"/>
    </sheetView>
  </sheetViews>
  <sheetFormatPr defaultRowHeight="20.100000000000001" customHeight="1"/>
  <cols>
    <col min="1" max="1" width="12.42578125" customWidth="1"/>
    <col min="2" max="2" width="19.140625" customWidth="1"/>
    <col min="6" max="6" width="15.5703125" customWidth="1"/>
    <col min="7" max="7" width="13.28515625" customWidth="1"/>
    <col min="8" max="8" width="17.7109375" customWidth="1"/>
    <col min="9" max="9" width="13.7109375" customWidth="1"/>
  </cols>
  <sheetData>
    <row r="1" spans="1:9" ht="24.95" customHeight="1">
      <c r="A1" t="s">
        <v>8</v>
      </c>
      <c r="B1" t="s">
        <v>9</v>
      </c>
      <c r="C1" t="s">
        <v>718</v>
      </c>
      <c r="D1" t="s">
        <v>719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</row>
    <row r="2" spans="1:9" ht="20.100000000000001" customHeight="1">
      <c r="A2" t="s">
        <v>22</v>
      </c>
      <c r="B2" t="s">
        <v>23</v>
      </c>
      <c r="C2">
        <f>YEAR(A3)</f>
        <v>2024</v>
      </c>
      <c r="D2">
        <f>MONTH(A2)</f>
        <v>5</v>
      </c>
      <c r="E2">
        <f>DAY(A2)</f>
        <v>17</v>
      </c>
      <c r="F2" s="46">
        <f>(DATE(C2,D2,E2))</f>
        <v>45429</v>
      </c>
      <c r="G2" s="16" t="str">
        <f>TEXT(DATE(C2,D2,E2),"dd-mmm-yyyy")</f>
        <v>17-May-2024</v>
      </c>
      <c r="H2" s="47">
        <f ca="1">TODAY()</f>
        <v>46204</v>
      </c>
      <c r="I2" t="str">
        <f>TEXT(B2,"dd-mmm-yyyy")</f>
        <v>05-Mar-2025</v>
      </c>
    </row>
    <row r="3" spans="1:9" ht="20.100000000000001" customHeight="1">
      <c r="A3" s="45">
        <v>45426</v>
      </c>
      <c r="B3" t="s">
        <v>32</v>
      </c>
      <c r="C3">
        <f>YEAR(A3)</f>
        <v>2024</v>
      </c>
      <c r="D3">
        <f t="shared" ref="D3:D15" si="0">MONTH(A3)</f>
        <v>5</v>
      </c>
      <c r="E3">
        <f t="shared" ref="E3:E15" si="1">DAY(A3)</f>
        <v>14</v>
      </c>
      <c r="F3" s="46">
        <f>(DATE(C3,D3,E3))</f>
        <v>45426</v>
      </c>
      <c r="G3" s="16" t="str">
        <f t="shared" ref="G3:G15" si="2">TEXT(DATE(C3,D3,E3),"dd-mmm-yyyy")</f>
        <v>14-May-2024</v>
      </c>
      <c r="I3" t="str">
        <f t="shared" ref="I3:I14" si="3">TEXT(B3,"dd-mmm-yyyy")</f>
        <v>29-May-2025</v>
      </c>
    </row>
    <row r="4" spans="1:9" ht="20.100000000000001" customHeight="1">
      <c r="A4" s="44" t="s">
        <v>40</v>
      </c>
      <c r="B4" t="s">
        <v>41</v>
      </c>
      <c r="C4">
        <f>YEAR(A4)</f>
        <v>2024</v>
      </c>
      <c r="D4">
        <f t="shared" si="0"/>
        <v>2</v>
      </c>
      <c r="E4">
        <f t="shared" si="1"/>
        <v>1</v>
      </c>
      <c r="F4" s="46">
        <f t="shared" ref="F4:F15" si="4">(DATE(C4,D4,E4))</f>
        <v>45323</v>
      </c>
      <c r="G4" s="16" t="str">
        <f t="shared" si="2"/>
        <v>01-Feb-2024</v>
      </c>
      <c r="I4" t="str">
        <f t="shared" si="3"/>
        <v>13-Feb-2024</v>
      </c>
    </row>
    <row r="5" spans="1:9" ht="20.100000000000001" customHeight="1">
      <c r="A5" t="s">
        <v>47</v>
      </c>
      <c r="B5" t="s">
        <v>48</v>
      </c>
      <c r="C5">
        <f>YEAR(A5)</f>
        <v>2025</v>
      </c>
      <c r="D5">
        <f t="shared" si="0"/>
        <v>5</v>
      </c>
      <c r="E5">
        <f t="shared" si="1"/>
        <v>22</v>
      </c>
      <c r="F5" s="46">
        <f t="shared" si="4"/>
        <v>45799</v>
      </c>
      <c r="G5" s="16" t="str">
        <f t="shared" si="2"/>
        <v>22-May-2025</v>
      </c>
      <c r="I5" t="str">
        <f t="shared" si="3"/>
        <v>02-Mar-2026</v>
      </c>
    </row>
    <row r="6" spans="1:9" ht="20.100000000000001" customHeight="1">
      <c r="A6" t="s">
        <v>54</v>
      </c>
      <c r="B6" t="s">
        <v>55</v>
      </c>
      <c r="C6">
        <f>YEAR(A6)</f>
        <v>2024</v>
      </c>
      <c r="D6">
        <f t="shared" si="0"/>
        <v>7</v>
      </c>
      <c r="E6">
        <f t="shared" si="1"/>
        <v>9</v>
      </c>
      <c r="F6" s="46">
        <f t="shared" si="4"/>
        <v>45482</v>
      </c>
      <c r="G6" s="16" t="str">
        <f t="shared" si="2"/>
        <v>09-Jul-2024</v>
      </c>
      <c r="I6" t="str">
        <f t="shared" si="3"/>
        <v>08-Dec-2024</v>
      </c>
    </row>
    <row r="7" spans="1:9" ht="20.100000000000001" customHeight="1">
      <c r="A7" t="s">
        <v>61</v>
      </c>
      <c r="B7" t="s">
        <v>62</v>
      </c>
      <c r="C7">
        <f t="shared" ref="C7:C14" si="5">YEAR(A7)</f>
        <v>2025</v>
      </c>
      <c r="D7">
        <f t="shared" si="0"/>
        <v>6</v>
      </c>
      <c r="E7">
        <f t="shared" si="1"/>
        <v>1</v>
      </c>
      <c r="F7" s="46">
        <f t="shared" si="4"/>
        <v>45809</v>
      </c>
      <c r="G7" s="16" t="str">
        <f t="shared" si="2"/>
        <v>01-Jun-2025</v>
      </c>
      <c r="I7" t="str">
        <f t="shared" si="3"/>
        <v>20-Dec-2025</v>
      </c>
    </row>
    <row r="8" spans="1:9" ht="20.100000000000001" customHeight="1">
      <c r="A8" t="s">
        <v>69</v>
      </c>
      <c r="B8" t="s">
        <v>70</v>
      </c>
      <c r="C8">
        <f t="shared" si="5"/>
        <v>2024</v>
      </c>
      <c r="D8">
        <f t="shared" si="0"/>
        <v>3</v>
      </c>
      <c r="E8">
        <f t="shared" si="1"/>
        <v>29</v>
      </c>
      <c r="F8" s="46">
        <f t="shared" si="4"/>
        <v>45380</v>
      </c>
      <c r="G8" s="16" t="str">
        <f t="shared" si="2"/>
        <v>29-Mar-2024</v>
      </c>
      <c r="I8" t="str">
        <f t="shared" si="3"/>
        <v>09-Nov-2024</v>
      </c>
    </row>
    <row r="9" spans="1:9" ht="20.100000000000001" customHeight="1">
      <c r="A9" t="s">
        <v>75</v>
      </c>
      <c r="B9" t="s">
        <v>76</v>
      </c>
      <c r="C9">
        <f>YEAR(A9)</f>
        <v>2025</v>
      </c>
      <c r="D9">
        <f t="shared" si="0"/>
        <v>10</v>
      </c>
      <c r="E9">
        <f t="shared" si="1"/>
        <v>24</v>
      </c>
      <c r="F9" s="46">
        <f t="shared" si="4"/>
        <v>45954</v>
      </c>
      <c r="G9" s="16" t="str">
        <f t="shared" si="2"/>
        <v>24-Oct-2025</v>
      </c>
      <c r="I9" t="str">
        <f t="shared" si="3"/>
        <v>20-Jan-2026</v>
      </c>
    </row>
    <row r="10" spans="1:9" ht="20.100000000000001" customHeight="1">
      <c r="A10" t="s">
        <v>80</v>
      </c>
      <c r="B10" t="s">
        <v>81</v>
      </c>
      <c r="C10">
        <f t="shared" si="5"/>
        <v>2025</v>
      </c>
      <c r="D10">
        <f t="shared" si="0"/>
        <v>4</v>
      </c>
      <c r="E10">
        <f t="shared" si="1"/>
        <v>15</v>
      </c>
      <c r="F10" s="46">
        <f t="shared" si="4"/>
        <v>45762</v>
      </c>
      <c r="G10" s="16" t="str">
        <f t="shared" si="2"/>
        <v>15-Apr-2025</v>
      </c>
      <c r="I10" t="str">
        <f t="shared" si="3"/>
        <v>31-Aug-2025</v>
      </c>
    </row>
    <row r="11" spans="1:9" ht="20.100000000000001" customHeight="1">
      <c r="A11" t="s">
        <v>85</v>
      </c>
      <c r="B11" t="s">
        <v>86</v>
      </c>
      <c r="C11">
        <f>YEAR(A11)</f>
        <v>2025</v>
      </c>
      <c r="D11">
        <f t="shared" si="0"/>
        <v>8</v>
      </c>
      <c r="E11">
        <f t="shared" si="1"/>
        <v>6</v>
      </c>
      <c r="F11" s="46">
        <f t="shared" si="4"/>
        <v>45875</v>
      </c>
      <c r="G11" s="16" t="str">
        <f t="shared" si="2"/>
        <v>06-Aug-2025</v>
      </c>
      <c r="I11" t="str">
        <f t="shared" si="3"/>
        <v>17-May-2026</v>
      </c>
    </row>
    <row r="12" spans="1:9" ht="20.100000000000001" customHeight="1">
      <c r="A12" t="s">
        <v>91</v>
      </c>
      <c r="B12" t="s">
        <v>92</v>
      </c>
      <c r="C12">
        <f t="shared" si="5"/>
        <v>2025</v>
      </c>
      <c r="D12">
        <f t="shared" si="0"/>
        <v>4</v>
      </c>
      <c r="E12">
        <f t="shared" si="1"/>
        <v>14</v>
      </c>
      <c r="F12" s="46">
        <f t="shared" si="4"/>
        <v>45761</v>
      </c>
      <c r="G12" s="16" t="str">
        <f t="shared" si="2"/>
        <v>14-Apr-2025</v>
      </c>
      <c r="I12" t="str">
        <f t="shared" si="3"/>
        <v>29-Apr-2025</v>
      </c>
    </row>
    <row r="13" spans="1:9" ht="20.100000000000001" customHeight="1">
      <c r="A13" t="s">
        <v>96</v>
      </c>
      <c r="B13" t="s">
        <v>97</v>
      </c>
      <c r="C13">
        <f>YEAR(A13)</f>
        <v>2024</v>
      </c>
      <c r="D13">
        <f t="shared" si="0"/>
        <v>1</v>
      </c>
      <c r="E13">
        <f t="shared" si="1"/>
        <v>18</v>
      </c>
      <c r="F13" s="46">
        <f t="shared" si="4"/>
        <v>45309</v>
      </c>
      <c r="G13" s="16" t="str">
        <f t="shared" si="2"/>
        <v>18-Jan-2024</v>
      </c>
      <c r="I13" t="str">
        <f t="shared" si="3"/>
        <v>06-Sep-2024</v>
      </c>
    </row>
    <row r="14" spans="1:9" ht="20.100000000000001" customHeight="1">
      <c r="A14" t="s">
        <v>101</v>
      </c>
      <c r="B14" t="s">
        <v>102</v>
      </c>
      <c r="C14">
        <f t="shared" si="5"/>
        <v>2024</v>
      </c>
      <c r="D14">
        <f t="shared" si="0"/>
        <v>9</v>
      </c>
      <c r="E14">
        <f t="shared" si="1"/>
        <v>18</v>
      </c>
      <c r="F14" s="46">
        <f t="shared" si="4"/>
        <v>45553</v>
      </c>
      <c r="G14" s="16" t="str">
        <f t="shared" si="2"/>
        <v>18-Sep-2024</v>
      </c>
      <c r="I14" t="str">
        <f t="shared" si="3"/>
        <v>16-Jun-2025</v>
      </c>
    </row>
    <row r="15" spans="1:9" ht="20.100000000000001" customHeight="1">
      <c r="A15" t="s">
        <v>107</v>
      </c>
      <c r="B15" t="s">
        <v>108</v>
      </c>
      <c r="C15">
        <f>YEAR(A15)</f>
        <v>2025</v>
      </c>
      <c r="D15">
        <f t="shared" si="0"/>
        <v>1</v>
      </c>
      <c r="E15">
        <f t="shared" si="1"/>
        <v>30</v>
      </c>
      <c r="F15" s="46">
        <f t="shared" si="4"/>
        <v>45687</v>
      </c>
      <c r="G15" s="16" t="str">
        <f t="shared" si="2"/>
        <v>30-Jan-2025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ACB77-9E73-4DC2-B4E7-E6B12643A5CD}">
  <dimension ref="A1:N15"/>
  <sheetViews>
    <sheetView workbookViewId="0">
      <selection sqref="A1:G15"/>
    </sheetView>
  </sheetViews>
  <sheetFormatPr defaultRowHeight="15"/>
  <cols>
    <col min="1" max="1" width="12.42578125" bestFit="1" customWidth="1"/>
    <col min="2" max="2" width="11.140625" bestFit="1" customWidth="1"/>
    <col min="3" max="3" width="10.7109375" bestFit="1" customWidth="1"/>
    <col min="4" max="4" width="7.85546875" bestFit="1" customWidth="1"/>
    <col min="5" max="5" width="11.28515625" bestFit="1" customWidth="1"/>
    <col min="6" max="6" width="13.42578125" bestFit="1" customWidth="1"/>
    <col min="7" max="7" width="12.28515625" bestFit="1" customWidth="1"/>
    <col min="8" max="8" width="12.28515625" customWidth="1"/>
    <col min="9" max="9" width="14" customWidth="1"/>
    <col min="10" max="10" width="20.140625" bestFit="1" customWidth="1"/>
    <col min="11" max="11" width="15.140625" bestFit="1" customWidth="1"/>
  </cols>
  <sheetData>
    <row r="1" spans="1:14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13</v>
      </c>
      <c r="I1" s="48" t="s">
        <v>725</v>
      </c>
      <c r="J1" s="48"/>
      <c r="K1" s="48"/>
      <c r="L1" s="48" t="s">
        <v>726</v>
      </c>
      <c r="M1" s="48"/>
      <c r="N1" s="48"/>
    </row>
    <row r="2" spans="1:14">
      <c r="A2" t="s">
        <v>15</v>
      </c>
      <c r="B2" t="s">
        <v>16</v>
      </c>
      <c r="C2" t="s">
        <v>17</v>
      </c>
      <c r="D2">
        <v>95405</v>
      </c>
      <c r="E2">
        <v>13439</v>
      </c>
      <c r="F2">
        <v>463518</v>
      </c>
      <c r="G2">
        <v>653</v>
      </c>
      <c r="I2" t="str">
        <f>IF(D2&gt;=50000,"High Value","Normal Value")</f>
        <v>High Value</v>
      </c>
      <c r="J2" t="str">
        <f>IF(G2&gt;=700,"Aligable For Loan","Not Aligable For Loan")</f>
        <v>Not Aligable For Loan</v>
      </c>
      <c r="K2" t="str">
        <f>IF(E2&gt;20000,"Review Require","Ok")</f>
        <v>Ok</v>
      </c>
      <c r="L2" t="str" cm="1">
        <f t="array" ref="L2">_xlfn.IFS(G2&gt;800,"Excelent",G2&gt;700,"Good",G2&gt;600,"Ok","True","Poor")</f>
        <v>Ok</v>
      </c>
      <c r="M2" t="str" cm="1">
        <f t="array" ref="M2">_xlfn.IFS(D2&gt;=100000,"Platinam",D2&gt;=50000,"Gold",D2&gt;=20000,"Silver","true","Bronze")</f>
        <v>Gold</v>
      </c>
    </row>
    <row r="3" spans="1:14">
      <c r="A3" t="s">
        <v>25</v>
      </c>
      <c r="B3" t="s">
        <v>26</v>
      </c>
      <c r="C3" t="s">
        <v>27</v>
      </c>
      <c r="D3">
        <v>39984</v>
      </c>
      <c r="E3">
        <v>20370</v>
      </c>
      <c r="F3">
        <v>103596</v>
      </c>
      <c r="G3">
        <v>830</v>
      </c>
      <c r="I3" t="str">
        <f t="shared" ref="I3:I15" si="0">IF(D3&gt;=50000,"High Value","Normal Value")</f>
        <v>Normal Value</v>
      </c>
      <c r="J3" t="str">
        <f t="shared" ref="J3:J15" si="1">IF(G3&gt;=700,"Aligable For Loan","Not Aligable For Loan")</f>
        <v>Aligable For Loan</v>
      </c>
      <c r="K3" t="str">
        <f t="shared" ref="K3:K15" si="2">IF(E3&gt;20000,"Review Require","Ok")</f>
        <v>Review Require</v>
      </c>
      <c r="L3" t="str" cm="1">
        <f t="array" ref="L3">_xlfn.IFS(G3&gt;800,"Excelent",G3&gt;700,"Good",G3&gt;600,"Ok","True","Poor")</f>
        <v>Excelent</v>
      </c>
      <c r="M3" t="str" cm="1">
        <f t="array" ref="M3">_xlfn.IFS(D3&gt;=100000,"Platinam",D3&gt;=50000,"Gold",D3&gt;=20000,"Silver","true","Bronze")</f>
        <v>Silver</v>
      </c>
    </row>
    <row r="4" spans="1:14">
      <c r="A4" t="s">
        <v>34</v>
      </c>
      <c r="B4" t="s">
        <v>35</v>
      </c>
      <c r="C4" t="s">
        <v>36</v>
      </c>
      <c r="D4">
        <v>13806</v>
      </c>
      <c r="E4">
        <v>18289</v>
      </c>
      <c r="F4">
        <v>166230</v>
      </c>
      <c r="G4">
        <v>795</v>
      </c>
      <c r="I4" t="str">
        <f t="shared" si="0"/>
        <v>Normal Value</v>
      </c>
      <c r="J4" t="str">
        <f t="shared" si="1"/>
        <v>Aligable For Loan</v>
      </c>
      <c r="K4" t="str">
        <f t="shared" si="2"/>
        <v>Ok</v>
      </c>
      <c r="L4" t="str" cm="1">
        <f t="array" ref="L4">_xlfn.IFS(G4&gt;800,"Excelent",G4&gt;700,"Good",G4&gt;600,"Ok","True","Poor")</f>
        <v>Good</v>
      </c>
      <c r="M4" t="str" cm="1">
        <f t="array" ref="M4">_xlfn.IFS(D4&gt;=100000,"Platinam",D4&gt;=50000,"Gold",D4&gt;=20000,"Silver","true","Bronze")</f>
        <v>Bronze</v>
      </c>
    </row>
    <row r="5" spans="1:14">
      <c r="A5" t="s">
        <v>42</v>
      </c>
      <c r="B5" t="s">
        <v>43</v>
      </c>
      <c r="C5" t="s">
        <v>44</v>
      </c>
      <c r="D5">
        <v>12816</v>
      </c>
      <c r="E5">
        <v>14637</v>
      </c>
      <c r="F5">
        <v>489132</v>
      </c>
      <c r="G5">
        <v>834</v>
      </c>
      <c r="I5" t="str">
        <f t="shared" si="0"/>
        <v>Normal Value</v>
      </c>
      <c r="J5" t="str">
        <f t="shared" si="1"/>
        <v>Aligable For Loan</v>
      </c>
      <c r="K5" t="str">
        <f t="shared" si="2"/>
        <v>Ok</v>
      </c>
      <c r="L5" t="str" cm="1">
        <f t="array" ref="L5">_xlfn.IFS(G5&gt;800,"Excelent",G5&gt;700,"Good",G5&gt;600,"Ok","True","Poor")</f>
        <v>Excelent</v>
      </c>
      <c r="M5" t="str" cm="1">
        <f t="array" ref="M5">_xlfn.IFS(D5&gt;=100000,"Platinam",D5&gt;=50000,"Gold",D5&gt;=20000,"Silver","true","Bronze")</f>
        <v>Bronze</v>
      </c>
    </row>
    <row r="6" spans="1:14">
      <c r="A6" t="s">
        <v>49</v>
      </c>
      <c r="B6" t="s">
        <v>16</v>
      </c>
      <c r="C6" t="s">
        <v>44</v>
      </c>
      <c r="D6">
        <v>49763</v>
      </c>
      <c r="E6">
        <v>10311</v>
      </c>
      <c r="F6">
        <v>358061</v>
      </c>
      <c r="G6">
        <v>849</v>
      </c>
      <c r="I6" t="str">
        <f t="shared" si="0"/>
        <v>Normal Value</v>
      </c>
      <c r="J6" t="str">
        <f t="shared" si="1"/>
        <v>Aligable For Loan</v>
      </c>
      <c r="K6" t="str">
        <f t="shared" si="2"/>
        <v>Ok</v>
      </c>
      <c r="L6" t="str" cm="1">
        <f t="array" ref="L6">_xlfn.IFS(G6&gt;800,"Excelent",G6&gt;700,"Good",G6&gt;600,"Ok","True","Poor")</f>
        <v>Excelent</v>
      </c>
      <c r="M6" t="str" cm="1">
        <f t="array" ref="M6">_xlfn.IFS(D6&gt;=100000,"Platinam",D6&gt;=50000,"Gold",D6&gt;=20000,"Silver","true","Bronze")</f>
        <v>Silver</v>
      </c>
    </row>
    <row r="7" spans="1:14">
      <c r="A7" t="s">
        <v>56</v>
      </c>
      <c r="B7" t="s">
        <v>57</v>
      </c>
      <c r="C7" t="s">
        <v>58</v>
      </c>
      <c r="D7">
        <v>97129</v>
      </c>
      <c r="E7">
        <v>6669</v>
      </c>
      <c r="F7">
        <v>242478</v>
      </c>
      <c r="G7">
        <v>740</v>
      </c>
      <c r="I7" t="str">
        <f t="shared" si="0"/>
        <v>High Value</v>
      </c>
      <c r="J7" t="str">
        <f t="shared" si="1"/>
        <v>Aligable For Loan</v>
      </c>
      <c r="K7" t="str">
        <f t="shared" si="2"/>
        <v>Ok</v>
      </c>
      <c r="L7" t="str" cm="1">
        <f t="array" ref="L7">_xlfn.IFS(G7&gt;800,"Excelent",G7&gt;700,"Good",G7&gt;600,"Ok","True","Poor")</f>
        <v>Good</v>
      </c>
      <c r="M7" t="str" cm="1">
        <f t="array" ref="M7">_xlfn.IFS(D7&gt;=100000,"Platinam",D7&gt;=50000,"Gold",D7&gt;=20000,"Silver","true","Bronze")</f>
        <v>Gold</v>
      </c>
    </row>
    <row r="8" spans="1:14">
      <c r="A8" t="s">
        <v>63</v>
      </c>
      <c r="B8" t="s">
        <v>64</v>
      </c>
      <c r="C8" t="s">
        <v>65</v>
      </c>
      <c r="D8">
        <v>13876</v>
      </c>
      <c r="E8">
        <v>16378</v>
      </c>
      <c r="F8">
        <v>72799</v>
      </c>
      <c r="G8">
        <v>678</v>
      </c>
      <c r="I8" t="str">
        <f t="shared" si="0"/>
        <v>Normal Value</v>
      </c>
      <c r="J8" t="str">
        <f t="shared" si="1"/>
        <v>Not Aligable For Loan</v>
      </c>
      <c r="K8" t="str">
        <f t="shared" si="2"/>
        <v>Ok</v>
      </c>
      <c r="L8" t="str" cm="1">
        <f t="array" ref="L8">_xlfn.IFS(G8&gt;800,"Excelent",G8&gt;700,"Good",G8&gt;600,"Ok","True","Poor")</f>
        <v>Ok</v>
      </c>
      <c r="M8" t="str" cm="1">
        <f t="array" ref="M8">_xlfn.IFS(D8&gt;=100000,"Platinam",D8&gt;=50000,"Gold",D8&gt;=20000,"Silver","true","Bronze")</f>
        <v>Bronze</v>
      </c>
    </row>
    <row r="9" spans="1:14">
      <c r="A9" t="s">
        <v>71</v>
      </c>
      <c r="B9" t="s">
        <v>72</v>
      </c>
      <c r="C9" t="s">
        <v>36</v>
      </c>
      <c r="D9">
        <v>63012</v>
      </c>
      <c r="E9">
        <v>17835</v>
      </c>
      <c r="F9">
        <v>230263</v>
      </c>
      <c r="G9">
        <v>843</v>
      </c>
      <c r="I9" t="str">
        <f t="shared" si="0"/>
        <v>High Value</v>
      </c>
      <c r="J9" t="str">
        <f t="shared" si="1"/>
        <v>Aligable For Loan</v>
      </c>
      <c r="K9" t="str">
        <f t="shared" si="2"/>
        <v>Ok</v>
      </c>
      <c r="L9" t="str" cm="1">
        <f t="array" ref="L9">_xlfn.IFS(G9&gt;800,"Excelent",G9&gt;700,"Good",G9&gt;600,"Ok","True","Poor")</f>
        <v>Excelent</v>
      </c>
      <c r="M9" t="str" cm="1">
        <f t="array" ref="M9">_xlfn.IFS(D9&gt;=100000,"Platinam",D9&gt;=50000,"Gold",D9&gt;=20000,"Silver","true","Bronze")</f>
        <v>Gold</v>
      </c>
    </row>
    <row r="10" spans="1:14">
      <c r="A10" t="s">
        <v>77</v>
      </c>
      <c r="B10" t="s">
        <v>64</v>
      </c>
      <c r="C10" t="s">
        <v>58</v>
      </c>
      <c r="D10">
        <v>65848</v>
      </c>
      <c r="E10">
        <v>2839</v>
      </c>
      <c r="F10">
        <v>302235</v>
      </c>
      <c r="G10">
        <v>822</v>
      </c>
      <c r="I10" t="str">
        <f t="shared" si="0"/>
        <v>High Value</v>
      </c>
      <c r="J10" t="str">
        <f t="shared" si="1"/>
        <v>Aligable For Loan</v>
      </c>
      <c r="K10" t="str">
        <f t="shared" si="2"/>
        <v>Ok</v>
      </c>
      <c r="L10" t="str" cm="1">
        <f t="array" ref="L10">_xlfn.IFS(G10&gt;800,"Excelent",G10&gt;700,"Good",G10&gt;600,"Ok","True","Poor")</f>
        <v>Excelent</v>
      </c>
      <c r="M10" t="str" cm="1">
        <f t="array" ref="M10">_xlfn.IFS(D10&gt;=100000,"Platinam",D10&gt;=50000,"Gold",D10&gt;=20000,"Silver","true","Bronze")</f>
        <v>Gold</v>
      </c>
    </row>
    <row r="11" spans="1:14">
      <c r="A11" t="s">
        <v>82</v>
      </c>
      <c r="B11" t="s">
        <v>43</v>
      </c>
      <c r="C11" t="s">
        <v>36</v>
      </c>
      <c r="D11">
        <v>55361</v>
      </c>
      <c r="E11">
        <v>1051</v>
      </c>
      <c r="F11">
        <v>332317</v>
      </c>
      <c r="G11">
        <v>738</v>
      </c>
      <c r="I11" t="str">
        <f t="shared" si="0"/>
        <v>High Value</v>
      </c>
      <c r="J11" t="str">
        <f t="shared" si="1"/>
        <v>Aligable For Loan</v>
      </c>
      <c r="K11" t="str">
        <f t="shared" si="2"/>
        <v>Ok</v>
      </c>
      <c r="L11" t="str" cm="1">
        <f t="array" ref="L11">_xlfn.IFS(G11&gt;800,"Excelent",G11&gt;700,"Good",G11&gt;600,"Ok","True","Poor")</f>
        <v>Good</v>
      </c>
      <c r="M11" t="str" cm="1">
        <f t="array" ref="M11">_xlfn.IFS(D11&gt;=100000,"Platinam",D11&gt;=50000,"Gold",D11&gt;=20000,"Silver","true","Bronze")</f>
        <v>Gold</v>
      </c>
    </row>
    <row r="12" spans="1:14">
      <c r="A12" t="s">
        <v>87</v>
      </c>
      <c r="B12" t="s">
        <v>43</v>
      </c>
      <c r="C12" t="s">
        <v>88</v>
      </c>
      <c r="D12">
        <v>14254</v>
      </c>
      <c r="F12">
        <v>402905</v>
      </c>
      <c r="G12">
        <v>618</v>
      </c>
      <c r="I12" t="str">
        <f t="shared" si="0"/>
        <v>Normal Value</v>
      </c>
      <c r="J12" t="str">
        <f t="shared" si="1"/>
        <v>Not Aligable For Loan</v>
      </c>
      <c r="K12" t="str">
        <f t="shared" si="2"/>
        <v>Ok</v>
      </c>
      <c r="L12" t="str" cm="1">
        <f t="array" ref="L12">_xlfn.IFS(G12&gt;800,"Excelent",G12&gt;700,"Good",G12&gt;600,"Ok","True","Poor")</f>
        <v>Ok</v>
      </c>
      <c r="M12" t="str" cm="1">
        <f t="array" ref="M12">_xlfn.IFS(D12&gt;=100000,"Platinam",D12&gt;=50000,"Gold",D12&gt;=20000,"Silver","true","Bronze")</f>
        <v>Bronze</v>
      </c>
    </row>
    <row r="13" spans="1:14">
      <c r="A13" t="s">
        <v>93</v>
      </c>
      <c r="B13" t="s">
        <v>35</v>
      </c>
      <c r="C13" t="s">
        <v>17</v>
      </c>
      <c r="D13">
        <v>55144</v>
      </c>
      <c r="E13">
        <v>10512</v>
      </c>
      <c r="F13">
        <v>86446</v>
      </c>
      <c r="G13">
        <v>642</v>
      </c>
      <c r="I13" t="str">
        <f t="shared" si="0"/>
        <v>High Value</v>
      </c>
      <c r="J13" t="str">
        <f t="shared" si="1"/>
        <v>Not Aligable For Loan</v>
      </c>
      <c r="K13" t="str">
        <f t="shared" si="2"/>
        <v>Ok</v>
      </c>
      <c r="L13" t="str" cm="1">
        <f t="array" ref="L13">_xlfn.IFS(G13&gt;800,"Excelent",G13&gt;700,"Good",G13&gt;600,"Ok","True","Poor")</f>
        <v>Ok</v>
      </c>
      <c r="M13" t="str" cm="1">
        <f t="array" ref="M13">_xlfn.IFS(D13&gt;=100000,"Platinam",D13&gt;=50000,"Gold",D13&gt;=20000,"Silver","true","Bronze")</f>
        <v>Gold</v>
      </c>
    </row>
    <row r="14" spans="1:14">
      <c r="A14" t="s">
        <v>98</v>
      </c>
      <c r="B14" t="s">
        <v>72</v>
      </c>
      <c r="C14" t="s">
        <v>17</v>
      </c>
      <c r="D14">
        <v>75076</v>
      </c>
      <c r="E14">
        <v>16524</v>
      </c>
      <c r="F14">
        <v>109868</v>
      </c>
      <c r="I14" t="str">
        <f t="shared" si="0"/>
        <v>High Value</v>
      </c>
      <c r="J14" t="str">
        <f t="shared" si="1"/>
        <v>Not Aligable For Loan</v>
      </c>
      <c r="K14" t="str">
        <f t="shared" si="2"/>
        <v>Ok</v>
      </c>
      <c r="L14" t="str" cm="1">
        <f t="array" ref="L14">_xlfn.IFS(G14&gt;800,"Excelent",G14&gt;700,"Good",G14&gt;600,"Ok","True","Poor")</f>
        <v>Poor</v>
      </c>
      <c r="M14" t="str" cm="1">
        <f t="array" ref="M14">_xlfn.IFS(D14&gt;=100000,"Platinam",D14&gt;=50000,"Gold",D14&gt;=20000,"Silver","true","Bronze")</f>
        <v>Gold</v>
      </c>
    </row>
    <row r="15" spans="1:14">
      <c r="A15" t="s">
        <v>103</v>
      </c>
      <c r="B15" t="s">
        <v>26</v>
      </c>
      <c r="C15" t="s">
        <v>104</v>
      </c>
      <c r="D15">
        <v>89383</v>
      </c>
      <c r="E15">
        <v>15144</v>
      </c>
      <c r="F15">
        <v>478364</v>
      </c>
      <c r="G15">
        <v>849</v>
      </c>
      <c r="I15" t="str">
        <f t="shared" si="0"/>
        <v>High Value</v>
      </c>
      <c r="J15" t="str">
        <f t="shared" si="1"/>
        <v>Aligable For Loan</v>
      </c>
      <c r="K15" t="str">
        <f t="shared" si="2"/>
        <v>Ok</v>
      </c>
      <c r="L15" t="str" cm="1">
        <f t="array" ref="L15">_xlfn.IFS(G15&gt;800,"Excelent",G15&gt;700,"Good",G15&gt;600,"Ok","True","Poor")</f>
        <v>Excelent</v>
      </c>
      <c r="M15" t="str" cm="1">
        <f t="array" ref="M15">_xlfn.IFS(D15&gt;=100000,"Platinam",D15&gt;=50000,"Gold",D15&gt;=20000,"Silver","true","Bronze")</f>
        <v>Gold</v>
      </c>
    </row>
  </sheetData>
  <mergeCells count="2">
    <mergeCell ref="I1:K1"/>
    <mergeCell ref="L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0177-8403-4E38-B383-54D91F8B38C7}">
  <dimension ref="A1:M32"/>
  <sheetViews>
    <sheetView tabSelected="1" topLeftCell="A9" workbookViewId="0">
      <selection activeCell="L33" sqref="L33"/>
    </sheetView>
  </sheetViews>
  <sheetFormatPr defaultRowHeight="15"/>
  <cols>
    <col min="1" max="1" width="12.42578125" bestFit="1" customWidth="1"/>
    <col min="2" max="2" width="11.140625" bestFit="1" customWidth="1"/>
    <col min="3" max="3" width="10.7109375" bestFit="1" customWidth="1"/>
    <col min="4" max="4" width="7.85546875" bestFit="1" customWidth="1"/>
    <col min="5" max="5" width="11.28515625" bestFit="1" customWidth="1"/>
    <col min="6" max="6" width="13.42578125" bestFit="1" customWidth="1"/>
    <col min="7" max="7" width="12.28515625" bestFit="1" customWidth="1"/>
    <col min="8" max="8" width="13.5703125" bestFit="1" customWidth="1"/>
    <col min="9" max="9" width="11.28515625" bestFit="1" customWidth="1"/>
    <col min="11" max="11" width="20.85546875" bestFit="1" customWidth="1"/>
    <col min="12" max="12" width="15" style="13" customWidth="1"/>
  </cols>
  <sheetData>
    <row r="1" spans="1:13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13</v>
      </c>
      <c r="H1" t="s">
        <v>7</v>
      </c>
      <c r="I1" t="s">
        <v>6</v>
      </c>
      <c r="K1" s="48" t="s">
        <v>727</v>
      </c>
      <c r="L1" s="48"/>
    </row>
    <row r="2" spans="1:13">
      <c r="A2" t="s">
        <v>15</v>
      </c>
      <c r="B2" t="s">
        <v>16</v>
      </c>
      <c r="C2" t="s">
        <v>17</v>
      </c>
      <c r="D2">
        <v>95405</v>
      </c>
      <c r="E2">
        <v>13439</v>
      </c>
      <c r="F2">
        <v>463518</v>
      </c>
      <c r="G2">
        <v>653</v>
      </c>
      <c r="H2" t="s">
        <v>21</v>
      </c>
      <c r="I2" t="s">
        <v>20</v>
      </c>
      <c r="K2" t="s">
        <v>728</v>
      </c>
      <c r="L2" s="13">
        <f>SUM(D2:D15)</f>
        <v>740857</v>
      </c>
    </row>
    <row r="3" spans="1:13">
      <c r="A3" t="s">
        <v>25</v>
      </c>
      <c r="B3" t="s">
        <v>26</v>
      </c>
      <c r="C3" t="s">
        <v>27</v>
      </c>
      <c r="D3">
        <v>39984</v>
      </c>
      <c r="E3">
        <v>20370</v>
      </c>
      <c r="F3">
        <v>103596</v>
      </c>
      <c r="G3">
        <v>830</v>
      </c>
      <c r="H3" t="s">
        <v>21</v>
      </c>
      <c r="I3" t="s">
        <v>20</v>
      </c>
      <c r="K3" t="s">
        <v>729</v>
      </c>
      <c r="L3" s="13">
        <f>SUM(E2:E15)</f>
        <v>163998</v>
      </c>
    </row>
    <row r="4" spans="1:13">
      <c r="A4" t="s">
        <v>34</v>
      </c>
      <c r="B4" t="s">
        <v>35</v>
      </c>
      <c r="C4" t="s">
        <v>36</v>
      </c>
      <c r="D4">
        <v>13806</v>
      </c>
      <c r="E4">
        <v>18289</v>
      </c>
      <c r="F4">
        <v>166230</v>
      </c>
      <c r="G4">
        <v>795</v>
      </c>
      <c r="H4" t="s">
        <v>21</v>
      </c>
      <c r="I4" t="s">
        <v>39</v>
      </c>
      <c r="K4" t="s">
        <v>730</v>
      </c>
      <c r="L4" s="13">
        <f>SUM(F2:F15)</f>
        <v>3838212</v>
      </c>
    </row>
    <row r="5" spans="1:13">
      <c r="A5" t="s">
        <v>42</v>
      </c>
      <c r="B5" t="s">
        <v>43</v>
      </c>
      <c r="C5" t="s">
        <v>44</v>
      </c>
      <c r="D5">
        <v>12816</v>
      </c>
      <c r="E5">
        <v>14637</v>
      </c>
      <c r="F5">
        <v>489132</v>
      </c>
      <c r="G5">
        <v>834</v>
      </c>
      <c r="H5" t="s">
        <v>21</v>
      </c>
      <c r="I5" t="s">
        <v>20</v>
      </c>
    </row>
    <row r="6" spans="1:13">
      <c r="A6" t="s">
        <v>49</v>
      </c>
      <c r="B6" t="s">
        <v>16</v>
      </c>
      <c r="C6" t="s">
        <v>44</v>
      </c>
      <c r="D6">
        <v>49763</v>
      </c>
      <c r="E6">
        <v>10311</v>
      </c>
      <c r="F6">
        <v>358061</v>
      </c>
      <c r="G6">
        <v>849</v>
      </c>
      <c r="H6" t="s">
        <v>53</v>
      </c>
      <c r="I6" t="s">
        <v>52</v>
      </c>
      <c r="K6" s="48" t="s">
        <v>732</v>
      </c>
      <c r="L6" s="48"/>
    </row>
    <row r="7" spans="1:13">
      <c r="A7" t="s">
        <v>56</v>
      </c>
      <c r="B7" t="s">
        <v>57</v>
      </c>
      <c r="C7" t="s">
        <v>58</v>
      </c>
      <c r="D7">
        <v>97129</v>
      </c>
      <c r="E7">
        <v>6669</v>
      </c>
      <c r="F7">
        <v>242478</v>
      </c>
      <c r="G7">
        <v>740</v>
      </c>
      <c r="H7" t="s">
        <v>21</v>
      </c>
      <c r="I7" t="s">
        <v>20</v>
      </c>
      <c r="K7" t="s">
        <v>731</v>
      </c>
      <c r="L7" s="13">
        <f>SUMIF(H2:H15,"Savings",D2:D15)</f>
        <v>323150</v>
      </c>
      <c r="M7" s="49"/>
    </row>
    <row r="8" spans="1:13">
      <c r="A8" t="s">
        <v>63</v>
      </c>
      <c r="B8" t="s">
        <v>64</v>
      </c>
      <c r="C8" t="s">
        <v>65</v>
      </c>
      <c r="D8">
        <v>13876</v>
      </c>
      <c r="E8">
        <v>16378</v>
      </c>
      <c r="F8">
        <v>72799</v>
      </c>
      <c r="G8">
        <v>678</v>
      </c>
      <c r="H8" t="s">
        <v>21</v>
      </c>
      <c r="I8" t="s">
        <v>68</v>
      </c>
    </row>
    <row r="9" spans="1:13">
      <c r="A9" t="s">
        <v>71</v>
      </c>
      <c r="B9" t="s">
        <v>72</v>
      </c>
      <c r="C9" t="s">
        <v>36</v>
      </c>
      <c r="D9">
        <v>63012</v>
      </c>
      <c r="E9">
        <v>17835</v>
      </c>
      <c r="F9">
        <v>230263</v>
      </c>
      <c r="G9">
        <v>843</v>
      </c>
      <c r="H9" t="s">
        <v>53</v>
      </c>
      <c r="I9" t="s">
        <v>39</v>
      </c>
      <c r="K9" s="48" t="s">
        <v>733</v>
      </c>
      <c r="L9" s="48"/>
    </row>
    <row r="10" spans="1:13">
      <c r="A10" t="s">
        <v>77</v>
      </c>
      <c r="B10" t="s">
        <v>64</v>
      </c>
      <c r="C10" t="s">
        <v>58</v>
      </c>
      <c r="D10">
        <v>65848</v>
      </c>
      <c r="E10">
        <v>2839</v>
      </c>
      <c r="F10">
        <v>302235</v>
      </c>
      <c r="G10">
        <v>822</v>
      </c>
      <c r="H10" t="s">
        <v>53</v>
      </c>
      <c r="I10" t="s">
        <v>52</v>
      </c>
      <c r="K10" s="48">
        <f>SUMIFS(D2:D15,I2:I15,"Dhaka",H2:H15,"Savings")</f>
        <v>55144</v>
      </c>
      <c r="L10" s="48"/>
    </row>
    <row r="11" spans="1:13">
      <c r="A11" t="s">
        <v>82</v>
      </c>
      <c r="B11" t="s">
        <v>43</v>
      </c>
      <c r="C11" t="s">
        <v>36</v>
      </c>
      <c r="D11">
        <v>55361</v>
      </c>
      <c r="E11">
        <v>1051</v>
      </c>
      <c r="F11">
        <v>332317</v>
      </c>
      <c r="G11">
        <v>738</v>
      </c>
      <c r="H11" t="s">
        <v>21</v>
      </c>
      <c r="I11" t="s">
        <v>68</v>
      </c>
    </row>
    <row r="12" spans="1:13">
      <c r="A12" t="s">
        <v>87</v>
      </c>
      <c r="B12" t="s">
        <v>43</v>
      </c>
      <c r="C12" t="s">
        <v>88</v>
      </c>
      <c r="D12">
        <v>14254</v>
      </c>
      <c r="F12">
        <v>402905</v>
      </c>
      <c r="G12">
        <v>618</v>
      </c>
      <c r="H12" t="s">
        <v>21</v>
      </c>
      <c r="I12" t="s">
        <v>30</v>
      </c>
      <c r="K12" s="48" t="s">
        <v>737</v>
      </c>
      <c r="L12" s="48"/>
    </row>
    <row r="13" spans="1:13">
      <c r="A13" t="s">
        <v>93</v>
      </c>
      <c r="B13" t="s">
        <v>35</v>
      </c>
      <c r="C13" t="s">
        <v>17</v>
      </c>
      <c r="D13">
        <v>55144</v>
      </c>
      <c r="E13">
        <v>10512</v>
      </c>
      <c r="F13">
        <v>86446</v>
      </c>
      <c r="G13">
        <v>642</v>
      </c>
      <c r="H13" t="s">
        <v>53</v>
      </c>
      <c r="I13" t="s">
        <v>30</v>
      </c>
      <c r="K13" t="s">
        <v>734</v>
      </c>
      <c r="L13" s="13">
        <f>MAX(D2:D15)</f>
        <v>97129</v>
      </c>
    </row>
    <row r="14" spans="1:13">
      <c r="A14" t="s">
        <v>98</v>
      </c>
      <c r="B14" t="s">
        <v>72</v>
      </c>
      <c r="C14" t="s">
        <v>17</v>
      </c>
      <c r="D14">
        <v>75076</v>
      </c>
      <c r="E14">
        <v>16524</v>
      </c>
      <c r="F14">
        <v>109868</v>
      </c>
      <c r="H14" t="s">
        <v>21</v>
      </c>
      <c r="I14" t="s">
        <v>20</v>
      </c>
      <c r="K14" t="s">
        <v>735</v>
      </c>
      <c r="L14" s="13">
        <f>MAX(E2:E16)</f>
        <v>20370</v>
      </c>
    </row>
    <row r="15" spans="1:13">
      <c r="A15" t="s">
        <v>103</v>
      </c>
      <c r="B15" t="s">
        <v>26</v>
      </c>
      <c r="C15" t="s">
        <v>104</v>
      </c>
      <c r="D15">
        <v>89383</v>
      </c>
      <c r="E15">
        <v>15144</v>
      </c>
      <c r="F15">
        <v>478364</v>
      </c>
      <c r="G15">
        <v>849</v>
      </c>
      <c r="H15" t="s">
        <v>53</v>
      </c>
      <c r="I15" t="s">
        <v>68</v>
      </c>
      <c r="K15" t="s">
        <v>736</v>
      </c>
      <c r="L15" s="13">
        <f>MAX(F2:F15)</f>
        <v>489132</v>
      </c>
    </row>
    <row r="17" spans="11:12">
      <c r="K17" s="48" t="s">
        <v>741</v>
      </c>
      <c r="L17" s="48"/>
    </row>
    <row r="18" spans="11:12">
      <c r="K18" t="s">
        <v>738</v>
      </c>
      <c r="L18" s="13">
        <f>MIN(D2:D215)</f>
        <v>12816</v>
      </c>
    </row>
    <row r="19" spans="11:12">
      <c r="K19" t="s">
        <v>739</v>
      </c>
      <c r="L19" s="13">
        <f>MIN(E2:E15)</f>
        <v>1051</v>
      </c>
    </row>
    <row r="20" spans="11:12">
      <c r="K20" t="s">
        <v>740</v>
      </c>
      <c r="L20" s="13">
        <f>MIN(F2:F15)</f>
        <v>72799</v>
      </c>
    </row>
    <row r="22" spans="11:12">
      <c r="K22" s="48" t="s">
        <v>745</v>
      </c>
      <c r="L22" s="48"/>
    </row>
    <row r="23" spans="11:12">
      <c r="K23" t="s">
        <v>742</v>
      </c>
      <c r="L23" s="13">
        <f>AVERAGE(D2:D15)</f>
        <v>52918.357142857145</v>
      </c>
    </row>
    <row r="24" spans="11:12">
      <c r="K24" t="s">
        <v>743</v>
      </c>
      <c r="L24" s="13">
        <f>AVERAGE(E2:E15)</f>
        <v>12615.23076923077</v>
      </c>
    </row>
    <row r="25" spans="11:12">
      <c r="K25" t="s">
        <v>744</v>
      </c>
      <c r="L25" s="13">
        <f>AVERAGE(F2:F15)</f>
        <v>274158</v>
      </c>
    </row>
    <row r="28" spans="11:12">
      <c r="K28" s="48" t="s">
        <v>746</v>
      </c>
      <c r="L28" s="48"/>
    </row>
    <row r="29" spans="11:12">
      <c r="K29" t="s">
        <v>747</v>
      </c>
      <c r="L29" s="13">
        <f>COUNT(D2:D15)</f>
        <v>14</v>
      </c>
    </row>
    <row r="30" spans="11:12">
      <c r="K30" t="s">
        <v>748</v>
      </c>
      <c r="L30" s="13">
        <f>COUNTIF(H2:H15,"Savings")</f>
        <v>5</v>
      </c>
    </row>
    <row r="31" spans="11:12" ht="30">
      <c r="K31" s="33" t="s">
        <v>749</v>
      </c>
      <c r="L31" s="13">
        <f>COUNTIFS(H2:H15,"Savings",I2:I15,"Dhaka")</f>
        <v>1</v>
      </c>
    </row>
    <row r="32" spans="11:12">
      <c r="K32" t="s">
        <v>750</v>
      </c>
      <c r="L32" s="13">
        <f>COUNTA(A2:A15)</f>
        <v>14</v>
      </c>
    </row>
  </sheetData>
  <mergeCells count="8">
    <mergeCell ref="K17:L17"/>
    <mergeCell ref="K22:L22"/>
    <mergeCell ref="K28:L28"/>
    <mergeCell ref="K1:L1"/>
    <mergeCell ref="K6:L6"/>
    <mergeCell ref="K10:L10"/>
    <mergeCell ref="K9:L9"/>
    <mergeCell ref="K12:L12"/>
  </mergeCells>
  <pageMargins left="0.7" right="0.7" top="0.75" bottom="0.75" header="0.3" footer="0.3"/>
  <ignoredErrors>
    <ignoredError sqref="L14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3AA02-F06F-4390-963B-3D63EFD060A8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Excel_fundamentals</vt:lpstr>
      <vt:lpstr>profestional Formating</vt:lpstr>
      <vt:lpstr>Error_data</vt:lpstr>
      <vt:lpstr>Data Profiling &amp; Missing Values</vt:lpstr>
      <vt:lpstr>Data_Quality_Report</vt:lpstr>
      <vt:lpstr>Cleaning_Log</vt:lpstr>
      <vt:lpstr>Text Standardization</vt:lpstr>
      <vt:lpstr>Text Extraction &amp; Manipulation </vt:lpstr>
      <vt:lpstr>Date &amp; Formatting Functions</vt:lpstr>
      <vt:lpstr>Logical Functions</vt:lpstr>
      <vt:lpstr>Aggregation Functions</vt:lpstr>
      <vt:lpstr>Counting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sabbir hossain</cp:lastModifiedBy>
  <dcterms:created xsi:type="dcterms:W3CDTF">2026-07-01T02:02:27Z</dcterms:created>
  <dcterms:modified xsi:type="dcterms:W3CDTF">2026-07-01T13:23:31Z</dcterms:modified>
</cp:coreProperties>
</file>