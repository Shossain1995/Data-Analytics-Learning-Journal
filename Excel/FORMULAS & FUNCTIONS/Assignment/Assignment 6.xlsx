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20" documentId="13_ncr:1_{F9CD5552-FF96-4ACC-A599-559ACD647041}" xr6:coauthVersionLast="47" xr6:coauthVersionMax="47" xr10:uidLastSave="{B48A4D30-EB34-4645-B9EB-57D288668B6C}"/>
  <bookViews>
    <workbookView xWindow="-120" yWindow="-120" windowWidth="19440" windowHeight="15000" tabRatio="703" activeTab="2" xr2:uid="{00000000-000D-0000-FFFF-FFFF00000000}"/>
  </bookViews>
  <sheets>
    <sheet name="Price Checker Example" sheetId="10" r:id="rId1"/>
    <sheet name="Fuzzy Match Lookup" sheetId="13" r:id="rId2"/>
    <sheet name="CHOOSE" sheetId="14" r:id="rId3"/>
  </sheets>
  <definedNames>
    <definedName name="Impressions">INDEX(#REF!,MIN(#REF!,COUNT(#REF!)-MIN(#REF!,COUNT(#REF!))+1)):INDEX(#REF!,MIN(#REF!,COUNT(#REF!)-MIN(#REF!,COUNT(#REF!))+1)+MIN(#REF!,COUNT(#REF!))-1)</definedName>
    <definedName name="Month">INDEX(#REF!,MIN(#REF!,COUNT(#REF!)-MIN(#REF!,COUNT(#REF!))+1)):INDEX(#REF!,MIN(#REF!,COUNT(#REF!)-MIN(#REF!,COUNT(#REF!))+1)+MIN(#REF!,COUNT(#REF!))-1)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4" l="1"/>
  <c r="H7" i="14" s="1"/>
  <c r="G7" i="14"/>
  <c r="F13" i="14"/>
  <c r="F12" i="14"/>
  <c r="F11" i="14"/>
  <c r="F10" i="14"/>
  <c r="F9" i="14"/>
  <c r="F8" i="14"/>
  <c r="F7" i="14"/>
  <c r="F6" i="14"/>
  <c r="F5" i="14"/>
  <c r="F4" i="14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" i="13"/>
  <c r="F10" i="10"/>
</calcChain>
</file>

<file path=xl/sharedStrings.xml><?xml version="1.0" encoding="utf-8"?>
<sst xmlns="http://schemas.openxmlformats.org/spreadsheetml/2006/main" count="44" uniqueCount="41">
  <si>
    <t>XSmall</t>
  </si>
  <si>
    <t>Small</t>
  </si>
  <si>
    <t>Medium</t>
  </si>
  <si>
    <t>Large</t>
  </si>
  <si>
    <t>XLarge</t>
  </si>
  <si>
    <t>Socks</t>
  </si>
  <si>
    <t>Shorts</t>
  </si>
  <si>
    <t>Pants</t>
  </si>
  <si>
    <t>T-Shirt</t>
  </si>
  <si>
    <t>Sweater</t>
  </si>
  <si>
    <t>Product:</t>
  </si>
  <si>
    <t>Size:</t>
  </si>
  <si>
    <t>Price</t>
  </si>
  <si>
    <t>=</t>
  </si>
  <si>
    <t>Order ID</t>
  </si>
  <si>
    <t>Discount</t>
  </si>
  <si>
    <t>Minimum</t>
  </si>
  <si>
    <t>Order Amount</t>
  </si>
  <si>
    <t>$0 - $24.99</t>
  </si>
  <si>
    <t>$25 - $49.99</t>
  </si>
  <si>
    <t>$50 - $99.99</t>
  </si>
  <si>
    <t>$100+</t>
  </si>
  <si>
    <t>Discount %</t>
  </si>
  <si>
    <t>Genre</t>
  </si>
  <si>
    <t>Action</t>
  </si>
  <si>
    <t>Select Year:</t>
  </si>
  <si>
    <t>Adventure</t>
  </si>
  <si>
    <t>Select Calculation: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</si>
  <si>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</si>
  <si>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</si>
  <si>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</si>
  <si>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</si>
  <si>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</si>
  <si>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</si>
  <si>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</si>
  <si>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</si>
  <si>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IMDB RATINGS</t>
  </si>
  <si>
    <t>To calculate order-level discount percentages automatically by matching each customer's Order Amount against a predefined tiered discount slab table ($0–$24.99 = 0%, $25–$49.99 = 5%, $50–$99.99 = 10%, $100+ = 20%), using VLOOKUP with Approximate Match mode, so that discount assignment scales across hundreds of orders without manual slab-checking or nested IF statements — while ensuring the lookup table remains sorted in ascending order to prevent silent calculation errors.</t>
  </si>
  <si>
    <t>Year Average</t>
  </si>
  <si>
    <t>AVG</t>
  </si>
  <si>
    <t xml:space="preserve">Price Checker Using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</si>
</sst>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Arial"/>
      <family val="2"/>
    </font>
    <font>
      <b/>
      <sz val="22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/>
      <top/>
      <bottom/>
      <diagonal/>
    </border>
  </borders>
  <cellStyleXfs count="46">
    <xf numFmtId="0" fontId="0" fillId="0" borderId="0"/>
    <xf numFmtId="0" fontId="3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8" fillId="0" borderId="19" applyNumberFormat="0" applyFill="0" applyAlignment="0" applyProtection="0"/>
    <xf numFmtId="0" fontId="18" fillId="0" borderId="0" applyNumberFormat="0" applyFill="0" applyBorder="0" applyAlignment="0" applyProtection="0"/>
    <xf numFmtId="0" fontId="20" fillId="0" borderId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20" applyNumberFormat="0" applyAlignment="0" applyProtection="0"/>
    <xf numFmtId="0" fontId="25" fillId="12" borderId="21" applyNumberFormat="0" applyAlignment="0" applyProtection="0"/>
    <xf numFmtId="0" fontId="26" fillId="12" borderId="20" applyNumberFormat="0" applyAlignment="0" applyProtection="0"/>
    <xf numFmtId="0" fontId="27" fillId="0" borderId="22" applyNumberFormat="0" applyFill="0" applyAlignment="0" applyProtection="0"/>
    <xf numFmtId="0" fontId="28" fillId="13" borderId="23" applyNumberFormat="0" applyAlignment="0" applyProtection="0"/>
    <xf numFmtId="0" fontId="29" fillId="0" borderId="0" applyNumberFormat="0" applyFill="0" applyBorder="0" applyAlignment="0" applyProtection="0"/>
    <xf numFmtId="0" fontId="20" fillId="14" borderId="24" applyNumberFormat="0" applyFont="0" applyAlignment="0" applyProtection="0"/>
    <xf numFmtId="0" fontId="30" fillId="0" borderId="0" applyNumberFormat="0" applyFill="0" applyBorder="0" applyAlignment="0" applyProtection="0"/>
    <xf numFmtId="0" fontId="19" fillId="0" borderId="25" applyNumberFormat="0" applyFill="0" applyAlignment="0" applyProtection="0"/>
    <xf numFmtId="0" fontId="3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3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3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3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31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31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32" fillId="0" borderId="0"/>
  </cellStyleXfs>
  <cellXfs count="55">
    <xf numFmtId="0" fontId="0" fillId="0" borderId="0" xfId="0"/>
    <xf numFmtId="0" fontId="2" fillId="0" borderId="0" xfId="2"/>
    <xf numFmtId="0" fontId="5" fillId="2" borderId="0" xfId="2" applyFont="1" applyFill="1" applyAlignment="1">
      <alignment horizontal="center"/>
    </xf>
    <xf numFmtId="0" fontId="2" fillId="0" borderId="0" xfId="2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7" xfId="2" applyFont="1" applyFill="1" applyBorder="1" applyAlignment="1">
      <alignment horizontal="center"/>
    </xf>
    <xf numFmtId="0" fontId="5" fillId="2" borderId="8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164" fontId="2" fillId="3" borderId="7" xfId="2" applyNumberFormat="1" applyFill="1" applyBorder="1" applyAlignment="1">
      <alignment horizontal="center"/>
    </xf>
    <xf numFmtId="164" fontId="2" fillId="3" borderId="8" xfId="2" applyNumberFormat="1" applyFill="1" applyBorder="1" applyAlignment="1">
      <alignment horizontal="center"/>
    </xf>
    <xf numFmtId="164" fontId="2" fillId="3" borderId="6" xfId="2" applyNumberFormat="1" applyFill="1" applyBorder="1" applyAlignment="1">
      <alignment horizontal="center"/>
    </xf>
    <xf numFmtId="164" fontId="2" fillId="3" borderId="3" xfId="2" applyNumberFormat="1" applyFill="1" applyBorder="1" applyAlignment="1">
      <alignment horizontal="center"/>
    </xf>
    <xf numFmtId="164" fontId="2" fillId="3" borderId="5" xfId="2" applyNumberFormat="1" applyFill="1" applyBorder="1" applyAlignment="1">
      <alignment horizontal="center"/>
    </xf>
    <xf numFmtId="164" fontId="2" fillId="3" borderId="1" xfId="2" applyNumberFormat="1" applyFill="1" applyBorder="1" applyAlignment="1">
      <alignment horizontal="center"/>
    </xf>
    <xf numFmtId="164" fontId="2" fillId="3" borderId="2" xfId="2" applyNumberFormat="1" applyFill="1" applyBorder="1" applyAlignment="1">
      <alignment horizontal="center"/>
    </xf>
    <xf numFmtId="164" fontId="2" fillId="3" borderId="4" xfId="2" applyNumberFormat="1" applyFill="1" applyBorder="1" applyAlignment="1">
      <alignment horizontal="center"/>
    </xf>
    <xf numFmtId="164" fontId="2" fillId="3" borderId="0" xfId="2" applyNumberFormat="1" applyFill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2" fillId="0" borderId="10" xfId="2" applyBorder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9" fontId="10" fillId="3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6" fontId="9" fillId="3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5" fillId="2" borderId="5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left"/>
    </xf>
    <xf numFmtId="2" fontId="0" fillId="0" borderId="15" xfId="0" applyNumberFormat="1" applyBorder="1" applyAlignment="1">
      <alignment horizontal="center"/>
    </xf>
    <xf numFmtId="2" fontId="0" fillId="0" borderId="0" xfId="0" applyNumberFormat="1"/>
    <xf numFmtId="0" fontId="12" fillId="3" borderId="5" xfId="0" applyFon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4" fillId="0" borderId="0" xfId="0" applyFont="1"/>
    <xf numFmtId="2" fontId="0" fillId="0" borderId="1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5" fillId="0" borderId="0" xfId="2" applyFont="1" applyAlignment="1">
      <alignment horizontal="center"/>
    </xf>
    <xf numFmtId="164" fontId="7" fillId="3" borderId="12" xfId="2" applyNumberFormat="1" applyFont="1" applyFill="1" applyBorder="1" applyAlignment="1">
      <alignment horizontal="center"/>
    </xf>
    <xf numFmtId="164" fontId="7" fillId="3" borderId="11" xfId="2" applyNumberFormat="1" applyFont="1" applyFill="1" applyBorder="1" applyAlignment="1">
      <alignment horizontal="center"/>
    </xf>
    <xf numFmtId="0" fontId="34" fillId="39" borderId="0" xfId="2" applyFon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28" fillId="7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2" fontId="14" fillId="5" borderId="0" xfId="0" applyNumberFormat="1" applyFont="1" applyFill="1" applyAlignment="1">
      <alignment horizontal="center" vertical="center"/>
    </xf>
    <xf numFmtId="0" fontId="0" fillId="0" borderId="26" xfId="0" applyBorder="1" applyAlignment="1">
      <alignment horizontal="center"/>
    </xf>
  </cellXfs>
  <cellStyles count="46">
    <cellStyle name="20% - Accent1 2" xfId="22" xr:uid="{882A8792-F2C6-430D-88B3-724C320CB32B}"/>
    <cellStyle name="20% - Accent2 2" xfId="26" xr:uid="{2A81B5CD-2504-40F8-A4A6-7F3AE247F08B}"/>
    <cellStyle name="20% - Accent3 2" xfId="30" xr:uid="{C83D67FC-69F5-4E17-B7D4-97ABF1D3B990}"/>
    <cellStyle name="20% - Accent4 2" xfId="34" xr:uid="{133439A3-926F-48FA-8493-C45B6BC8DA93}"/>
    <cellStyle name="20% - Accent5 2" xfId="38" xr:uid="{5AE3C2AA-31BC-4104-9A7E-F447A914F6D0}"/>
    <cellStyle name="20% - Accent6 2" xfId="42" xr:uid="{7C731281-BABB-457C-8732-BDBD10CDCC6D}"/>
    <cellStyle name="40% - Accent1 2" xfId="23" xr:uid="{E7C99E4C-FAA3-4B7E-B4F2-66DFAAB82107}"/>
    <cellStyle name="40% - Accent2 2" xfId="27" xr:uid="{E2BC79EB-49CE-4D38-9575-6BEBFBFC0C9E}"/>
    <cellStyle name="40% - Accent3 2" xfId="31" xr:uid="{946024AC-7AEE-4EEC-9279-F3313DDE69D7}"/>
    <cellStyle name="40% - Accent4 2" xfId="35" xr:uid="{A4BE2324-642B-4D60-944D-2E7A58FDCCF6}"/>
    <cellStyle name="40% - Accent5 2" xfId="39" xr:uid="{934ADA0B-583A-4F24-B3BA-4CD83274CBAF}"/>
    <cellStyle name="40% - Accent6 2" xfId="43" xr:uid="{AD0734AD-72D2-4487-AB8A-F3FE8466A0F4}"/>
    <cellStyle name="60% - Accent1 2" xfId="24" xr:uid="{B72CB7D0-2A23-4ED4-B287-DE9C69193871}"/>
    <cellStyle name="60% - Accent2 2" xfId="28" xr:uid="{7F42A10C-3170-42D6-A21C-6F62D9D717A4}"/>
    <cellStyle name="60% - Accent3 2" xfId="32" xr:uid="{8A12F80F-5AA4-40E7-8E67-E51E96C5B369}"/>
    <cellStyle name="60% - Accent4 2" xfId="36" xr:uid="{511E2484-9E81-4947-99C5-4DA6F78846D9}"/>
    <cellStyle name="60% - Accent5 2" xfId="40" xr:uid="{F09CC7D6-F18B-4524-92BD-798D299C0BD2}"/>
    <cellStyle name="60% - Accent6 2" xfId="44" xr:uid="{E8F78889-DCF7-447B-8C26-1466D7191201}"/>
    <cellStyle name="Accent1 2" xfId="21" xr:uid="{37F97C98-C26D-411C-9067-98B4C47355C2}"/>
    <cellStyle name="Accent2 2" xfId="25" xr:uid="{A22D264E-BF1F-4A48-BEAC-8FDD158CEB8C}"/>
    <cellStyle name="Accent3 2" xfId="29" xr:uid="{98C4CA87-16D2-427E-9707-98C006685B7A}"/>
    <cellStyle name="Accent4 2" xfId="33" xr:uid="{A122CF22-CE7E-47E6-AC2E-32548FDB2D8D}"/>
    <cellStyle name="Accent5 2" xfId="37" xr:uid="{7854E139-4883-4691-B381-009EF866D773}"/>
    <cellStyle name="Accent6 2" xfId="41" xr:uid="{FF85C58E-B126-42E7-9AD9-44301A014177}"/>
    <cellStyle name="Bad 2" xfId="10" xr:uid="{9384331C-9432-4CC8-BB22-DF8F2E9E9092}"/>
    <cellStyle name="Calculation 2" xfId="14" xr:uid="{6C6C8BB5-3686-4658-8A70-BB5AE63FD28E}"/>
    <cellStyle name="Check Cell 2" xfId="16" xr:uid="{33CADEC1-85B1-4F1C-AA3D-1FD2FE5229CA}"/>
    <cellStyle name="Explanatory Text 2" xfId="19" xr:uid="{FE5663BA-F4C1-435E-8AF7-E796A586D051}"/>
    <cellStyle name="Good 2" xfId="9" xr:uid="{06AF3748-DA2C-4036-B773-A424F02C94BF}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 2" xfId="12" xr:uid="{D10243ED-B7F9-4E7D-AF28-3428F1C3F7C1}"/>
    <cellStyle name="Linked Cell 2" xfId="15" xr:uid="{711EB41F-7425-4B13-830C-22D2DB31BC55}"/>
    <cellStyle name="Neutral 2" xfId="11" xr:uid="{0194B931-A1D8-43BA-A498-7AC7904C61A1}"/>
    <cellStyle name="Normal" xfId="0" builtinId="0"/>
    <cellStyle name="Normal 2" xfId="1" xr:uid="{00000000-0005-0000-0000-000002000000}"/>
    <cellStyle name="Normal 2 2" xfId="45" xr:uid="{752C9C08-663F-4F1E-A63A-43FFD79C6DBD}"/>
    <cellStyle name="Normal 3" xfId="2" xr:uid="{00000000-0005-0000-0000-000003000000}"/>
    <cellStyle name="Normal 4" xfId="8" xr:uid="{DD0FB6C8-5C05-4036-AC8E-664D8BC7902E}"/>
    <cellStyle name="Note 2" xfId="18" xr:uid="{00309D23-11BC-4E65-91C9-5295046CDF69}"/>
    <cellStyle name="Output 2" xfId="13" xr:uid="{9EA78019-23BA-4720-A453-99EA6047B460}"/>
    <cellStyle name="Title" xfId="3" builtinId="15" customBuiltin="1"/>
    <cellStyle name="Total 2" xfId="20" xr:uid="{5F0C9C5D-638C-439F-BC12-FA62B430C82C}"/>
    <cellStyle name="Warning Text 2" xfId="17" xr:uid="{0C9FFE86-E664-420B-B9B9-0C62EF3A2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I10"/>
  <sheetViews>
    <sheetView showGridLines="0" zoomScale="200" zoomScaleNormal="200" workbookViewId="0">
      <selection activeCell="B2" sqref="B2:I11"/>
    </sheetView>
  </sheetViews>
  <sheetFormatPr defaultColWidth="9.140625" defaultRowHeight="15" x14ac:dyDescent="0.25"/>
  <cols>
    <col min="1" max="1" width="4.85546875" style="1" customWidth="1"/>
    <col min="2" max="2" width="4.28515625" style="1" customWidth="1"/>
    <col min="3" max="3" width="11.5703125" style="1" customWidth="1"/>
    <col min="4" max="4" width="11.140625" style="1" customWidth="1"/>
    <col min="5" max="8" width="9.140625" style="1"/>
    <col min="9" max="9" width="2.7109375" style="1" customWidth="1"/>
    <col min="10" max="10" width="4" style="1" customWidth="1"/>
    <col min="11" max="16384" width="9.140625" style="1"/>
  </cols>
  <sheetData>
    <row r="1" spans="2:9" ht="27" customHeight="1" x14ac:dyDescent="0.25">
      <c r="B1" s="49" t="s">
        <v>40</v>
      </c>
      <c r="C1" s="49"/>
      <c r="D1" s="49"/>
      <c r="E1" s="49"/>
      <c r="F1" s="49"/>
      <c r="G1" s="49"/>
      <c r="H1" s="49"/>
      <c r="I1" s="49"/>
    </row>
    <row r="2" spans="2:9" ht="15.75" thickBot="1" x14ac:dyDescent="0.3">
      <c r="D2" s="5" t="s">
        <v>0</v>
      </c>
      <c r="E2" s="6" t="s">
        <v>1</v>
      </c>
      <c r="F2" s="6" t="s">
        <v>2</v>
      </c>
      <c r="G2" s="6" t="s">
        <v>3</v>
      </c>
      <c r="H2" s="7" t="s">
        <v>4</v>
      </c>
    </row>
    <row r="3" spans="2:9" ht="15.75" thickBot="1" x14ac:dyDescent="0.3">
      <c r="C3" s="2" t="s">
        <v>5</v>
      </c>
      <c r="D3" s="8">
        <v>4</v>
      </c>
      <c r="E3" s="9">
        <v>4.25</v>
      </c>
      <c r="F3" s="9">
        <v>4.5</v>
      </c>
      <c r="G3" s="9">
        <v>4.75</v>
      </c>
      <c r="H3" s="10">
        <v>5</v>
      </c>
    </row>
    <row r="4" spans="2:9" ht="15.75" thickBot="1" x14ac:dyDescent="0.3">
      <c r="C4" s="4" t="s">
        <v>6</v>
      </c>
      <c r="D4" s="11">
        <v>12</v>
      </c>
      <c r="E4" s="12">
        <v>12.5</v>
      </c>
      <c r="F4" s="12">
        <v>13</v>
      </c>
      <c r="G4" s="12">
        <v>13.5</v>
      </c>
      <c r="H4" s="13">
        <v>14</v>
      </c>
    </row>
    <row r="5" spans="2:9" ht="15.75" thickBot="1" x14ac:dyDescent="0.3">
      <c r="C5" s="2" t="s">
        <v>7</v>
      </c>
      <c r="D5" s="11">
        <v>24</v>
      </c>
      <c r="E5" s="12">
        <v>25</v>
      </c>
      <c r="F5" s="12">
        <v>26</v>
      </c>
      <c r="G5" s="12">
        <v>27</v>
      </c>
      <c r="H5" s="13">
        <v>28</v>
      </c>
    </row>
    <row r="6" spans="2:9" ht="15.75" thickBot="1" x14ac:dyDescent="0.3">
      <c r="C6" s="4" t="s">
        <v>8</v>
      </c>
      <c r="D6" s="11">
        <v>15</v>
      </c>
      <c r="E6" s="12">
        <v>15.5</v>
      </c>
      <c r="F6" s="12">
        <v>16</v>
      </c>
      <c r="G6" s="12">
        <v>16.5</v>
      </c>
      <c r="H6" s="13">
        <v>17</v>
      </c>
    </row>
    <row r="7" spans="2:9" x14ac:dyDescent="0.25">
      <c r="C7" s="2" t="s">
        <v>9</v>
      </c>
      <c r="D7" s="14">
        <v>30</v>
      </c>
      <c r="E7" s="15">
        <v>31</v>
      </c>
      <c r="F7" s="15">
        <v>32</v>
      </c>
      <c r="G7" s="15">
        <v>33</v>
      </c>
      <c r="H7" s="16">
        <v>34</v>
      </c>
    </row>
    <row r="9" spans="2:9" x14ac:dyDescent="0.25">
      <c r="C9" s="18" t="s">
        <v>10</v>
      </c>
      <c r="D9" s="18" t="s">
        <v>11</v>
      </c>
      <c r="F9" s="46" t="s">
        <v>12</v>
      </c>
      <c r="G9" s="46"/>
    </row>
    <row r="10" spans="2:9" ht="17.25" customHeight="1" x14ac:dyDescent="0.25">
      <c r="C10" s="2" t="s">
        <v>7</v>
      </c>
      <c r="D10" s="17" t="s">
        <v>2</v>
      </c>
      <c r="E10" s="3" t="s">
        <v>13</v>
      </c>
      <c r="F10" s="47">
        <f>INDEX($D$3:$H$7,MATCH(C10,C3:C7,0),MATCH(D10,D2:H2,0))</f>
        <v>26</v>
      </c>
      <c r="G10" s="48"/>
      <c r="H10" s="19"/>
    </row>
  </sheetData>
  <mergeCells count="3">
    <mergeCell ref="F9:G9"/>
    <mergeCell ref="F10:G10"/>
    <mergeCell ref="B1:I1"/>
  </mergeCells>
  <dataValidations count="2">
    <dataValidation type="list" allowBlank="1" showInputMessage="1" showErrorMessage="1" sqref="C10" xr:uid="{6CB1816D-6CDA-4A8A-A5E4-95C694194223}">
      <formula1>$C$3:$C$7</formula1>
    </dataValidation>
    <dataValidation type="list" allowBlank="1" showInputMessage="1" showErrorMessage="1" sqref="D10" xr:uid="{5E0610F0-AF2A-4B65-BD6F-E6851F37AFA2}">
      <formula1>$D$2:$H$2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77EC-AEC2-4EF3-A024-B3021D95A997}">
  <sheetPr>
    <tabColor theme="7" tint="0.59999389629810485"/>
  </sheetPr>
  <dimension ref="A1:O26"/>
  <sheetViews>
    <sheetView workbookViewId="0">
      <selection sqref="A1:G5"/>
    </sheetView>
  </sheetViews>
  <sheetFormatPr defaultRowHeight="12.75" x14ac:dyDescent="0.2"/>
  <cols>
    <col min="1" max="1" width="15.28515625" style="22" customWidth="1"/>
    <col min="2" max="2" width="15.42578125" style="22" customWidth="1"/>
    <col min="3" max="3" width="12.7109375" style="22" customWidth="1"/>
    <col min="5" max="5" width="15.42578125" customWidth="1"/>
    <col min="6" max="6" width="12.42578125" customWidth="1"/>
    <col min="7" max="7" width="11.28515625" customWidth="1"/>
  </cols>
  <sheetData>
    <row r="1" spans="1:15" ht="15" x14ac:dyDescent="0.25">
      <c r="A1" s="26" t="s">
        <v>14</v>
      </c>
      <c r="B1" s="27" t="s">
        <v>17</v>
      </c>
      <c r="C1" s="20" t="s">
        <v>22</v>
      </c>
      <c r="E1" s="21" t="s">
        <v>17</v>
      </c>
      <c r="F1" s="21" t="s">
        <v>16</v>
      </c>
      <c r="G1" s="21" t="s">
        <v>15</v>
      </c>
    </row>
    <row r="2" spans="1:15" x14ac:dyDescent="0.2">
      <c r="A2" s="29">
        <v>44016</v>
      </c>
      <c r="B2" s="30">
        <v>82.68</v>
      </c>
      <c r="C2" s="31">
        <f>VLOOKUP(B2,$F$2:$G$5,2,1)</f>
        <v>0.1</v>
      </c>
      <c r="E2" s="23" t="s">
        <v>18</v>
      </c>
      <c r="F2" s="28">
        <v>0</v>
      </c>
      <c r="G2" s="25">
        <v>0</v>
      </c>
    </row>
    <row r="3" spans="1:15" x14ac:dyDescent="0.2">
      <c r="A3" s="29">
        <v>24854</v>
      </c>
      <c r="B3" s="30">
        <v>4.95</v>
      </c>
      <c r="C3" s="31">
        <f t="shared" ref="C3:C26" si="0">VLOOKUP(B3,$F$2:$G$5,2,1)</f>
        <v>0</v>
      </c>
      <c r="E3" s="24" t="s">
        <v>19</v>
      </c>
      <c r="F3" s="28">
        <v>25</v>
      </c>
      <c r="G3" s="25">
        <v>0.05</v>
      </c>
    </row>
    <row r="4" spans="1:15" x14ac:dyDescent="0.2">
      <c r="A4" s="29">
        <v>37210</v>
      </c>
      <c r="B4" s="30">
        <v>93.98</v>
      </c>
      <c r="C4" s="31">
        <f t="shared" si="0"/>
        <v>0.1</v>
      </c>
      <c r="E4" s="24" t="s">
        <v>20</v>
      </c>
      <c r="F4" s="28">
        <v>50</v>
      </c>
      <c r="G4" s="25">
        <v>0.1</v>
      </c>
    </row>
    <row r="5" spans="1:15" ht="12.75" customHeight="1" x14ac:dyDescent="0.2">
      <c r="A5" s="29">
        <v>14622</v>
      </c>
      <c r="B5" s="30">
        <v>27.88</v>
      </c>
      <c r="C5" s="31">
        <f t="shared" si="0"/>
        <v>0.05</v>
      </c>
      <c r="E5" s="24" t="s">
        <v>21</v>
      </c>
      <c r="F5" s="28">
        <v>100</v>
      </c>
      <c r="G5" s="25">
        <v>0.2</v>
      </c>
      <c r="J5" s="50" t="s">
        <v>37</v>
      </c>
      <c r="K5" s="50"/>
      <c r="L5" s="50"/>
      <c r="M5" s="50"/>
      <c r="N5" s="50"/>
      <c r="O5" s="50"/>
    </row>
    <row r="6" spans="1:15" x14ac:dyDescent="0.2">
      <c r="A6" s="29">
        <v>36868</v>
      </c>
      <c r="B6" s="30">
        <v>100.29</v>
      </c>
      <c r="C6" s="31">
        <f t="shared" si="0"/>
        <v>0.2</v>
      </c>
      <c r="J6" s="50"/>
      <c r="K6" s="50"/>
      <c r="L6" s="50"/>
      <c r="M6" s="50"/>
      <c r="N6" s="50"/>
      <c r="O6" s="50"/>
    </row>
    <row r="7" spans="1:15" x14ac:dyDescent="0.2">
      <c r="A7" s="29">
        <v>37375</v>
      </c>
      <c r="B7" s="30">
        <v>88.12</v>
      </c>
      <c r="C7" s="31">
        <f t="shared" si="0"/>
        <v>0.1</v>
      </c>
      <c r="E7" s="22"/>
      <c r="F7" s="22"/>
      <c r="G7" s="22"/>
      <c r="J7" s="50"/>
      <c r="K7" s="50"/>
      <c r="L7" s="50"/>
      <c r="M7" s="50"/>
      <c r="N7" s="50"/>
      <c r="O7" s="50"/>
    </row>
    <row r="8" spans="1:15" x14ac:dyDescent="0.2">
      <c r="A8" s="29">
        <v>45660</v>
      </c>
      <c r="B8" s="30">
        <v>25</v>
      </c>
      <c r="C8" s="31">
        <f t="shared" si="0"/>
        <v>0.05</v>
      </c>
      <c r="E8" s="22"/>
      <c r="F8" s="22"/>
      <c r="G8" s="22"/>
      <c r="J8" s="50"/>
      <c r="K8" s="50"/>
      <c r="L8" s="50"/>
      <c r="M8" s="50"/>
      <c r="N8" s="50"/>
      <c r="O8" s="50"/>
    </row>
    <row r="9" spans="1:15" x14ac:dyDescent="0.2">
      <c r="A9" s="29">
        <v>27305</v>
      </c>
      <c r="B9" s="30">
        <v>20.65</v>
      </c>
      <c r="C9" s="31">
        <f t="shared" si="0"/>
        <v>0</v>
      </c>
      <c r="E9" s="22"/>
      <c r="F9" s="22"/>
      <c r="G9" s="22"/>
      <c r="J9" s="50"/>
      <c r="K9" s="50"/>
      <c r="L9" s="50"/>
      <c r="M9" s="50"/>
      <c r="N9" s="50"/>
      <c r="O9" s="50"/>
    </row>
    <row r="10" spans="1:15" x14ac:dyDescent="0.2">
      <c r="A10" s="29">
        <v>17826</v>
      </c>
      <c r="B10" s="30">
        <v>96.83</v>
      </c>
      <c r="C10" s="31">
        <f t="shared" si="0"/>
        <v>0.1</v>
      </c>
      <c r="E10" s="22"/>
      <c r="F10" s="22"/>
      <c r="G10" s="22"/>
      <c r="J10" s="50"/>
      <c r="K10" s="50"/>
      <c r="L10" s="50"/>
      <c r="M10" s="50"/>
      <c r="N10" s="50"/>
      <c r="O10" s="50"/>
    </row>
    <row r="11" spans="1:15" x14ac:dyDescent="0.2">
      <c r="A11" s="29">
        <v>31194</v>
      </c>
      <c r="B11" s="30">
        <v>17.559999999999999</v>
      </c>
      <c r="C11" s="31">
        <f t="shared" si="0"/>
        <v>0</v>
      </c>
      <c r="E11" s="22"/>
      <c r="F11" s="22"/>
      <c r="G11" s="22"/>
      <c r="J11" s="50"/>
      <c r="K11" s="50"/>
      <c r="L11" s="50"/>
      <c r="M11" s="50"/>
      <c r="N11" s="50"/>
      <c r="O11" s="50"/>
    </row>
    <row r="12" spans="1:15" x14ac:dyDescent="0.2">
      <c r="A12" s="29">
        <v>48711</v>
      </c>
      <c r="B12" s="30">
        <v>190.66</v>
      </c>
      <c r="C12" s="31">
        <f t="shared" si="0"/>
        <v>0.2</v>
      </c>
      <c r="E12" s="22"/>
      <c r="F12" s="22"/>
      <c r="G12" s="22"/>
      <c r="J12" s="50"/>
      <c r="K12" s="50"/>
      <c r="L12" s="50"/>
      <c r="M12" s="50"/>
      <c r="N12" s="50"/>
      <c r="O12" s="50"/>
    </row>
    <row r="13" spans="1:15" x14ac:dyDescent="0.2">
      <c r="A13" s="29">
        <v>20858</v>
      </c>
      <c r="B13" s="30">
        <v>80.89</v>
      </c>
      <c r="C13" s="31">
        <f t="shared" si="0"/>
        <v>0.1</v>
      </c>
      <c r="E13" s="22"/>
      <c r="F13" s="22"/>
      <c r="G13" s="22"/>
      <c r="J13" s="50"/>
      <c r="K13" s="50"/>
      <c r="L13" s="50"/>
      <c r="M13" s="50"/>
      <c r="N13" s="50"/>
      <c r="O13" s="50"/>
    </row>
    <row r="14" spans="1:15" x14ac:dyDescent="0.2">
      <c r="A14" s="29">
        <v>21517</v>
      </c>
      <c r="B14" s="30">
        <v>82.38</v>
      </c>
      <c r="C14" s="31">
        <f t="shared" si="0"/>
        <v>0.1</v>
      </c>
      <c r="E14" s="22"/>
      <c r="F14" s="22"/>
      <c r="G14" s="22"/>
      <c r="J14" s="45"/>
      <c r="K14" s="45"/>
      <c r="L14" s="45"/>
      <c r="M14" s="45"/>
      <c r="N14" s="45"/>
      <c r="O14" s="45"/>
    </row>
    <row r="15" spans="1:15" x14ac:dyDescent="0.2">
      <c r="A15" s="29">
        <v>31271</v>
      </c>
      <c r="B15" s="30">
        <v>49.19</v>
      </c>
      <c r="C15" s="31">
        <f t="shared" si="0"/>
        <v>0.05</v>
      </c>
      <c r="E15" s="22"/>
      <c r="F15" s="22"/>
      <c r="G15" s="22"/>
      <c r="J15" s="45"/>
      <c r="K15" s="45"/>
      <c r="L15" s="45"/>
      <c r="M15" s="45"/>
      <c r="N15" s="45"/>
      <c r="O15" s="45"/>
    </row>
    <row r="16" spans="1:15" x14ac:dyDescent="0.2">
      <c r="A16" s="29">
        <v>37455</v>
      </c>
      <c r="B16" s="30">
        <v>31.05</v>
      </c>
      <c r="C16" s="31">
        <f t="shared" si="0"/>
        <v>0.05</v>
      </c>
      <c r="E16" s="22"/>
      <c r="F16" s="22"/>
      <c r="G16" s="22"/>
      <c r="J16" s="45"/>
      <c r="K16" s="45"/>
      <c r="L16" s="45"/>
      <c r="M16" s="45"/>
      <c r="N16" s="45"/>
      <c r="O16" s="45"/>
    </row>
    <row r="17" spans="1:15" x14ac:dyDescent="0.2">
      <c r="A17" s="29">
        <v>20900</v>
      </c>
      <c r="B17" s="30">
        <v>49.94</v>
      </c>
      <c r="C17" s="31">
        <f t="shared" si="0"/>
        <v>0.05</v>
      </c>
      <c r="E17" s="22"/>
      <c r="F17" s="22"/>
      <c r="G17" s="22"/>
      <c r="J17" s="45"/>
      <c r="K17" s="45"/>
      <c r="L17" s="45"/>
      <c r="M17" s="45"/>
      <c r="N17" s="45"/>
      <c r="O17" s="45"/>
    </row>
    <row r="18" spans="1:15" x14ac:dyDescent="0.2">
      <c r="A18" s="29">
        <v>17275</v>
      </c>
      <c r="B18" s="30">
        <v>114.44</v>
      </c>
      <c r="C18" s="31">
        <f t="shared" si="0"/>
        <v>0.2</v>
      </c>
      <c r="E18" s="22"/>
      <c r="F18" s="22"/>
      <c r="G18" s="22"/>
      <c r="J18" s="45"/>
      <c r="K18" s="45"/>
      <c r="L18" s="45"/>
      <c r="M18" s="45"/>
      <c r="N18" s="45"/>
      <c r="O18" s="45"/>
    </row>
    <row r="19" spans="1:15" x14ac:dyDescent="0.2">
      <c r="A19" s="29">
        <v>20294</v>
      </c>
      <c r="B19" s="30">
        <v>100</v>
      </c>
      <c r="C19" s="31">
        <f t="shared" si="0"/>
        <v>0.2</v>
      </c>
      <c r="E19" s="22"/>
      <c r="F19" s="22"/>
      <c r="G19" s="22"/>
      <c r="J19" s="45"/>
      <c r="K19" s="45"/>
      <c r="L19" s="45"/>
      <c r="M19" s="45"/>
      <c r="N19" s="45"/>
      <c r="O19" s="45"/>
    </row>
    <row r="20" spans="1:15" x14ac:dyDescent="0.2">
      <c r="A20" s="29">
        <v>46458</v>
      </c>
      <c r="B20" s="30">
        <v>25.24</v>
      </c>
      <c r="C20" s="31">
        <f t="shared" si="0"/>
        <v>0.05</v>
      </c>
      <c r="E20" s="22"/>
      <c r="F20" s="22"/>
      <c r="G20" s="22"/>
      <c r="J20" s="45"/>
      <c r="K20" s="45"/>
      <c r="L20" s="45"/>
      <c r="M20" s="45"/>
      <c r="N20" s="45"/>
      <c r="O20" s="45"/>
    </row>
    <row r="21" spans="1:15" x14ac:dyDescent="0.2">
      <c r="A21" s="29">
        <v>26196</v>
      </c>
      <c r="B21" s="30">
        <v>24.42</v>
      </c>
      <c r="C21" s="31">
        <f t="shared" si="0"/>
        <v>0</v>
      </c>
      <c r="E21" s="22"/>
      <c r="F21" s="22"/>
      <c r="G21" s="22"/>
      <c r="J21" s="45"/>
      <c r="K21" s="45"/>
      <c r="L21" s="45"/>
      <c r="M21" s="45"/>
      <c r="N21" s="45"/>
      <c r="O21" s="45"/>
    </row>
    <row r="22" spans="1:15" x14ac:dyDescent="0.2">
      <c r="A22" s="29">
        <v>42833</v>
      </c>
      <c r="B22" s="30">
        <v>184.85</v>
      </c>
      <c r="C22" s="31">
        <f t="shared" si="0"/>
        <v>0.2</v>
      </c>
      <c r="E22" s="22"/>
      <c r="F22" s="22"/>
      <c r="G22" s="22"/>
      <c r="J22" s="45"/>
      <c r="K22" s="45"/>
      <c r="L22" s="45"/>
      <c r="M22" s="45"/>
      <c r="N22" s="45"/>
      <c r="O22" s="45"/>
    </row>
    <row r="23" spans="1:15" x14ac:dyDescent="0.2">
      <c r="A23" s="29">
        <v>25574</v>
      </c>
      <c r="B23" s="30">
        <v>85.92</v>
      </c>
      <c r="C23" s="31">
        <f t="shared" si="0"/>
        <v>0.1</v>
      </c>
      <c r="E23" s="22"/>
      <c r="F23" s="22"/>
      <c r="G23" s="22"/>
      <c r="J23" s="45"/>
      <c r="K23" s="45"/>
      <c r="L23" s="45"/>
      <c r="M23" s="45"/>
      <c r="N23" s="45"/>
      <c r="O23" s="45"/>
    </row>
    <row r="24" spans="1:15" x14ac:dyDescent="0.2">
      <c r="A24" s="29">
        <v>39469</v>
      </c>
      <c r="B24" s="30">
        <v>115.4</v>
      </c>
      <c r="C24" s="31">
        <f t="shared" si="0"/>
        <v>0.2</v>
      </c>
      <c r="E24" s="22"/>
      <c r="F24" s="22"/>
      <c r="G24" s="22"/>
      <c r="J24" s="45"/>
      <c r="K24" s="45"/>
      <c r="L24" s="45"/>
      <c r="M24" s="45"/>
      <c r="N24" s="45"/>
      <c r="O24" s="45"/>
    </row>
    <row r="25" spans="1:15" x14ac:dyDescent="0.2">
      <c r="A25" s="29">
        <v>11163</v>
      </c>
      <c r="B25" s="30">
        <v>89.5</v>
      </c>
      <c r="C25" s="31">
        <f t="shared" si="0"/>
        <v>0.1</v>
      </c>
      <c r="E25" s="22"/>
      <c r="F25" s="22"/>
      <c r="G25" s="22"/>
      <c r="J25" s="45"/>
      <c r="K25" s="45"/>
      <c r="L25" s="45"/>
      <c r="M25" s="45"/>
      <c r="N25" s="45"/>
      <c r="O25" s="45"/>
    </row>
    <row r="26" spans="1:15" x14ac:dyDescent="0.2">
      <c r="A26" s="29">
        <v>45925</v>
      </c>
      <c r="B26" s="30">
        <v>106.32</v>
      </c>
      <c r="C26" s="31">
        <f t="shared" si="0"/>
        <v>0.2</v>
      </c>
      <c r="E26" s="22"/>
      <c r="F26" s="22"/>
      <c r="G26" s="22"/>
      <c r="J26" s="45"/>
      <c r="K26" s="45"/>
      <c r="L26" s="45"/>
      <c r="M26" s="45"/>
      <c r="N26" s="45"/>
      <c r="O26" s="45"/>
    </row>
  </sheetData>
  <mergeCells count="1">
    <mergeCell ref="J5:O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5FC-C683-4E41-A289-448B9C915C6E}">
  <sheetPr>
    <tabColor theme="5" tint="0.59999389629810485"/>
  </sheetPr>
  <dimension ref="B1:I13"/>
  <sheetViews>
    <sheetView showGridLines="0" tabSelected="1" workbookViewId="0">
      <selection activeCell="G25" sqref="G25"/>
    </sheetView>
  </sheetViews>
  <sheetFormatPr defaultRowHeight="12.75" x14ac:dyDescent="0.2"/>
  <cols>
    <col min="1" max="1" width="3.5703125" customWidth="1"/>
    <col min="2" max="2" width="13" style="22" customWidth="1"/>
    <col min="3" max="5" width="11.42578125" customWidth="1"/>
    <col min="6" max="6" width="14.7109375" style="22" customWidth="1"/>
    <col min="7" max="7" width="16.7109375" customWidth="1"/>
    <col min="8" max="8" width="17.5703125" customWidth="1"/>
    <col min="13" max="13" width="8.85546875" customWidth="1"/>
  </cols>
  <sheetData>
    <row r="1" spans="2:9" ht="13.5" thickBot="1" x14ac:dyDescent="0.25"/>
    <row r="2" spans="2:9" ht="18.600000000000001" customHeight="1" thickBot="1" x14ac:dyDescent="0.25">
      <c r="B2" s="32"/>
      <c r="C2" s="51" t="s">
        <v>36</v>
      </c>
      <c r="D2" s="51"/>
      <c r="E2" s="51"/>
      <c r="F2" s="54">
        <v>3</v>
      </c>
    </row>
    <row r="3" spans="2:9" ht="17.45" customHeight="1" thickBot="1" x14ac:dyDescent="0.25">
      <c r="B3" s="33" t="s">
        <v>23</v>
      </c>
      <c r="C3" s="33">
        <v>2016</v>
      </c>
      <c r="D3" s="33">
        <v>2017</v>
      </c>
      <c r="E3" s="33">
        <v>2018</v>
      </c>
      <c r="F3" s="33" t="s">
        <v>38</v>
      </c>
    </row>
    <row r="4" spans="2:9" ht="15.75" thickBot="1" x14ac:dyDescent="0.3">
      <c r="B4" s="35" t="s">
        <v>24</v>
      </c>
      <c r="C4" s="36">
        <v>6.56</v>
      </c>
      <c r="D4" s="36">
        <v>6.4531914893617026</v>
      </c>
      <c r="E4" s="36">
        <v>6.4147058823529406</v>
      </c>
      <c r="F4" s="42">
        <f>AVERAGE(E4:CHOOSE($F$2,E4,D4,C4))</f>
        <v>6.4759657905715473</v>
      </c>
      <c r="G4" s="43" t="s">
        <v>25</v>
      </c>
      <c r="H4" s="38">
        <v>2017</v>
      </c>
      <c r="I4" s="34"/>
    </row>
    <row r="5" spans="2:9" ht="15.75" thickBot="1" x14ac:dyDescent="0.3">
      <c r="B5" s="35" t="s">
        <v>26</v>
      </c>
      <c r="C5" s="39">
        <v>6.5954545454545439</v>
      </c>
      <c r="D5" s="39">
        <v>6.8125</v>
      </c>
      <c r="E5" s="39">
        <v>6.8647058823529417</v>
      </c>
      <c r="F5" s="42">
        <f>AVERAGE(E5:CHOOSE($F$2,E5,D5,C5))</f>
        <v>6.7575534759358291</v>
      </c>
      <c r="G5" s="44" t="s">
        <v>27</v>
      </c>
      <c r="H5" s="38" t="s">
        <v>39</v>
      </c>
      <c r="I5" s="22">
        <f>IF(H5="AVG",1,IF(H5="MAX",2,3))</f>
        <v>1</v>
      </c>
    </row>
    <row r="6" spans="2:9" ht="15" x14ac:dyDescent="0.25">
      <c r="B6" s="35" t="s">
        <v>28</v>
      </c>
      <c r="C6" s="39">
        <v>7</v>
      </c>
      <c r="D6" s="39">
        <v>7.2</v>
      </c>
      <c r="E6" s="39">
        <v>7</v>
      </c>
      <c r="F6" s="42">
        <f>AVERAGE(E6:CHOOSE($F$2,E6,D6,C6))</f>
        <v>7.0666666666666664</v>
      </c>
      <c r="G6" s="37"/>
    </row>
    <row r="7" spans="2:9" ht="15" x14ac:dyDescent="0.25">
      <c r="B7" s="35" t="s">
        <v>29</v>
      </c>
      <c r="C7" s="39">
        <v>7.4916666666666671</v>
      </c>
      <c r="D7" s="39">
        <v>6.8642857142857148</v>
      </c>
      <c r="E7" s="39">
        <v>7.2153846153846155</v>
      </c>
      <c r="F7" s="42">
        <f>AVERAGE(E7:CHOOSE($F$2,E7,D7,C7))</f>
        <v>7.1904456654456652</v>
      </c>
      <c r="G7" s="52" t="str">
        <f>H5&amp;" RATING:"</f>
        <v>AVG RATING:</v>
      </c>
      <c r="H7" s="53">
        <f>CHOOSE(I5,AVERAGE(CHOOSE(MATCH(H4,C3:E3,0),C4:C13,D4:D13,E4:E13)),MAX(CHOOSE(MATCH(H4,C3:E3,0),C4:C13,D4:D13,E4:E13)),MIN(CHOOSE(MATCH(H4,C3:E3,0),C4:C13,D4:D13,E4:E13)))</f>
        <v>6.4229977203647408</v>
      </c>
    </row>
    <row r="8" spans="2:9" ht="15" x14ac:dyDescent="0.25">
      <c r="B8" s="35" t="s">
        <v>30</v>
      </c>
      <c r="C8" s="39">
        <v>6.2083333333333321</v>
      </c>
      <c r="D8" s="39">
        <v>6.1333333333333311</v>
      </c>
      <c r="E8" s="39">
        <v>6.3238095238095227</v>
      </c>
      <c r="F8" s="42">
        <f>AVERAGE(E8:CHOOSE($F$2,E8,D8,C8))</f>
        <v>6.2218253968253947</v>
      </c>
      <c r="G8" s="52"/>
      <c r="H8" s="53"/>
    </row>
    <row r="9" spans="2:9" ht="15" x14ac:dyDescent="0.25">
      <c r="B9" s="35" t="s">
        <v>31</v>
      </c>
      <c r="C9" s="39">
        <v>6.75</v>
      </c>
      <c r="D9" s="39">
        <v>6.8624999999999998</v>
      </c>
      <c r="E9" s="39">
        <v>6.7799999999999994</v>
      </c>
      <c r="F9" s="42">
        <f>AVERAGE(E9:CHOOSE($F$2,E9,D9,C9))</f>
        <v>6.7974999999999994</v>
      </c>
      <c r="G9" s="40"/>
    </row>
    <row r="10" spans="2:9" ht="15" x14ac:dyDescent="0.25">
      <c r="B10" s="35" t="s">
        <v>32</v>
      </c>
      <c r="C10" s="39">
        <v>5.75</v>
      </c>
      <c r="D10" s="39">
        <v>6.9499999999999993</v>
      </c>
      <c r="E10" s="39">
        <v>7.1</v>
      </c>
      <c r="F10" s="42">
        <f>AVERAGE(E10:CHOOSE($F$2,E10,D10,C10))</f>
        <v>6.5999999999999988</v>
      </c>
      <c r="G10" s="41"/>
    </row>
    <row r="11" spans="2:9" ht="15" x14ac:dyDescent="0.25">
      <c r="B11" s="35" t="s">
        <v>33</v>
      </c>
      <c r="C11" s="39">
        <v>6.6592592592592608</v>
      </c>
      <c r="D11" s="39">
        <v>6.5375000000000005</v>
      </c>
      <c r="E11" s="39">
        <v>6.5478260869565226</v>
      </c>
      <c r="F11" s="42">
        <f>AVERAGE(E11:CHOOSE($F$2,E11,D11,C11))</f>
        <v>6.5815284487385952</v>
      </c>
    </row>
    <row r="12" spans="2:9" ht="15" x14ac:dyDescent="0.25">
      <c r="B12" s="35" t="s">
        <v>34</v>
      </c>
      <c r="C12" s="39">
        <v>6.2666666666666657</v>
      </c>
      <c r="D12" s="39">
        <v>4.7</v>
      </c>
      <c r="E12" s="39">
        <v>6.1</v>
      </c>
      <c r="F12" s="42">
        <f>AVERAGE(E12:CHOOSE($F$2,E12,D12,C12))</f>
        <v>5.6888888888888873</v>
      </c>
    </row>
    <row r="13" spans="2:9" ht="15" x14ac:dyDescent="0.25">
      <c r="B13" s="35" t="s">
        <v>35</v>
      </c>
      <c r="C13" s="39">
        <v>6.083333333333333</v>
      </c>
      <c r="D13" s="39">
        <v>5.7166666666666659</v>
      </c>
      <c r="E13" s="39">
        <v>5.3500000000000005</v>
      </c>
      <c r="F13" s="42">
        <f>AVERAGE(E13:CHOOSE($F$2,E13,D13,C13))</f>
        <v>5.7166666666666659</v>
      </c>
    </row>
  </sheetData>
  <mergeCells count="3">
    <mergeCell ref="C2:E2"/>
    <mergeCell ref="G7:G8"/>
    <mergeCell ref="H7:H8"/>
  </mergeCells>
  <dataValidations count="2">
    <dataValidation type="list" allowBlank="1" showInputMessage="1" showErrorMessage="1" sqref="H4" xr:uid="{60085E47-6E28-4B22-A2C5-E5DFA51F8350}">
      <formula1>$C$3:$E$3</formula1>
    </dataValidation>
    <dataValidation type="list" allowBlank="1" showInputMessage="1" showErrorMessage="1" sqref="H5" xr:uid="{E34591A6-0243-4D43-AC88-AE690300A8DD}">
      <formula1>"AVG,MAX,MIN"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52B36-8DCE-41B8-BA2F-08A8D2809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Checker Example</vt:lpstr>
      <vt:lpstr>Fuzzy Match Lookup</vt:lpstr>
      <vt:lpstr>CHOOSE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pdaley</dc:creator>
  <cp:lastModifiedBy>sabbir hossain</cp:lastModifiedBy>
  <dcterms:created xsi:type="dcterms:W3CDTF">2005-01-06T20:29:10Z</dcterms:created>
  <dcterms:modified xsi:type="dcterms:W3CDTF">2026-07-24T15:24:49Z</dcterms:modified>
</cp:coreProperties>
</file>