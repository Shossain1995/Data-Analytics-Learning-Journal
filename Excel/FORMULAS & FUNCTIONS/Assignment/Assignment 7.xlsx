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14" documentId="13_ncr:1_{F9CD5552-FF96-4ACC-A599-559ACD647041}" xr6:coauthVersionLast="47" xr6:coauthVersionMax="47" xr10:uidLastSave="{3DBA0045-BD52-4F03-A4A6-33EA2A67E689}"/>
  <bookViews>
    <workbookView xWindow="-120" yWindow="-120" windowWidth="19440" windowHeight="15000" tabRatio="703" activeTab="2" xr2:uid="{00000000-000D-0000-FFFF-FFFF00000000}"/>
  </bookViews>
  <sheets>
    <sheet name="Price Checker Example" sheetId="10" r:id="rId1"/>
    <sheet name="Fuzzy Match Lookup" sheetId="13" r:id="rId2"/>
    <sheet name="XLOOKUP" sheetId="15" r:id="rId3"/>
    <sheet name="GDP Category" sheetId="19" r:id="rId4"/>
    <sheet name="CHOOSE" sheetId="14" r:id="rId5"/>
  </sheets>
  <definedNames>
    <definedName name="Impressions">INDEX(#REF!,MIN(#REF!,COUNT(#REF!)-MIN(#REF!,COUNT(#REF!))+1)):INDEX(#REF!,MIN(#REF!,COUNT(#REF!)-MIN(#REF!,COUNT(#REF!))+1)+MIN(#REF!,COUNT(#REF!))-1)</definedName>
    <definedName name="Month">INDEX(#REF!,MIN(#REF!,COUNT(#REF!)-MIN(#REF!,COUNT(#REF!))+1)):INDEX(#REF!,MIN(#REF!,COUNT(#REF!)-MIN(#REF!,COUNT(#REF!))+1)+MIN(#REF!,COUNT(#REF!))-1)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3" l="1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" i="13"/>
  <c r="F10" i="10"/>
  <c r="L11" i="15"/>
  <c r="L12" i="15" l="1"/>
  <c r="L13" i="15" s="1"/>
  <c r="L14" i="15" s="1"/>
  <c r="L15" i="15" s="1"/>
  <c r="L16" i="15" s="1"/>
  <c r="L17" i="15" s="1"/>
  <c r="L18" i="15" s="1"/>
  <c r="L19" i="15" s="1"/>
  <c r="L20" i="15" s="1"/>
  <c r="L21" i="15" s="1"/>
</calcChain>
</file>

<file path=xl/sharedStrings.xml><?xml version="1.0" encoding="utf-8"?>
<sst xmlns="http://schemas.openxmlformats.org/spreadsheetml/2006/main" count="899" uniqueCount="482">
  <si>
    <t>XSmall</t>
  </si>
  <si>
    <t>Small</t>
  </si>
  <si>
    <t>Medium</t>
  </si>
  <si>
    <t>Large</t>
  </si>
  <si>
    <t>XLarge</t>
  </si>
  <si>
    <t>Socks</t>
  </si>
  <si>
    <t>Shorts</t>
  </si>
  <si>
    <t>Pants</t>
  </si>
  <si>
    <t>T-Shirt</t>
  </si>
  <si>
    <t>Sweater</t>
  </si>
  <si>
    <t>Product:</t>
  </si>
  <si>
    <t>Size:</t>
  </si>
  <si>
    <t>Price</t>
  </si>
  <si>
    <t>=</t>
  </si>
  <si>
    <t>Order ID</t>
  </si>
  <si>
    <t>Discount</t>
  </si>
  <si>
    <t>Minimum</t>
  </si>
  <si>
    <t>Order Amount</t>
  </si>
  <si>
    <t>$0 - $24.99</t>
  </si>
  <si>
    <t>$25 - $49.99</t>
  </si>
  <si>
    <t>$50 - $99.99</t>
  </si>
  <si>
    <t>$100+</t>
  </si>
  <si>
    <t>Discount %</t>
  </si>
  <si>
    <t>Genre</t>
  </si>
  <si>
    <t>Action</t>
  </si>
  <si>
    <t>Select Year:</t>
  </si>
  <si>
    <t>Adventure</t>
  </si>
  <si>
    <t>Select Calculation: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</si>
  <si>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</si>
  <si>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</si>
  <si>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</si>
  <si>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</si>
  <si>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</si>
  <si>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</si>
  <si>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</si>
  <si>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</si>
  <si>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Region</t>
  </si>
  <si>
    <t>Afghanistan</t>
  </si>
  <si>
    <t>AFG</t>
  </si>
  <si>
    <t>South Asia</t>
  </si>
  <si>
    <t>Albania</t>
  </si>
  <si>
    <t>ALB</t>
  </si>
  <si>
    <t>Europe &amp; Central Asia</t>
  </si>
  <si>
    <t>Algeria</t>
  </si>
  <si>
    <t>DZA</t>
  </si>
  <si>
    <t>Middle East &amp; North Africa</t>
  </si>
  <si>
    <t>American Samoa</t>
  </si>
  <si>
    <t>ASM</t>
  </si>
  <si>
    <t>East Asia &amp; Pacific</t>
  </si>
  <si>
    <t>Andorra</t>
  </si>
  <si>
    <t>AND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</si>
  <si>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</si>
  <si>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</si>
  <si>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</si>
  <si>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</si>
  <si>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</si>
  <si>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</si>
  <si>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</si>
  <si>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</si>
  <si>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</si>
  <si>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</si>
  <si>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</si>
  <si>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</si>
  <si>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</si>
  <si>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</si>
  <si>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</si>
  <si>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</si>
  <si>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</si>
  <si>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</si>
  <si>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</si>
  <si>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</si>
  <si>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</si>
  <si>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</si>
  <si>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</si>
  <si>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</si>
  <si>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</si>
  <si>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</si>
  <si>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</si>
  <si>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</si>
  <si>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</si>
  <si>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</si>
  <si>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</si>
  <si>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</si>
  <si>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</si>
  <si>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</si>
  <si>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</si>
  <si>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</si>
  <si>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</si>
  <si>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</si>
  <si>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</si>
  <si>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</si>
  <si>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</si>
  <si>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</si>
  <si>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</si>
  <si>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</si>
  <si>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</si>
  <si>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</si>
  <si>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BRN</t>
  </si>
  <si>
    <t>Bulgaria</t>
  </si>
  <si>
    <t>BGR</t>
  </si>
  <si>
    <t>Burkina Faso</t>
  </si>
  <si>
    <t>BFA</t>
  </si>
  <si>
    <t>Burundi</t>
  </si>
  <si>
    <t>BDI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</si>
  <si>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</si>
  <si>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</si>
  <si>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</si>
  <si>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</si>
  <si>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</si>
  <si>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</si>
  <si>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</si>
  <si>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</si>
  <si>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</si>
  <si>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</si>
  <si>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</si>
  <si>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</si>
  <si>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</si>
  <si>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</si>
  <si>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</si>
  <si>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</si>
  <si>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</si>
  <si>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</si>
  <si>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</si>
  <si>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</si>
  <si>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</si>
  <si>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COD</t>
  </si>
  <si>
    <t>Costa Rica</t>
  </si>
  <si>
    <t>CRI</t>
  </si>
  <si>
    <t>CIV</t>
  </si>
  <si>
    <t>Croatia</t>
  </si>
  <si>
    <t>HRV</t>
  </si>
  <si>
    <t>Cuba</t>
  </si>
  <si>
    <t>CUB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</si>
  <si>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</si>
  <si>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</si>
  <si>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</si>
  <si>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</si>
  <si>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</si>
  <si>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</si>
  <si>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</si>
  <si>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</si>
  <si>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</si>
  <si>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</si>
  <si>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</si>
  <si>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</si>
  <si>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</si>
  <si>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</si>
  <si>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</si>
  <si>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</si>
  <si>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</si>
  <si>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</si>
  <si>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</si>
  <si>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</si>
  <si>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</si>
  <si>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</si>
  <si>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</si>
  <si>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</si>
  <si>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</si>
  <si>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</si>
  <si>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</si>
  <si>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</si>
  <si>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</si>
  <si>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</si>
  <si>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</si>
  <si>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</si>
  <si>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</si>
  <si>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</si>
  <si>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</si>
  <si>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</si>
  <si>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</si>
  <si>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</si>
  <si>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</si>
  <si>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</si>
  <si>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</si>
  <si>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</si>
  <si>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</si>
  <si>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</si>
  <si>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</si>
  <si>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</si>
  <si>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</si>
  <si>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</si>
  <si>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</si>
  <si>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</si>
  <si>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</si>
  <si>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</si>
  <si>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</si>
  <si>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</si>
  <si>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</si>
  <si>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</si>
  <si>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</si>
  <si>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</si>
  <si>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</si>
  <si>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</si>
  <si>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</si>
  <si>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</si>
  <si>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</si>
  <si>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</si>
  <si>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</si>
  <si>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</si>
  <si>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</si>
  <si>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</si>
  <si>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</si>
  <si>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</si>
  <si>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</si>
  <si>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</si>
  <si>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</si>
  <si>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</si>
  <si>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</si>
  <si>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</si>
  <si>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</si>
  <si>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</si>
  <si>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</si>
  <si>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</si>
  <si>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</si>
  <si>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</si>
  <si>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</si>
  <si>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</si>
  <si>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</si>
  <si>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</si>
  <si>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</si>
  <si>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</si>
  <si>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</si>
  <si>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</si>
  <si>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</si>
  <si>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</si>
  <si>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</si>
  <si>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</si>
  <si>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</si>
  <si>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</si>
  <si>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</si>
  <si>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</si>
  <si>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</si>
  <si>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</t>
  </si>
  <si>
    <t>Kuwait</t>
  </si>
  <si>
    <t>KWT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</si>
  <si>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</si>
  <si>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</si>
  <si>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</si>
  <si>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</si>
  <si>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</si>
  <si>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</si>
  <si>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</si>
  <si>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</si>
  <si>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</si>
  <si>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</si>
  <si>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</si>
  <si>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</si>
  <si>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</si>
  <si>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</si>
  <si>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</si>
  <si>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</si>
  <si>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</si>
  <si>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</si>
  <si>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</si>
  <si>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</si>
  <si>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</si>
  <si>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</si>
  <si>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</si>
  <si>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</si>
  <si>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</si>
  <si>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</si>
  <si>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</si>
  <si>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</si>
  <si>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</si>
  <si>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</si>
  <si>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</si>
  <si>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</si>
  <si>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</si>
  <si>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</si>
  <si>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</si>
  <si>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</si>
  <si>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</si>
  <si>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</si>
  <si>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</si>
  <si>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</si>
  <si>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</si>
  <si>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</si>
  <si>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</si>
  <si>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</si>
  <si>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</si>
  <si>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</si>
  <si>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</si>
  <si>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</si>
  <si>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</si>
  <si>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</si>
  <si>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</si>
  <si>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</si>
  <si>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</si>
  <si>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</si>
  <si>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</si>
  <si>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</si>
  <si>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</si>
  <si>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</si>
  <si>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</si>
  <si>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</si>
  <si>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</si>
  <si>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</si>
  <si>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</si>
  <si>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</si>
  <si>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</si>
  <si>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</si>
  <si>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</si>
  <si>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</si>
  <si>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</si>
  <si>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</si>
  <si>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</si>
  <si>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</si>
  <si>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</si>
  <si>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</si>
  <si>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</si>
  <si>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</si>
  <si>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</si>
  <si>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</si>
  <si>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</si>
  <si>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</si>
  <si>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</si>
  <si>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</si>
  <si>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</si>
  <si>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</si>
  <si>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</si>
  <si>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</si>
  <si>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</si>
  <si>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</si>
  <si>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</si>
  <si>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</si>
  <si>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</si>
  <si>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</si>
  <si>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</si>
  <si>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</si>
  <si>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</si>
  <si>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</si>
  <si>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</si>
  <si>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</si>
  <si>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</si>
  <si>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</si>
  <si>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</si>
  <si>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</si>
  <si>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</si>
  <si>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</si>
  <si>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</si>
  <si>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</si>
  <si>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San Marino</t>
  </si>
  <si>
    <t>SMR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</si>
  <si>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</si>
  <si>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</si>
  <si>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</si>
  <si>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</si>
  <si>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</si>
  <si>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</si>
  <si>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</si>
  <si>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</si>
  <si>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</si>
  <si>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</si>
  <si>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</si>
  <si>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</si>
  <si>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</si>
  <si>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SXM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</si>
  <si>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</si>
  <si>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</si>
  <si>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</si>
  <si>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</si>
  <si>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</si>
  <si>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</si>
  <si>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</si>
  <si>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</si>
  <si>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</si>
  <si>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</si>
  <si>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</si>
  <si>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</si>
  <si>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</si>
  <si>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</si>
  <si>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</si>
  <si>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KNA</t>
  </si>
  <si>
    <t>LCA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</si>
  <si>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</si>
  <si>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</si>
  <si>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</si>
  <si>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</si>
  <si>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</si>
  <si>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</si>
  <si>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</si>
  <si>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</si>
  <si>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</si>
  <si>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</si>
  <si>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</si>
  <si>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</si>
  <si>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</si>
  <si>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</si>
  <si>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</si>
  <si>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</si>
  <si>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</si>
  <si>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</si>
  <si>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</si>
  <si>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</si>
  <si>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</si>
  <si>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</si>
  <si>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</si>
  <si>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</si>
  <si>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</si>
  <si>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</si>
  <si>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</si>
  <si>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</si>
  <si>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</si>
  <si>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</si>
  <si>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</si>
  <si>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</si>
  <si>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</si>
  <si>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</si>
  <si>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</si>
  <si>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</si>
  <si>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</si>
  <si>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</si>
  <si>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</si>
  <si>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</si>
  <si>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</si>
  <si>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</si>
  <si>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</si>
  <si>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</si>
  <si>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</si>
  <si>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</si>
  <si>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</si>
  <si>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</si>
  <si>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</si>
  <si>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Vietnam</t>
  </si>
  <si>
    <t>VNM</t>
  </si>
  <si>
    <t>VIR</t>
  </si>
  <si>
    <t>YEM</t>
  </si>
  <si>
    <t>Zambia</t>
  </si>
  <si>
    <t>ZMB</t>
  </si>
  <si>
    <t>Zimbabwe</t>
  </si>
  <si>
    <t>ZWE</t>
  </si>
  <si>
    <t>Country</t>
  </si>
  <si>
    <t>Code</t>
  </si>
  <si>
    <t>GDP</t>
  </si>
  <si>
    <t>Bahamas</t>
  </si>
  <si>
    <t>Category</t>
  </si>
  <si>
    <t>Low</t>
  </si>
  <si>
    <t>Lower Middle</t>
  </si>
  <si>
    <t>Upper Middle</t>
  </si>
  <si>
    <t>High</t>
  </si>
  <si>
    <t>Very High</t>
  </si>
  <si>
    <t>Very Low</t>
  </si>
  <si>
    <t>GDP Category</t>
  </si>
  <si>
    <t>Egypt</t>
  </si>
  <si>
    <t>Select Country:</t>
  </si>
  <si>
    <t>GDP ($MM)</t>
  </si>
  <si>
    <t>Unemployment</t>
  </si>
  <si>
    <t>Index</t>
  </si>
  <si>
    <t>GENERAL INFO</t>
  </si>
  <si>
    <t>KEY METRICS</t>
  </si>
  <si>
    <t>Population</t>
  </si>
  <si>
    <t>Russia</t>
  </si>
  <si>
    <t>Iran</t>
  </si>
  <si>
    <t>Yemen</t>
  </si>
  <si>
    <t>Venezuela</t>
  </si>
  <si>
    <t>Ivory Coast</t>
  </si>
  <si>
    <t>Syria</t>
  </si>
  <si>
    <t>Hong Kong</t>
  </si>
  <si>
    <t>Kyrgyzstan</t>
  </si>
  <si>
    <t>Slovakia</t>
  </si>
  <si>
    <t>Congo</t>
  </si>
  <si>
    <t>Gambia</t>
  </si>
  <si>
    <t>Macau</t>
  </si>
  <si>
    <t>Cape Verde</t>
  </si>
  <si>
    <t>Brunei</t>
  </si>
  <si>
    <t>São Tomé and Príncipe</t>
  </si>
  <si>
    <t>Saint Lucia</t>
  </si>
  <si>
    <t>Curaçao</t>
  </si>
  <si>
    <t>Saint Vincent and the Grenadines</t>
  </si>
  <si>
    <t>U.S. Virgin Islands</t>
  </si>
  <si>
    <t>Saint Kitts and Nevis</t>
  </si>
  <si>
    <t>Sint Maarten</t>
  </si>
  <si>
    <r>
      <t>COUNTRY SCORECARD</t>
    </r>
    <r>
      <rPr>
        <sz val="16"/>
        <color theme="0"/>
        <rFont val="Calibri"/>
        <family val="2"/>
        <scheme val="minor"/>
      </rPr>
      <t xml:space="preserve"> (World Bank, 2018)</t>
    </r>
  </si>
  <si>
    <t>Life Expectancy</t>
  </si>
  <si>
    <r>
      <t xml:space="preserve">SIMILAR COUNTRIES </t>
    </r>
    <r>
      <rPr>
        <sz val="11"/>
        <color theme="0"/>
        <rFont val="Calibri"/>
        <family val="2"/>
        <scheme val="minor"/>
      </rPr>
      <t>(BY GDP)</t>
    </r>
  </si>
  <si>
    <t>IMDB RATINGS</t>
  </si>
  <si>
    <t>AVG RATING:</t>
  </si>
  <si>
    <t>Country Name</t>
  </si>
  <si>
    <t>GDP Index</t>
  </si>
  <si>
    <t>-</t>
  </si>
  <si>
    <t>Price Checker Using Index &amp; Match</t>
  </si>
  <si>
    <t>To calculate order-level discount percentages automatically by matching each customer's Order Amount against a predefined tiered discount slab table ($0–$24.99 = 0%, $25–$49.99 = 5%, $50–$99.99 = 10%, $100+ = 20%), using VLOOKUP with Approximate Match mode, so that discount assignment scales across hundreds of orders without manual slab-checking or nested IF statements — while ensuring the lookup table remains sorted in ascending order to prevent silent calculation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</si>
</sst>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5" formatCode="&quot;$&quot;#,##0.00"/>
    <numFmt numFmtId="166" formatCode="&quot;$&quot;#,##0"/>
    <numFmt numFmtId="167" formatCode="0.0%"/>
    <numFmt numFmtId="168" formatCode="#,##0.0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i/>
      <sz val="10"/>
      <name val="Arial"/>
      <family val="2"/>
    </font>
    <font>
      <b/>
      <sz val="22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thick">
        <color theme="0"/>
      </top>
      <bottom/>
      <diagonal/>
    </border>
    <border>
      <left/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</borders>
  <cellStyleXfs count="47">
    <xf numFmtId="0" fontId="0" fillId="0" borderId="0"/>
    <xf numFmtId="0" fontId="3" fillId="0" borderId="0"/>
    <xf numFmtId="0" fontId="2" fillId="0" borderId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9" applyNumberFormat="0" applyFill="0" applyAlignment="0" applyProtection="0"/>
    <xf numFmtId="0" fontId="19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22" applyNumberFormat="0" applyAlignment="0" applyProtection="0"/>
    <xf numFmtId="0" fontId="30" fillId="13" borderId="23" applyNumberFormat="0" applyAlignment="0" applyProtection="0"/>
    <xf numFmtId="0" fontId="31" fillId="13" borderId="22" applyNumberFormat="0" applyAlignment="0" applyProtection="0"/>
    <xf numFmtId="0" fontId="32" fillId="0" borderId="24" applyNumberFormat="0" applyFill="0" applyAlignment="0" applyProtection="0"/>
    <xf numFmtId="0" fontId="33" fillId="14" borderId="25" applyNumberFormat="0" applyAlignment="0" applyProtection="0"/>
    <xf numFmtId="0" fontId="34" fillId="0" borderId="0" applyNumberFormat="0" applyFill="0" applyBorder="0" applyAlignment="0" applyProtection="0"/>
    <xf numFmtId="0" fontId="25" fillId="15" borderId="26" applyNumberFormat="0" applyFont="0" applyAlignment="0" applyProtection="0"/>
    <xf numFmtId="0" fontId="35" fillId="0" borderId="0" applyNumberFormat="0" applyFill="0" applyBorder="0" applyAlignment="0" applyProtection="0"/>
    <xf numFmtId="0" fontId="23" fillId="0" borderId="27" applyNumberFormat="0" applyFill="0" applyAlignment="0" applyProtection="0"/>
    <xf numFmtId="0" fontId="36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36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36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36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36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36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37" fillId="0" borderId="0"/>
  </cellStyleXfs>
  <cellXfs count="114">
    <xf numFmtId="0" fontId="0" fillId="0" borderId="0" xfId="0"/>
    <xf numFmtId="0" fontId="2" fillId="0" borderId="0" xfId="2"/>
    <xf numFmtId="0" fontId="5" fillId="3" borderId="0" xfId="2" applyFont="1" applyFill="1" applyAlignment="1">
      <alignment horizontal="center"/>
    </xf>
    <xf numFmtId="0" fontId="2" fillId="0" borderId="0" xfId="2" applyAlignment="1">
      <alignment horizontal="center"/>
    </xf>
    <xf numFmtId="0" fontId="5" fillId="3" borderId="3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165" fontId="2" fillId="4" borderId="9" xfId="2" applyNumberFormat="1" applyFill="1" applyBorder="1" applyAlignment="1">
      <alignment horizontal="center"/>
    </xf>
    <xf numFmtId="165" fontId="2" fillId="4" borderId="10" xfId="2" applyNumberFormat="1" applyFill="1" applyBorder="1" applyAlignment="1">
      <alignment horizontal="center"/>
    </xf>
    <xf numFmtId="165" fontId="2" fillId="4" borderId="8" xfId="2" applyNumberFormat="1" applyFill="1" applyBorder="1" applyAlignment="1">
      <alignment horizontal="center"/>
    </xf>
    <xf numFmtId="165" fontId="2" fillId="4" borderId="5" xfId="2" applyNumberFormat="1" applyFill="1" applyBorder="1" applyAlignment="1">
      <alignment horizontal="center"/>
    </xf>
    <xf numFmtId="165" fontId="2" fillId="4" borderId="7" xfId="2" applyNumberFormat="1" applyFill="1" applyBorder="1" applyAlignment="1">
      <alignment horizontal="center"/>
    </xf>
    <xf numFmtId="165" fontId="2" fillId="4" borderId="3" xfId="2" applyNumberFormat="1" applyFill="1" applyBorder="1" applyAlignment="1">
      <alignment horizontal="center"/>
    </xf>
    <xf numFmtId="165" fontId="2" fillId="4" borderId="4" xfId="2" applyNumberFormat="1" applyFill="1" applyBorder="1" applyAlignment="1">
      <alignment horizontal="center"/>
    </xf>
    <xf numFmtId="165" fontId="2" fillId="4" borderId="6" xfId="2" applyNumberFormat="1" applyFill="1" applyBorder="1" applyAlignment="1">
      <alignment horizontal="center"/>
    </xf>
    <xf numFmtId="165" fontId="2" fillId="4" borderId="0" xfId="2" applyNumberFormat="1" applyFill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2" fillId="0" borderId="12" xfId="2" applyBorder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/>
    </xf>
    <xf numFmtId="49" fontId="8" fillId="4" borderId="0" xfId="0" applyNumberFormat="1" applyFont="1" applyFill="1" applyAlignment="1">
      <alignment horizontal="center"/>
    </xf>
    <xf numFmtId="9" fontId="10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3" fontId="5" fillId="7" borderId="0" xfId="0" applyNumberFormat="1" applyFont="1" applyFill="1" applyAlignment="1">
      <alignment horizontal="center"/>
    </xf>
    <xf numFmtId="6" fontId="9" fillId="4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0" fillId="0" borderId="15" xfId="0" applyBorder="1" applyAlignment="1">
      <alignment horizontal="center"/>
    </xf>
    <xf numFmtId="0" fontId="5" fillId="3" borderId="7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6" xfId="0" applyFont="1" applyBorder="1" applyAlignment="1">
      <alignment horizontal="left"/>
    </xf>
    <xf numFmtId="2" fontId="0" fillId="0" borderId="17" xfId="0" applyNumberFormat="1" applyBorder="1" applyAlignment="1">
      <alignment horizontal="center"/>
    </xf>
    <xf numFmtId="2" fontId="0" fillId="0" borderId="0" xfId="0" applyNumberFormat="1"/>
    <xf numFmtId="0" fontId="13" fillId="4" borderId="7" xfId="0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4" fillId="0" borderId="0" xfId="0" applyFont="1"/>
    <xf numFmtId="2" fontId="0" fillId="0" borderId="18" xfId="0" applyNumberFormat="1" applyBorder="1" applyAlignment="1">
      <alignment horizontal="center"/>
    </xf>
    <xf numFmtId="0" fontId="11" fillId="0" borderId="0" xfId="0" applyFont="1"/>
    <xf numFmtId="0" fontId="38" fillId="0" borderId="0" xfId="9" applyFont="1"/>
    <xf numFmtId="166" fontId="38" fillId="0" borderId="0" xfId="9" applyNumberFormat="1" applyFont="1"/>
    <xf numFmtId="166" fontId="11" fillId="0" borderId="0" xfId="0" applyNumberFormat="1" applyFont="1"/>
    <xf numFmtId="167" fontId="38" fillId="0" borderId="0" xfId="3" applyNumberFormat="1" applyFont="1"/>
    <xf numFmtId="168" fontId="38" fillId="0" borderId="0" xfId="9" applyNumberFormat="1" applyFont="1"/>
    <xf numFmtId="167" fontId="11" fillId="0" borderId="0" xfId="3" applyNumberFormat="1" applyFont="1"/>
    <xf numFmtId="0" fontId="39" fillId="0" borderId="0" xfId="0" applyFont="1"/>
    <xf numFmtId="3" fontId="11" fillId="0" borderId="0" xfId="0" applyNumberFormat="1" applyFont="1" applyAlignment="1">
      <alignment horizontal="left"/>
    </xf>
    <xf numFmtId="0" fontId="38" fillId="0" borderId="0" xfId="9" applyFont="1" applyAlignment="1">
      <alignment horizontal="center"/>
    </xf>
    <xf numFmtId="0" fontId="24" fillId="41" borderId="0" xfId="9" applyFont="1" applyFill="1"/>
    <xf numFmtId="0" fontId="39" fillId="40" borderId="0" xfId="0" applyFont="1" applyFill="1" applyAlignment="1">
      <alignment horizontal="left"/>
    </xf>
    <xf numFmtId="166" fontId="24" fillId="41" borderId="0" xfId="9" applyNumberFormat="1" applyFont="1" applyFill="1"/>
    <xf numFmtId="0" fontId="11" fillId="0" borderId="2" xfId="0" applyFont="1" applyBorder="1"/>
    <xf numFmtId="0" fontId="39" fillId="0" borderId="4" xfId="0" applyFont="1" applyBorder="1"/>
    <xf numFmtId="0" fontId="11" fillId="0" borderId="4" xfId="0" applyFont="1" applyBorder="1"/>
    <xf numFmtId="0" fontId="24" fillId="41" borderId="0" xfId="9" applyFont="1" applyFill="1" applyAlignment="1">
      <alignment horizontal="center"/>
    </xf>
    <xf numFmtId="0" fontId="11" fillId="0" borderId="6" xfId="0" applyFont="1" applyBorder="1"/>
    <xf numFmtId="3" fontId="11" fillId="0" borderId="0" xfId="0" applyNumberFormat="1" applyFont="1"/>
    <xf numFmtId="3" fontId="24" fillId="41" borderId="0" xfId="9" applyNumberFormat="1" applyFont="1" applyFill="1"/>
    <xf numFmtId="3" fontId="38" fillId="0" borderId="0" xfId="9" applyNumberFormat="1" applyFont="1"/>
    <xf numFmtId="0" fontId="48" fillId="42" borderId="32" xfId="0" applyFont="1" applyFill="1" applyBorder="1" applyAlignment="1">
      <alignment horizontal="center"/>
    </xf>
    <xf numFmtId="0" fontId="48" fillId="42" borderId="8" xfId="0" applyFont="1" applyFill="1" applyBorder="1" applyAlignment="1">
      <alignment horizontal="center"/>
    </xf>
    <xf numFmtId="0" fontId="49" fillId="0" borderId="6" xfId="0" applyFont="1" applyBorder="1"/>
    <xf numFmtId="0" fontId="48" fillId="42" borderId="33" xfId="0" applyFont="1" applyFill="1" applyBorder="1" applyAlignment="1">
      <alignment horizontal="center"/>
    </xf>
    <xf numFmtId="0" fontId="46" fillId="42" borderId="32" xfId="0" applyFont="1" applyFill="1" applyBorder="1" applyAlignment="1">
      <alignment horizontal="center"/>
    </xf>
    <xf numFmtId="168" fontId="11" fillId="2" borderId="0" xfId="0" applyNumberFormat="1" applyFont="1" applyFill="1" applyAlignment="1">
      <alignment horizontal="center"/>
    </xf>
    <xf numFmtId="3" fontId="11" fillId="2" borderId="28" xfId="0" applyNumberFormat="1" applyFont="1" applyFill="1" applyBorder="1" applyAlignment="1">
      <alignment horizontal="center"/>
    </xf>
    <xf numFmtId="167" fontId="11" fillId="2" borderId="34" xfId="3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3" fontId="11" fillId="2" borderId="7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48" fillId="42" borderId="39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50" fillId="0" borderId="0" xfId="0" applyNumberFormat="1" applyFont="1" applyAlignment="1">
      <alignment horizontal="right"/>
    </xf>
    <xf numFmtId="0" fontId="50" fillId="0" borderId="0" xfId="0" applyFont="1" applyAlignment="1">
      <alignment horizontal="right"/>
    </xf>
    <xf numFmtId="3" fontId="11" fillId="2" borderId="34" xfId="0" applyNumberFormat="1" applyFont="1" applyFill="1" applyBorder="1" applyAlignment="1">
      <alignment horizontal="center"/>
    </xf>
    <xf numFmtId="0" fontId="11" fillId="2" borderId="40" xfId="0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165" fontId="7" fillId="4" borderId="14" xfId="2" applyNumberFormat="1" applyFont="1" applyFill="1" applyBorder="1" applyAlignment="1">
      <alignment horizontal="center"/>
    </xf>
    <xf numFmtId="165" fontId="7" fillId="4" borderId="13" xfId="2" applyNumberFormat="1" applyFont="1" applyFill="1" applyBorder="1" applyAlignment="1">
      <alignment horizontal="center"/>
    </xf>
    <xf numFmtId="0" fontId="51" fillId="45" borderId="0" xfId="2" applyFont="1" applyFill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48" fillId="42" borderId="38" xfId="0" applyFont="1" applyFill="1" applyBorder="1" applyAlignment="1">
      <alignment horizontal="center"/>
    </xf>
    <xf numFmtId="0" fontId="48" fillId="42" borderId="31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41" fillId="43" borderId="0" xfId="0" applyFont="1" applyFill="1" applyAlignment="1">
      <alignment horizontal="center" vertical="center"/>
    </xf>
    <xf numFmtId="3" fontId="44" fillId="44" borderId="37" xfId="0" applyNumberFormat="1" applyFont="1" applyFill="1" applyBorder="1" applyAlignment="1">
      <alignment horizontal="center" vertical="center" wrapText="1"/>
    </xf>
    <xf numFmtId="3" fontId="44" fillId="44" borderId="0" xfId="0" applyNumberFormat="1" applyFont="1" applyFill="1" applyAlignment="1">
      <alignment horizontal="center" vertical="center" wrapText="1"/>
    </xf>
    <xf numFmtId="0" fontId="12" fillId="8" borderId="35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36" xfId="0" applyFont="1" applyFill="1" applyBorder="1" applyAlignment="1">
      <alignment horizontal="center"/>
    </xf>
    <xf numFmtId="0" fontId="47" fillId="0" borderId="4" xfId="0" applyFont="1" applyBorder="1" applyAlignment="1">
      <alignment horizontal="right" vertical="center"/>
    </xf>
    <xf numFmtId="0" fontId="45" fillId="6" borderId="30" xfId="0" applyFont="1" applyFill="1" applyBorder="1" applyAlignment="1">
      <alignment horizontal="center" vertical="center"/>
    </xf>
    <xf numFmtId="0" fontId="45" fillId="6" borderId="0" xfId="0" applyFont="1" applyFill="1" applyAlignment="1">
      <alignment horizontal="center" vertical="center"/>
    </xf>
    <xf numFmtId="0" fontId="40" fillId="43" borderId="0" xfId="0" applyFont="1" applyFill="1" applyAlignment="1">
      <alignment horizontal="center" vertical="center"/>
    </xf>
    <xf numFmtId="0" fontId="40" fillId="43" borderId="1" xfId="0" applyFont="1" applyFill="1" applyBorder="1" applyAlignment="1">
      <alignment horizontal="center" vertical="center"/>
    </xf>
    <xf numFmtId="166" fontId="44" fillId="44" borderId="37" xfId="0" applyNumberFormat="1" applyFont="1" applyFill="1" applyBorder="1" applyAlignment="1">
      <alignment horizontal="center" vertical="center"/>
    </xf>
    <xf numFmtId="166" fontId="44" fillId="44" borderId="0" xfId="0" applyNumberFormat="1" applyFont="1" applyFill="1" applyAlignment="1">
      <alignment horizontal="center" vertical="center"/>
    </xf>
    <xf numFmtId="3" fontId="43" fillId="44" borderId="37" xfId="0" applyNumberFormat="1" applyFont="1" applyFill="1" applyBorder="1" applyAlignment="1">
      <alignment horizontal="center" vertical="center"/>
    </xf>
    <xf numFmtId="3" fontId="43" fillId="44" borderId="0" xfId="0" applyNumberFormat="1" applyFont="1" applyFill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2" fontId="15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47">
    <cellStyle name="20% - Accent1 2" xfId="23" xr:uid="{882A8792-F2C6-430D-88B3-724C320CB32B}"/>
    <cellStyle name="20% - Accent2 2" xfId="27" xr:uid="{2A81B5CD-2504-40F8-A4A6-7F3AE247F08B}"/>
    <cellStyle name="20% - Accent3 2" xfId="31" xr:uid="{C83D67FC-69F5-4E17-B7D4-97ABF1D3B990}"/>
    <cellStyle name="20% - Accent4 2" xfId="35" xr:uid="{133439A3-926F-48FA-8493-C45B6BC8DA93}"/>
    <cellStyle name="20% - Accent5 2" xfId="39" xr:uid="{5AE3C2AA-31BC-4104-9A7E-F447A914F6D0}"/>
    <cellStyle name="20% - Accent6 2" xfId="43" xr:uid="{7C731281-BABB-457C-8732-BDBD10CDCC6D}"/>
    <cellStyle name="40% - Accent1 2" xfId="24" xr:uid="{E7C99E4C-FAA3-4B7E-B4F2-66DFAAB82107}"/>
    <cellStyle name="40% - Accent2 2" xfId="28" xr:uid="{E2BC79EB-49CE-4D38-9575-6BEBFBFC0C9E}"/>
    <cellStyle name="40% - Accent3 2" xfId="32" xr:uid="{946024AC-7AEE-4EEC-9279-F3313DDE69D7}"/>
    <cellStyle name="40% - Accent4 2" xfId="36" xr:uid="{A4BE2324-642B-4D60-944D-2E7A58FDCCF6}"/>
    <cellStyle name="40% - Accent5 2" xfId="40" xr:uid="{934ADA0B-583A-4F24-B3BA-4CD83274CBAF}"/>
    <cellStyle name="40% - Accent6 2" xfId="44" xr:uid="{AD0734AD-72D2-4487-AB8A-F3FE8466A0F4}"/>
    <cellStyle name="60% - Accent1 2" xfId="25" xr:uid="{B72CB7D0-2A23-4ED4-B287-DE9C69193871}"/>
    <cellStyle name="60% - Accent2 2" xfId="29" xr:uid="{7F42A10C-3170-42D6-A21C-6F62D9D717A4}"/>
    <cellStyle name="60% - Accent3 2" xfId="33" xr:uid="{8A12F80F-5AA4-40E7-8E67-E51E96C5B369}"/>
    <cellStyle name="60% - Accent4 2" xfId="37" xr:uid="{511E2484-9E81-4947-99C5-4DA6F78846D9}"/>
    <cellStyle name="60% - Accent5 2" xfId="41" xr:uid="{F09CC7D6-F18B-4524-92BD-798D299C0BD2}"/>
    <cellStyle name="60% - Accent6 2" xfId="45" xr:uid="{E8F78889-DCF7-447B-8C26-1466D7191201}"/>
    <cellStyle name="Accent1 2" xfId="22" xr:uid="{37F97C98-C26D-411C-9067-98B4C47355C2}"/>
    <cellStyle name="Accent2 2" xfId="26" xr:uid="{A22D264E-BF1F-4A48-BEAC-8FDD158CEB8C}"/>
    <cellStyle name="Accent3 2" xfId="30" xr:uid="{98C4CA87-16D2-427E-9707-98C006685B7A}"/>
    <cellStyle name="Accent4 2" xfId="34" xr:uid="{A122CF22-CE7E-47E6-AC2E-32548FDB2D8D}"/>
    <cellStyle name="Accent5 2" xfId="38" xr:uid="{7854E139-4883-4691-B381-009EF866D773}"/>
    <cellStyle name="Accent6 2" xfId="42" xr:uid="{FF85C58E-B126-42E7-9AD9-44301A014177}"/>
    <cellStyle name="Bad 2" xfId="11" xr:uid="{9384331C-9432-4CC8-BB22-DF8F2E9E9092}"/>
    <cellStyle name="Calculation 2" xfId="15" xr:uid="{6C6C8BB5-3686-4658-8A70-BB5AE63FD28E}"/>
    <cellStyle name="Check Cell 2" xfId="17" xr:uid="{33CADEC1-85B1-4F1C-AA3D-1FD2FE5229CA}"/>
    <cellStyle name="Explanatory Text 2" xfId="20" xr:uid="{FE5663BA-F4C1-435E-8AF7-E796A586D051}"/>
    <cellStyle name="Good 2" xfId="10" xr:uid="{06AF3748-DA2C-4036-B773-A424F02C94BF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 2" xfId="13" xr:uid="{D10243ED-B7F9-4E7D-AF28-3428F1C3F7C1}"/>
    <cellStyle name="Linked Cell 2" xfId="16" xr:uid="{711EB41F-7425-4B13-830C-22D2DB31BC55}"/>
    <cellStyle name="Neutral 2" xfId="12" xr:uid="{0194B931-A1D8-43BA-A498-7AC7904C61A1}"/>
    <cellStyle name="Normal" xfId="0" builtinId="0"/>
    <cellStyle name="Normal 2" xfId="1" xr:uid="{00000000-0005-0000-0000-000002000000}"/>
    <cellStyle name="Normal 2 2" xfId="46" xr:uid="{752C9C08-663F-4F1E-A63A-43FFD79C6DBD}"/>
    <cellStyle name="Normal 3" xfId="2" xr:uid="{00000000-0005-0000-0000-000003000000}"/>
    <cellStyle name="Normal 4" xfId="9" xr:uid="{DD0FB6C8-5C05-4036-AC8E-664D8BC7902E}"/>
    <cellStyle name="Note 2" xfId="19" xr:uid="{00309D23-11BC-4E65-91C9-5295046CDF69}"/>
    <cellStyle name="Output 2" xfId="14" xr:uid="{9EA78019-23BA-4720-A453-99EA6047B460}"/>
    <cellStyle name="Percent" xfId="3" builtinId="5"/>
    <cellStyle name="Title" xfId="4" builtinId="15" customBuiltin="1"/>
    <cellStyle name="Total 2" xfId="21" xr:uid="{5F0C9C5D-638C-439F-BC12-FA62B430C82C}"/>
    <cellStyle name="Warning Text 2" xfId="18" xr:uid="{0C9FFE86-E664-420B-B9B9-0C62EF3A2113}"/>
  </cellStyles>
  <dxfs count="16">
    <dxf>
      <font>
        <b/>
        <i val="0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71D6C-5F43-4963-BF96-1DA2CEA36C75}" name="Countries" displayName="Countries" ref="B2:J207" totalsRowShown="0" headerRowDxfId="15" dataDxfId="14" headerRowCellStyle="Normal 4">
  <autoFilter ref="B2:J207" xr:uid="{BB03DF3F-1510-4C2C-93F3-16897F77456B}"/>
  <sortState xmlns:xlrd2="http://schemas.microsoft.com/office/spreadsheetml/2017/richdata2" ref="B3:J207">
    <sortCondition ref="B2:B207"/>
  </sortState>
  <tableColumns count="9">
    <tableColumn id="1" xr3:uid="{FF1D1AB0-46B6-4960-A78D-F5BE334FF241}" name="Index" dataDxfId="13" dataCellStyle="Normal 4"/>
    <tableColumn id="8" xr3:uid="{39BFED20-B773-49DE-89B2-FCCC227A2CB3}" name="Code" dataDxfId="12" dataCellStyle="Normal 4"/>
    <tableColumn id="2" xr3:uid="{F72FE4DE-54F3-4E21-B22D-755E27B79877}" name="Country" dataDxfId="11" dataCellStyle="Normal 4"/>
    <tableColumn id="3" xr3:uid="{C54CD393-CF9E-490F-B220-E92A5238A98E}" name="Region" dataDxfId="10" dataCellStyle="Normal 4"/>
    <tableColumn id="4" xr3:uid="{A40644DE-6F25-46F8-B2D8-133FB4A2A907}" name="Life Expectancy" dataDxfId="9" dataCellStyle="Normal 4"/>
    <tableColumn id="10" xr3:uid="{00533F53-B565-40AC-94D2-14675C2E4620}" name="Population" dataDxfId="8" dataCellStyle="Normal 4"/>
    <tableColumn id="6" xr3:uid="{234E8993-698C-4FE3-AF9F-4EC0763F90F7}" name="Unemployment" dataDxfId="7" dataCellStyle="Percent"/>
    <tableColumn id="11" xr3:uid="{CE6D586A-7625-4B6A-A02F-50BD0FBA11C9}" name="GDP ($MM)" dataDxfId="6" dataCellStyle="Percent"/>
    <tableColumn id="7" xr3:uid="{47CD7567-7E89-4F26-A608-51468D49E09B}" name="GDP Category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1FEF6-28C3-43BC-9511-1580AD3AAFB6}" name="GDP_Category" displayName="GDP_Category" ref="B2:C9" totalsRowShown="0" headerRowDxfId="4" dataDxfId="3">
  <autoFilter ref="B2:C9" xr:uid="{91027B29-567D-4B68-9538-E7C6788A809A}"/>
  <tableColumns count="2">
    <tableColumn id="1" xr3:uid="{9BF93A24-4C24-4E9F-A425-3C2B21468922}" name="GDP" dataDxfId="2"/>
    <tableColumn id="2" xr3:uid="{6786F0FA-2C00-4F7E-BD8A-C5E149BF3A84}" name="Category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I10"/>
  <sheetViews>
    <sheetView showGridLines="0" workbookViewId="0">
      <selection activeCell="F17" sqref="F17"/>
    </sheetView>
  </sheetViews>
  <sheetFormatPr defaultColWidth="9.140625" defaultRowHeight="15" x14ac:dyDescent="0.25"/>
  <cols>
    <col min="1" max="1" width="4.85546875" style="1" customWidth="1"/>
    <col min="2" max="2" width="9.140625" style="1"/>
    <col min="3" max="3" width="11.5703125" style="1" customWidth="1"/>
    <col min="4" max="4" width="11.140625" style="1" customWidth="1"/>
    <col min="5" max="9" width="9.140625" style="1"/>
    <col min="10" max="10" width="4" style="1" customWidth="1"/>
    <col min="11" max="16384" width="9.140625" style="1"/>
  </cols>
  <sheetData>
    <row r="1" spans="2:9" ht="27" customHeight="1" x14ac:dyDescent="0.25">
      <c r="B1" s="83" t="s">
        <v>480</v>
      </c>
      <c r="C1" s="83"/>
      <c r="D1" s="83"/>
      <c r="E1" s="83"/>
      <c r="F1" s="83"/>
      <c r="G1" s="83"/>
      <c r="H1" s="83"/>
      <c r="I1" s="83"/>
    </row>
    <row r="2" spans="2:9" ht="15.75" thickBot="1" x14ac:dyDescent="0.3">
      <c r="D2" s="5" t="s">
        <v>0</v>
      </c>
      <c r="E2" s="6" t="s">
        <v>1</v>
      </c>
      <c r="F2" s="6" t="s">
        <v>2</v>
      </c>
      <c r="G2" s="6" t="s">
        <v>3</v>
      </c>
      <c r="H2" s="7" t="s">
        <v>4</v>
      </c>
    </row>
    <row r="3" spans="2:9" ht="15.75" thickBot="1" x14ac:dyDescent="0.3">
      <c r="C3" s="2" t="s">
        <v>5</v>
      </c>
      <c r="D3" s="8">
        <v>4</v>
      </c>
      <c r="E3" s="9">
        <v>4.25</v>
      </c>
      <c r="F3" s="9">
        <v>4.5</v>
      </c>
      <c r="G3" s="9">
        <v>4.75</v>
      </c>
      <c r="H3" s="10">
        <v>5</v>
      </c>
    </row>
    <row r="4" spans="2:9" ht="15.75" thickBot="1" x14ac:dyDescent="0.3">
      <c r="C4" s="4" t="s">
        <v>6</v>
      </c>
      <c r="D4" s="11">
        <v>12</v>
      </c>
      <c r="E4" s="12">
        <v>12.5</v>
      </c>
      <c r="F4" s="12">
        <v>13</v>
      </c>
      <c r="G4" s="12">
        <v>13.5</v>
      </c>
      <c r="H4" s="13">
        <v>14</v>
      </c>
    </row>
    <row r="5" spans="2:9" ht="15.75" thickBot="1" x14ac:dyDescent="0.3">
      <c r="C5" s="2" t="s">
        <v>7</v>
      </c>
      <c r="D5" s="11">
        <v>24</v>
      </c>
      <c r="E5" s="12">
        <v>25</v>
      </c>
      <c r="F5" s="12">
        <v>26</v>
      </c>
      <c r="G5" s="12">
        <v>27</v>
      </c>
      <c r="H5" s="13">
        <v>28</v>
      </c>
    </row>
    <row r="6" spans="2:9" ht="15.75" thickBot="1" x14ac:dyDescent="0.3">
      <c r="C6" s="4" t="s">
        <v>8</v>
      </c>
      <c r="D6" s="11">
        <v>15</v>
      </c>
      <c r="E6" s="12">
        <v>15.5</v>
      </c>
      <c r="F6" s="12">
        <v>16</v>
      </c>
      <c r="G6" s="12">
        <v>16.5</v>
      </c>
      <c r="H6" s="13">
        <v>17</v>
      </c>
    </row>
    <row r="7" spans="2:9" x14ac:dyDescent="0.25">
      <c r="C7" s="2" t="s">
        <v>9</v>
      </c>
      <c r="D7" s="14">
        <v>30</v>
      </c>
      <c r="E7" s="15">
        <v>31</v>
      </c>
      <c r="F7" s="15">
        <v>32</v>
      </c>
      <c r="G7" s="15">
        <v>33</v>
      </c>
      <c r="H7" s="16">
        <v>34</v>
      </c>
    </row>
    <row r="9" spans="2:9" x14ac:dyDescent="0.25">
      <c r="C9" s="18" t="s">
        <v>10</v>
      </c>
      <c r="D9" s="18" t="s">
        <v>11</v>
      </c>
      <c r="F9" s="80" t="s">
        <v>12</v>
      </c>
      <c r="G9" s="80"/>
    </row>
    <row r="10" spans="2:9" ht="17.25" customHeight="1" x14ac:dyDescent="0.25">
      <c r="C10" s="2" t="s">
        <v>7</v>
      </c>
      <c r="D10" s="17" t="s">
        <v>2</v>
      </c>
      <c r="E10" s="3" t="s">
        <v>13</v>
      </c>
      <c r="F10" s="81">
        <f>INDEX($D$3:$H$7,MATCH(C10,C3:C7,0),MATCH(D10,D2:H2,0))</f>
        <v>26</v>
      </c>
      <c r="G10" s="82"/>
      <c r="H10" s="19"/>
    </row>
  </sheetData>
  <mergeCells count="3">
    <mergeCell ref="F9:G9"/>
    <mergeCell ref="F10:G10"/>
    <mergeCell ref="B1:I1"/>
  </mergeCells>
  <dataValidations count="2">
    <dataValidation type="list" allowBlank="1" showInputMessage="1" showErrorMessage="1" sqref="C10" xr:uid="{6CB1816D-6CDA-4A8A-A5E4-95C694194223}">
      <formula1>$C$3:$C$7</formula1>
    </dataValidation>
    <dataValidation type="list" allowBlank="1" showInputMessage="1" showErrorMessage="1" sqref="D10" xr:uid="{5E0610F0-AF2A-4B65-BD6F-E6851F37AFA2}">
      <formula1>$D$2:$H$2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77EC-AEC2-4EF3-A024-B3021D95A997}">
  <sheetPr>
    <tabColor theme="7" tint="0.59999389629810485"/>
  </sheetPr>
  <dimension ref="A1:O26"/>
  <sheetViews>
    <sheetView workbookViewId="0">
      <selection activeCell="F18" sqref="F18"/>
    </sheetView>
  </sheetViews>
  <sheetFormatPr defaultRowHeight="12.75" x14ac:dyDescent="0.2"/>
  <cols>
    <col min="1" max="1" width="15.28515625" style="22" customWidth="1"/>
    <col min="2" max="2" width="15.42578125" style="22" customWidth="1"/>
    <col min="3" max="3" width="12.7109375" style="22" customWidth="1"/>
    <col min="5" max="5" width="15.42578125" customWidth="1"/>
    <col min="6" max="6" width="12.42578125" customWidth="1"/>
    <col min="7" max="7" width="11.28515625" customWidth="1"/>
  </cols>
  <sheetData>
    <row r="1" spans="1:15" ht="15" x14ac:dyDescent="0.25">
      <c r="A1" s="26" t="s">
        <v>14</v>
      </c>
      <c r="B1" s="27" t="s">
        <v>17</v>
      </c>
      <c r="C1" s="20" t="s">
        <v>22</v>
      </c>
      <c r="E1" s="21" t="s">
        <v>17</v>
      </c>
      <c r="F1" s="21" t="s">
        <v>16</v>
      </c>
      <c r="G1" s="21" t="s">
        <v>15</v>
      </c>
    </row>
    <row r="2" spans="1:15" x14ac:dyDescent="0.2">
      <c r="A2" s="29">
        <v>44016</v>
      </c>
      <c r="B2" s="30">
        <v>82.68</v>
      </c>
      <c r="C2" s="31">
        <f>VLOOKUP(B2,$F$2:$G$5,2,1)</f>
        <v>0.1</v>
      </c>
      <c r="E2" s="23" t="s">
        <v>18</v>
      </c>
      <c r="F2" s="28">
        <v>0</v>
      </c>
      <c r="G2" s="25">
        <v>0</v>
      </c>
    </row>
    <row r="3" spans="1:15" x14ac:dyDescent="0.2">
      <c r="A3" s="29">
        <v>24854</v>
      </c>
      <c r="B3" s="30">
        <v>4.95</v>
      </c>
      <c r="C3" s="31">
        <f t="shared" ref="C3:C26" si="0">VLOOKUP(B3,$F$2:$G$5,2,1)</f>
        <v>0</v>
      </c>
      <c r="E3" s="24" t="s">
        <v>19</v>
      </c>
      <c r="F3" s="28">
        <v>25</v>
      </c>
      <c r="G3" s="25">
        <v>0.05</v>
      </c>
    </row>
    <row r="4" spans="1:15" x14ac:dyDescent="0.2">
      <c r="A4" s="29">
        <v>37210</v>
      </c>
      <c r="B4" s="30">
        <v>93.98</v>
      </c>
      <c r="C4" s="31">
        <f t="shared" si="0"/>
        <v>0.1</v>
      </c>
      <c r="E4" s="24" t="s">
        <v>20</v>
      </c>
      <c r="F4" s="28">
        <v>50</v>
      </c>
      <c r="G4" s="25">
        <v>0.1</v>
      </c>
    </row>
    <row r="5" spans="1:15" ht="12.75" customHeight="1" x14ac:dyDescent="0.2">
      <c r="A5" s="29">
        <v>14622</v>
      </c>
      <c r="B5" s="30">
        <v>27.88</v>
      </c>
      <c r="C5" s="31">
        <f t="shared" si="0"/>
        <v>0.05</v>
      </c>
      <c r="E5" s="24" t="s">
        <v>21</v>
      </c>
      <c r="F5" s="28">
        <v>100</v>
      </c>
      <c r="G5" s="25">
        <v>0.2</v>
      </c>
      <c r="J5" s="112" t="s">
        <v>481</v>
      </c>
      <c r="K5" s="112"/>
      <c r="L5" s="112"/>
      <c r="M5" s="112"/>
      <c r="N5" s="112"/>
      <c r="O5" s="112"/>
    </row>
    <row r="6" spans="1:15" x14ac:dyDescent="0.2">
      <c r="A6" s="29">
        <v>36868</v>
      </c>
      <c r="B6" s="30">
        <v>100.29</v>
      </c>
      <c r="C6" s="31">
        <f t="shared" si="0"/>
        <v>0.2</v>
      </c>
      <c r="J6" s="112"/>
      <c r="K6" s="112"/>
      <c r="L6" s="112"/>
      <c r="M6" s="112"/>
      <c r="N6" s="112"/>
      <c r="O6" s="112"/>
    </row>
    <row r="7" spans="1:15" x14ac:dyDescent="0.2">
      <c r="A7" s="29">
        <v>37375</v>
      </c>
      <c r="B7" s="30">
        <v>88.12</v>
      </c>
      <c r="C7" s="31">
        <f t="shared" si="0"/>
        <v>0.1</v>
      </c>
      <c r="E7" s="22"/>
      <c r="F7" s="22"/>
      <c r="G7" s="22"/>
      <c r="J7" s="112"/>
      <c r="K7" s="112"/>
      <c r="L7" s="112"/>
      <c r="M7" s="112"/>
      <c r="N7" s="112"/>
      <c r="O7" s="112"/>
    </row>
    <row r="8" spans="1:15" x14ac:dyDescent="0.2">
      <c r="A8" s="29">
        <v>45660</v>
      </c>
      <c r="B8" s="30">
        <v>25</v>
      </c>
      <c r="C8" s="31">
        <f t="shared" si="0"/>
        <v>0.05</v>
      </c>
      <c r="E8" s="22"/>
      <c r="F8" s="22"/>
      <c r="G8" s="22"/>
      <c r="J8" s="112"/>
      <c r="K8" s="112"/>
      <c r="L8" s="112"/>
      <c r="M8" s="112"/>
      <c r="N8" s="112"/>
      <c r="O8" s="112"/>
    </row>
    <row r="9" spans="1:15" x14ac:dyDescent="0.2">
      <c r="A9" s="29">
        <v>27305</v>
      </c>
      <c r="B9" s="30">
        <v>20.65</v>
      </c>
      <c r="C9" s="31">
        <f t="shared" si="0"/>
        <v>0</v>
      </c>
      <c r="E9" s="22"/>
      <c r="F9" s="22"/>
      <c r="G9" s="22"/>
      <c r="J9" s="112"/>
      <c r="K9" s="112"/>
      <c r="L9" s="112"/>
      <c r="M9" s="112"/>
      <c r="N9" s="112"/>
      <c r="O9" s="112"/>
    </row>
    <row r="10" spans="1:15" x14ac:dyDescent="0.2">
      <c r="A10" s="29">
        <v>17826</v>
      </c>
      <c r="B10" s="30">
        <v>96.83</v>
      </c>
      <c r="C10" s="31">
        <f t="shared" si="0"/>
        <v>0.1</v>
      </c>
      <c r="E10" s="22"/>
      <c r="F10" s="22"/>
      <c r="G10" s="22"/>
      <c r="J10" s="112"/>
      <c r="K10" s="112"/>
      <c r="L10" s="112"/>
      <c r="M10" s="112"/>
      <c r="N10" s="112"/>
      <c r="O10" s="112"/>
    </row>
    <row r="11" spans="1:15" x14ac:dyDescent="0.2">
      <c r="A11" s="29">
        <v>31194</v>
      </c>
      <c r="B11" s="30">
        <v>17.559999999999999</v>
      </c>
      <c r="C11" s="31">
        <f t="shared" si="0"/>
        <v>0</v>
      </c>
      <c r="E11" s="22"/>
      <c r="F11" s="22"/>
      <c r="G11" s="22"/>
      <c r="J11" s="112"/>
      <c r="K11" s="112"/>
      <c r="L11" s="112"/>
      <c r="M11" s="112"/>
      <c r="N11" s="112"/>
      <c r="O11" s="112"/>
    </row>
    <row r="12" spans="1:15" x14ac:dyDescent="0.2">
      <c r="A12" s="29">
        <v>48711</v>
      </c>
      <c r="B12" s="30">
        <v>190.66</v>
      </c>
      <c r="C12" s="31">
        <f t="shared" si="0"/>
        <v>0.2</v>
      </c>
      <c r="E12" s="22"/>
      <c r="F12" s="22"/>
      <c r="G12" s="22"/>
      <c r="J12" s="112"/>
      <c r="K12" s="112"/>
      <c r="L12" s="112"/>
      <c r="M12" s="112"/>
      <c r="N12" s="112"/>
      <c r="O12" s="112"/>
    </row>
    <row r="13" spans="1:15" x14ac:dyDescent="0.2">
      <c r="A13" s="29">
        <v>20858</v>
      </c>
      <c r="B13" s="30">
        <v>80.89</v>
      </c>
      <c r="C13" s="31">
        <f t="shared" si="0"/>
        <v>0.1</v>
      </c>
      <c r="E13" s="22"/>
      <c r="F13" s="22"/>
      <c r="G13" s="22"/>
      <c r="J13" s="112"/>
      <c r="K13" s="112"/>
      <c r="L13" s="112"/>
      <c r="M13" s="112"/>
      <c r="N13" s="112"/>
      <c r="O13" s="112"/>
    </row>
    <row r="14" spans="1:15" x14ac:dyDescent="0.2">
      <c r="A14" s="29">
        <v>21517</v>
      </c>
      <c r="B14" s="30">
        <v>82.38</v>
      </c>
      <c r="C14" s="31">
        <f t="shared" si="0"/>
        <v>0.1</v>
      </c>
      <c r="E14" s="22"/>
      <c r="F14" s="22"/>
      <c r="G14" s="22"/>
      <c r="J14" s="113"/>
      <c r="K14" s="113"/>
      <c r="L14" s="113"/>
      <c r="M14" s="113"/>
      <c r="N14" s="113"/>
      <c r="O14" s="113"/>
    </row>
    <row r="15" spans="1:15" x14ac:dyDescent="0.2">
      <c r="A15" s="29">
        <v>31271</v>
      </c>
      <c r="B15" s="30">
        <v>49.19</v>
      </c>
      <c r="C15" s="31">
        <f t="shared" si="0"/>
        <v>0.05</v>
      </c>
      <c r="E15" s="22"/>
      <c r="F15" s="22"/>
      <c r="G15" s="22"/>
      <c r="J15" s="113"/>
      <c r="K15" s="113"/>
      <c r="L15" s="113"/>
      <c r="M15" s="113"/>
      <c r="N15" s="113"/>
      <c r="O15" s="113"/>
    </row>
    <row r="16" spans="1:15" x14ac:dyDescent="0.2">
      <c r="A16" s="29">
        <v>37455</v>
      </c>
      <c r="B16" s="30">
        <v>31.05</v>
      </c>
      <c r="C16" s="31">
        <f t="shared" si="0"/>
        <v>0.05</v>
      </c>
      <c r="E16" s="22"/>
      <c r="F16" s="22"/>
      <c r="G16" s="22"/>
      <c r="J16" s="113"/>
      <c r="K16" s="113"/>
      <c r="L16" s="113"/>
      <c r="M16" s="113"/>
      <c r="N16" s="113"/>
      <c r="O16" s="113"/>
    </row>
    <row r="17" spans="1:15" x14ac:dyDescent="0.2">
      <c r="A17" s="29">
        <v>20900</v>
      </c>
      <c r="B17" s="30">
        <v>49.94</v>
      </c>
      <c r="C17" s="31">
        <f t="shared" si="0"/>
        <v>0.05</v>
      </c>
      <c r="E17" s="22"/>
      <c r="F17" s="22"/>
      <c r="G17" s="22"/>
      <c r="J17" s="113"/>
      <c r="K17" s="113"/>
      <c r="L17" s="113"/>
      <c r="M17" s="113"/>
      <c r="N17" s="113"/>
      <c r="O17" s="113"/>
    </row>
    <row r="18" spans="1:15" x14ac:dyDescent="0.2">
      <c r="A18" s="29">
        <v>17275</v>
      </c>
      <c r="B18" s="30">
        <v>114.44</v>
      </c>
      <c r="C18" s="31">
        <f t="shared" si="0"/>
        <v>0.2</v>
      </c>
      <c r="E18" s="22"/>
      <c r="F18" s="22"/>
      <c r="G18" s="22"/>
      <c r="J18" s="113"/>
      <c r="K18" s="113"/>
      <c r="L18" s="113"/>
      <c r="M18" s="113"/>
      <c r="N18" s="113"/>
      <c r="O18" s="113"/>
    </row>
    <row r="19" spans="1:15" x14ac:dyDescent="0.2">
      <c r="A19" s="29">
        <v>20294</v>
      </c>
      <c r="B19" s="30">
        <v>100</v>
      </c>
      <c r="C19" s="31">
        <f t="shared" si="0"/>
        <v>0.2</v>
      </c>
      <c r="E19" s="22"/>
      <c r="F19" s="22"/>
      <c r="G19" s="22"/>
      <c r="J19" s="113"/>
      <c r="K19" s="113"/>
      <c r="L19" s="113"/>
      <c r="M19" s="113"/>
      <c r="N19" s="113"/>
      <c r="O19" s="113"/>
    </row>
    <row r="20" spans="1:15" x14ac:dyDescent="0.2">
      <c r="A20" s="29">
        <v>46458</v>
      </c>
      <c r="B20" s="30">
        <v>25.24</v>
      </c>
      <c r="C20" s="31">
        <f t="shared" si="0"/>
        <v>0.05</v>
      </c>
      <c r="E20" s="22"/>
      <c r="F20" s="22"/>
      <c r="G20" s="22"/>
      <c r="J20" s="113"/>
      <c r="K20" s="113"/>
      <c r="L20" s="113"/>
      <c r="M20" s="113"/>
      <c r="N20" s="113"/>
      <c r="O20" s="113"/>
    </row>
    <row r="21" spans="1:15" x14ac:dyDescent="0.2">
      <c r="A21" s="29">
        <v>26196</v>
      </c>
      <c r="B21" s="30">
        <v>24.42</v>
      </c>
      <c r="C21" s="31">
        <f t="shared" si="0"/>
        <v>0</v>
      </c>
      <c r="E21" s="22"/>
      <c r="F21" s="22"/>
      <c r="G21" s="22"/>
      <c r="J21" s="113"/>
      <c r="K21" s="113"/>
      <c r="L21" s="113"/>
      <c r="M21" s="113"/>
      <c r="N21" s="113"/>
      <c r="O21" s="113"/>
    </row>
    <row r="22" spans="1:15" x14ac:dyDescent="0.2">
      <c r="A22" s="29">
        <v>42833</v>
      </c>
      <c r="B22" s="30">
        <v>184.85</v>
      </c>
      <c r="C22" s="31">
        <f t="shared" si="0"/>
        <v>0.2</v>
      </c>
      <c r="E22" s="22"/>
      <c r="F22" s="22"/>
      <c r="G22" s="22"/>
      <c r="J22" s="113"/>
      <c r="K22" s="113"/>
      <c r="L22" s="113"/>
      <c r="M22" s="113"/>
      <c r="N22" s="113"/>
      <c r="O22" s="113"/>
    </row>
    <row r="23" spans="1:15" x14ac:dyDescent="0.2">
      <c r="A23" s="29">
        <v>25574</v>
      </c>
      <c r="B23" s="30">
        <v>85.92</v>
      </c>
      <c r="C23" s="31">
        <f t="shared" si="0"/>
        <v>0.1</v>
      </c>
      <c r="E23" s="22"/>
      <c r="F23" s="22"/>
      <c r="G23" s="22"/>
      <c r="J23" s="113"/>
      <c r="K23" s="113"/>
      <c r="L23" s="113"/>
      <c r="M23" s="113"/>
      <c r="N23" s="113"/>
      <c r="O23" s="113"/>
    </row>
    <row r="24" spans="1:15" x14ac:dyDescent="0.2">
      <c r="A24" s="29">
        <v>39469</v>
      </c>
      <c r="B24" s="30">
        <v>115.4</v>
      </c>
      <c r="C24" s="31">
        <f t="shared" si="0"/>
        <v>0.2</v>
      </c>
      <c r="E24" s="22"/>
      <c r="F24" s="22"/>
      <c r="G24" s="22"/>
      <c r="J24" s="113"/>
      <c r="K24" s="113"/>
      <c r="L24" s="113"/>
      <c r="M24" s="113"/>
      <c r="N24" s="113"/>
      <c r="O24" s="113"/>
    </row>
    <row r="25" spans="1:15" x14ac:dyDescent="0.2">
      <c r="A25" s="29">
        <v>11163</v>
      </c>
      <c r="B25" s="30">
        <v>89.5</v>
      </c>
      <c r="C25" s="31">
        <f t="shared" si="0"/>
        <v>0.1</v>
      </c>
      <c r="E25" s="22"/>
      <c r="F25" s="22"/>
      <c r="G25" s="22"/>
      <c r="J25" s="113"/>
      <c r="K25" s="113"/>
      <c r="L25" s="113"/>
      <c r="M25" s="113"/>
      <c r="N25" s="113"/>
      <c r="O25" s="113"/>
    </row>
    <row r="26" spans="1:15" x14ac:dyDescent="0.2">
      <c r="A26" s="29">
        <v>45925</v>
      </c>
      <c r="B26" s="30">
        <v>106.32</v>
      </c>
      <c r="C26" s="31">
        <f t="shared" si="0"/>
        <v>0.2</v>
      </c>
      <c r="E26" s="22"/>
      <c r="F26" s="22"/>
      <c r="G26" s="22"/>
      <c r="J26" s="113"/>
      <c r="K26" s="113"/>
      <c r="L26" s="113"/>
      <c r="M26" s="113"/>
      <c r="N26" s="113"/>
      <c r="O26" s="113"/>
    </row>
  </sheetData>
  <mergeCells count="1">
    <mergeCell ref="J5:O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20F-7FF0-49B7-ACAA-4C5AA6B6E258}">
  <sheetPr>
    <tabColor theme="4" tint="0.79998168889431442"/>
  </sheetPr>
  <dimension ref="B1:W207"/>
  <sheetViews>
    <sheetView showGridLines="0" tabSelected="1" topLeftCell="J1" zoomScaleNormal="100" workbookViewId="0">
      <selection activeCell="M10" sqref="M10"/>
    </sheetView>
  </sheetViews>
  <sheetFormatPr defaultColWidth="8.85546875" defaultRowHeight="12.75" x14ac:dyDescent="0.2"/>
  <cols>
    <col min="1" max="1" width="3.140625" style="42" customWidth="1"/>
    <col min="2" max="2" width="9.85546875" style="29" bestFit="1" customWidth="1"/>
    <col min="3" max="3" width="8.42578125" style="42" customWidth="1"/>
    <col min="4" max="4" width="24.7109375" style="42" customWidth="1"/>
    <col min="5" max="5" width="22.42578125" style="42" customWidth="1"/>
    <col min="6" max="6" width="15.28515625" style="45" customWidth="1"/>
    <col min="7" max="7" width="15.7109375" style="60" customWidth="1"/>
    <col min="8" max="8" width="15.7109375" style="42" bestFit="1" customWidth="1"/>
    <col min="9" max="9" width="15.7109375" style="42" customWidth="1"/>
    <col min="10" max="10" width="14.7109375" style="42" customWidth="1"/>
    <col min="11" max="11" width="8.140625" style="42" customWidth="1"/>
    <col min="12" max="12" width="8.28515625" style="42" customWidth="1"/>
    <col min="13" max="13" width="21.42578125" style="42" customWidth="1"/>
    <col min="14" max="14" width="23.7109375" style="42" customWidth="1"/>
    <col min="15" max="15" width="12.7109375" style="42" customWidth="1"/>
    <col min="16" max="16" width="0.7109375" style="42" customWidth="1"/>
    <col min="17" max="17" width="16.85546875" style="42" customWidth="1"/>
    <col min="18" max="18" width="15.7109375" style="42" customWidth="1"/>
    <col min="19" max="19" width="13.7109375" style="42" customWidth="1"/>
    <col min="20" max="20" width="0.7109375" style="42" customWidth="1"/>
    <col min="21" max="21" width="23" style="42" customWidth="1"/>
    <col min="22" max="22" width="11.140625" style="29" customWidth="1"/>
    <col min="23" max="23" width="14.5703125" style="42" hidden="1" customWidth="1"/>
    <col min="24" max="16384" width="8.85546875" style="42"/>
  </cols>
  <sheetData>
    <row r="1" spans="2:23" ht="18.600000000000001" customHeight="1" x14ac:dyDescent="0.2">
      <c r="W1" s="42" t="s">
        <v>37</v>
      </c>
    </row>
    <row r="2" spans="2:23" s="49" customFormat="1" ht="13.9" customHeight="1" x14ac:dyDescent="0.2">
      <c r="B2" s="58" t="s">
        <v>447</v>
      </c>
      <c r="C2" s="52" t="s">
        <v>432</v>
      </c>
      <c r="D2" s="52" t="s">
        <v>431</v>
      </c>
      <c r="E2" s="52" t="s">
        <v>36</v>
      </c>
      <c r="F2" s="54" t="s">
        <v>473</v>
      </c>
      <c r="G2" s="61" t="s">
        <v>450</v>
      </c>
      <c r="H2" s="52" t="s">
        <v>446</v>
      </c>
      <c r="I2" s="54" t="s">
        <v>445</v>
      </c>
      <c r="J2" s="52" t="s">
        <v>442</v>
      </c>
      <c r="K2" s="56"/>
      <c r="L2" s="94" t="s">
        <v>472</v>
      </c>
      <c r="M2" s="94"/>
      <c r="N2" s="94"/>
      <c r="O2" s="94"/>
      <c r="P2" s="94"/>
      <c r="Q2" s="94"/>
      <c r="R2" s="100" t="s">
        <v>444</v>
      </c>
      <c r="S2" s="101" t="s">
        <v>222</v>
      </c>
      <c r="T2" s="102"/>
      <c r="U2" s="102"/>
      <c r="W2" s="42" t="s">
        <v>40</v>
      </c>
    </row>
    <row r="3" spans="2:23" ht="13.9" customHeight="1" x14ac:dyDescent="0.2">
      <c r="B3" s="51">
        <v>1</v>
      </c>
      <c r="C3" s="43" t="s">
        <v>415</v>
      </c>
      <c r="D3" s="43" t="s">
        <v>414</v>
      </c>
      <c r="E3" s="43" t="s">
        <v>86</v>
      </c>
      <c r="F3" s="47">
        <v>78.539000000000001</v>
      </c>
      <c r="G3" s="62">
        <v>329064917</v>
      </c>
      <c r="H3" s="46">
        <v>3.9329999999999997E-2</v>
      </c>
      <c r="I3" s="44">
        <v>20500000</v>
      </c>
      <c r="K3" s="57"/>
      <c r="L3" s="94"/>
      <c r="M3" s="94"/>
      <c r="N3" s="94"/>
      <c r="O3" s="94"/>
      <c r="P3" s="94"/>
      <c r="Q3" s="94"/>
      <c r="R3" s="100"/>
      <c r="S3" s="101"/>
      <c r="T3" s="102"/>
      <c r="U3" s="102"/>
      <c r="V3" s="42"/>
      <c r="W3" s="42" t="s">
        <v>43</v>
      </c>
    </row>
    <row r="4" spans="2:23" x14ac:dyDescent="0.2">
      <c r="B4" s="51">
        <v>2</v>
      </c>
      <c r="C4" s="43" t="s">
        <v>120</v>
      </c>
      <c r="D4" s="43" t="s">
        <v>119</v>
      </c>
      <c r="E4" s="43" t="s">
        <v>48</v>
      </c>
      <c r="F4" s="47">
        <v>76.47</v>
      </c>
      <c r="G4" s="62">
        <v>1433783686</v>
      </c>
      <c r="H4" s="46">
        <v>4.4170000000000001E-2</v>
      </c>
      <c r="I4" s="44">
        <v>13600000</v>
      </c>
      <c r="V4" s="42"/>
      <c r="W4" s="42" t="s">
        <v>46</v>
      </c>
    </row>
    <row r="5" spans="2:23" ht="13.5" thickBot="1" x14ac:dyDescent="0.25">
      <c r="B5" s="51">
        <v>3</v>
      </c>
      <c r="C5" s="43" t="s">
        <v>223</v>
      </c>
      <c r="D5" s="43" t="s">
        <v>222</v>
      </c>
      <c r="E5" s="43" t="s">
        <v>48</v>
      </c>
      <c r="F5" s="47">
        <v>84.099800000000002</v>
      </c>
      <c r="G5" s="62">
        <v>126860301</v>
      </c>
      <c r="H5" s="46">
        <v>2.445E-2</v>
      </c>
      <c r="I5" s="44">
        <v>4970000</v>
      </c>
      <c r="K5" s="57"/>
      <c r="L5" s="87" t="s">
        <v>448</v>
      </c>
      <c r="M5" s="88"/>
      <c r="N5" s="88"/>
      <c r="O5" s="89"/>
      <c r="P5" s="59"/>
      <c r="Q5" s="97" t="s">
        <v>449</v>
      </c>
      <c r="R5" s="98"/>
      <c r="S5" s="99"/>
      <c r="U5" s="103" t="s">
        <v>445</v>
      </c>
      <c r="V5"/>
      <c r="W5" s="42" t="s">
        <v>49</v>
      </c>
    </row>
    <row r="6" spans="2:23" ht="15" customHeight="1" thickTop="1" thickBot="1" x14ac:dyDescent="0.25">
      <c r="B6" s="51">
        <v>4</v>
      </c>
      <c r="C6" s="43" t="s">
        <v>177</v>
      </c>
      <c r="D6" s="43" t="s">
        <v>176</v>
      </c>
      <c r="E6" s="43" t="s">
        <v>42</v>
      </c>
      <c r="F6" s="47">
        <v>80.990200000000002</v>
      </c>
      <c r="G6" s="62">
        <v>83517045</v>
      </c>
      <c r="H6" s="46">
        <v>3.4249999999999996E-2</v>
      </c>
      <c r="I6" s="44">
        <v>4000000</v>
      </c>
      <c r="K6" s="57"/>
      <c r="L6" s="90" t="s">
        <v>477</v>
      </c>
      <c r="M6" s="91"/>
      <c r="N6" s="63" t="s">
        <v>36</v>
      </c>
      <c r="O6" s="74" t="s">
        <v>432</v>
      </c>
      <c r="P6" s="65"/>
      <c r="Q6" s="66" t="s">
        <v>473</v>
      </c>
      <c r="R6" s="64" t="s">
        <v>450</v>
      </c>
      <c r="S6" s="66" t="s">
        <v>446</v>
      </c>
      <c r="U6" s="104"/>
      <c r="V6" s="42"/>
      <c r="W6" s="42" t="s">
        <v>51</v>
      </c>
    </row>
    <row r="7" spans="2:23" ht="13.9" customHeight="1" thickTop="1" x14ac:dyDescent="0.2">
      <c r="B7" s="51">
        <v>5</v>
      </c>
      <c r="C7" s="43" t="s">
        <v>413</v>
      </c>
      <c r="D7" s="43" t="s">
        <v>412</v>
      </c>
      <c r="E7" s="43" t="s">
        <v>42</v>
      </c>
      <c r="F7" s="47">
        <v>81.156099999999995</v>
      </c>
      <c r="G7" s="62">
        <v>67530172</v>
      </c>
      <c r="H7" s="46">
        <v>3.9539999999999999E-2</v>
      </c>
      <c r="I7" s="44">
        <v>2830000</v>
      </c>
      <c r="K7" s="57"/>
      <c r="L7" s="92"/>
      <c r="M7" s="93"/>
      <c r="N7" s="73"/>
      <c r="O7" s="73"/>
      <c r="P7" s="59"/>
      <c r="Q7" s="68"/>
      <c r="R7" s="69"/>
      <c r="S7" s="70"/>
      <c r="U7" s="105"/>
      <c r="V7" s="42"/>
      <c r="W7" s="42" t="s">
        <v>54</v>
      </c>
    </row>
    <row r="8" spans="2:23" ht="13.9" customHeight="1" x14ac:dyDescent="0.2">
      <c r="B8" s="51">
        <v>6</v>
      </c>
      <c r="C8" s="43" t="s">
        <v>168</v>
      </c>
      <c r="D8" s="43" t="s">
        <v>167</v>
      </c>
      <c r="E8" s="43" t="s">
        <v>42</v>
      </c>
      <c r="F8" s="47">
        <v>82.5244</v>
      </c>
      <c r="G8" s="62">
        <v>65129728</v>
      </c>
      <c r="H8" s="46">
        <v>9.1799999999999993E-2</v>
      </c>
      <c r="I8" s="44">
        <v>2780000</v>
      </c>
      <c r="K8" s="55"/>
      <c r="N8" s="57"/>
      <c r="U8" s="106"/>
      <c r="V8" s="42"/>
      <c r="W8" s="42" t="s">
        <v>57</v>
      </c>
    </row>
    <row r="9" spans="2:23" ht="15" customHeight="1" thickBot="1" x14ac:dyDescent="0.25">
      <c r="B9" s="51">
        <v>7</v>
      </c>
      <c r="C9" s="43" t="s">
        <v>206</v>
      </c>
      <c r="D9" s="43" t="s">
        <v>205</v>
      </c>
      <c r="E9" s="43" t="s">
        <v>39</v>
      </c>
      <c r="F9" s="47">
        <v>69.165000000000006</v>
      </c>
      <c r="G9" s="62">
        <v>1366417754</v>
      </c>
      <c r="H9" s="46">
        <v>2.5510000000000001E-2</v>
      </c>
      <c r="I9" s="44">
        <v>2730000</v>
      </c>
      <c r="K9" s="57"/>
      <c r="L9" s="84" t="s">
        <v>474</v>
      </c>
      <c r="M9" s="85"/>
      <c r="N9" s="86"/>
      <c r="O9"/>
      <c r="U9" s="106"/>
      <c r="W9" s="42" t="s">
        <v>59</v>
      </c>
    </row>
    <row r="10" spans="2:23" ht="15" customHeight="1" thickTop="1" thickBot="1" x14ac:dyDescent="0.25">
      <c r="B10" s="51">
        <v>8</v>
      </c>
      <c r="C10" s="43" t="s">
        <v>219</v>
      </c>
      <c r="D10" s="43" t="s">
        <v>218</v>
      </c>
      <c r="E10" s="43" t="s">
        <v>42</v>
      </c>
      <c r="F10" s="47">
        <v>83.243899999999996</v>
      </c>
      <c r="G10" s="62">
        <v>60550075</v>
      </c>
      <c r="H10" s="46">
        <v>1.2500000000000001E-2</v>
      </c>
      <c r="I10" s="44">
        <v>2070000</v>
      </c>
      <c r="K10" s="57"/>
      <c r="L10" s="67" t="s">
        <v>447</v>
      </c>
      <c r="M10" s="67" t="s">
        <v>431</v>
      </c>
      <c r="N10" s="67" t="s">
        <v>445</v>
      </c>
      <c r="O10"/>
      <c r="W10" s="42" t="s">
        <v>61</v>
      </c>
    </row>
    <row r="11" spans="2:23" ht="14.45" customHeight="1" thickBot="1" x14ac:dyDescent="0.25">
      <c r="B11" s="51">
        <v>9</v>
      </c>
      <c r="C11" s="43" t="s">
        <v>96</v>
      </c>
      <c r="D11" s="43" t="s">
        <v>95</v>
      </c>
      <c r="E11" s="43" t="s">
        <v>56</v>
      </c>
      <c r="F11" s="47">
        <v>75.456000000000003</v>
      </c>
      <c r="G11" s="62">
        <v>211049527</v>
      </c>
      <c r="H11" s="46">
        <v>0.12544</v>
      </c>
      <c r="I11" s="44">
        <v>1870000</v>
      </c>
      <c r="K11" s="57"/>
      <c r="L11" s="71">
        <f>IF(_xlfn.XLOOKUP($S$2,Countries[Country],Countries[Index])&lt;=5,1,IF(_xlfn.XLOOKUP($S$2,Countries[Country],Countries[Index])&gt;=201,195,_xlfn.XLOOKUP($S$2,Countries[Country],Countries[Index])-5))</f>
        <v>1</v>
      </c>
      <c r="M11" s="71"/>
      <c r="N11" s="72"/>
      <c r="O11"/>
      <c r="U11" s="103" t="s">
        <v>478</v>
      </c>
      <c r="W11" s="42" t="s">
        <v>63</v>
      </c>
    </row>
    <row r="12" spans="2:23" ht="14.45" customHeight="1" thickBot="1" x14ac:dyDescent="0.25">
      <c r="B12" s="51">
        <v>10</v>
      </c>
      <c r="C12" s="43" t="s">
        <v>110</v>
      </c>
      <c r="D12" s="43" t="s">
        <v>109</v>
      </c>
      <c r="E12" s="43" t="s">
        <v>86</v>
      </c>
      <c r="F12" s="47">
        <v>82.248999999999995</v>
      </c>
      <c r="G12" s="62">
        <v>37411047</v>
      </c>
      <c r="H12" s="46">
        <v>5.9200000000000003E-2</v>
      </c>
      <c r="I12" s="44">
        <v>1710000</v>
      </c>
      <c r="K12" s="57"/>
      <c r="L12" s="71">
        <f>L11+1</f>
        <v>2</v>
      </c>
      <c r="M12" s="71"/>
      <c r="N12" s="72"/>
      <c r="U12" s="104"/>
      <c r="W12" s="42" t="s">
        <v>65</v>
      </c>
    </row>
    <row r="13" spans="2:23" ht="14.45" customHeight="1" thickTop="1" thickBot="1" x14ac:dyDescent="0.25">
      <c r="B13" s="51">
        <v>11</v>
      </c>
      <c r="C13" s="43" t="s">
        <v>336</v>
      </c>
      <c r="D13" s="43" t="s">
        <v>451</v>
      </c>
      <c r="E13" s="43" t="s">
        <v>42</v>
      </c>
      <c r="F13" s="47">
        <v>72.119</v>
      </c>
      <c r="G13" s="62">
        <v>145872256</v>
      </c>
      <c r="H13" s="46">
        <v>4.7439999999999996E-2</v>
      </c>
      <c r="I13" s="44">
        <v>1660000</v>
      </c>
      <c r="K13" s="57"/>
      <c r="L13" s="71">
        <f t="shared" ref="L13:L21" si="0">L12+1</f>
        <v>3</v>
      </c>
      <c r="M13" s="71"/>
      <c r="N13" s="72"/>
      <c r="U13" s="107"/>
      <c r="W13" s="42" t="s">
        <v>67</v>
      </c>
    </row>
    <row r="14" spans="2:23" ht="14.45" customHeight="1" thickBot="1" x14ac:dyDescent="0.25">
      <c r="B14" s="51">
        <v>12</v>
      </c>
      <c r="C14" s="43" t="s">
        <v>232</v>
      </c>
      <c r="D14" s="43" t="s">
        <v>303</v>
      </c>
      <c r="E14" s="43" t="s">
        <v>48</v>
      </c>
      <c r="F14" s="47">
        <v>71.91</v>
      </c>
      <c r="G14" s="62">
        <v>25666161</v>
      </c>
      <c r="H14" s="46">
        <v>3.7949999999999998E-2</v>
      </c>
      <c r="I14" s="44">
        <v>1620000</v>
      </c>
      <c r="K14" s="57"/>
      <c r="L14" s="71">
        <f t="shared" si="0"/>
        <v>4</v>
      </c>
      <c r="M14" s="71"/>
      <c r="N14" s="72"/>
      <c r="U14" s="108"/>
      <c r="W14" s="42" t="s">
        <v>434</v>
      </c>
    </row>
    <row r="15" spans="2:23" ht="14.45" customHeight="1" thickBot="1" x14ac:dyDescent="0.25">
      <c r="B15" s="51">
        <v>13</v>
      </c>
      <c r="C15" s="43" t="s">
        <v>369</v>
      </c>
      <c r="D15" s="43" t="s">
        <v>368</v>
      </c>
      <c r="E15" s="43" t="s">
        <v>42</v>
      </c>
      <c r="F15" s="47">
        <v>83.329300000000003</v>
      </c>
      <c r="G15" s="62">
        <v>46736776</v>
      </c>
      <c r="H15" s="46">
        <v>0.15487000000000001</v>
      </c>
      <c r="I15" s="44">
        <v>1430000</v>
      </c>
      <c r="K15" s="57"/>
      <c r="L15" s="71">
        <f t="shared" si="0"/>
        <v>5</v>
      </c>
      <c r="M15" s="71"/>
      <c r="N15" s="72"/>
      <c r="U15" s="108"/>
      <c r="W15" s="42" t="s">
        <v>70</v>
      </c>
    </row>
    <row r="16" spans="2:23" ht="13.5" thickBot="1" x14ac:dyDescent="0.25">
      <c r="B16" s="51">
        <v>14</v>
      </c>
      <c r="C16" s="43" t="s">
        <v>64</v>
      </c>
      <c r="D16" s="43" t="s">
        <v>63</v>
      </c>
      <c r="E16" s="43" t="s">
        <v>48</v>
      </c>
      <c r="F16" s="47">
        <v>82.497600000000006</v>
      </c>
      <c r="G16" s="62">
        <v>25203198</v>
      </c>
      <c r="H16" s="46">
        <v>5.3869999999999994E-2</v>
      </c>
      <c r="I16" s="44">
        <v>1430000</v>
      </c>
      <c r="K16" s="57"/>
      <c r="L16" s="71">
        <f t="shared" si="0"/>
        <v>6</v>
      </c>
      <c r="M16" s="71"/>
      <c r="N16" s="72"/>
      <c r="W16" s="42" t="s">
        <v>72</v>
      </c>
    </row>
    <row r="17" spans="2:23" ht="14.45" customHeight="1" thickBot="1" x14ac:dyDescent="0.25">
      <c r="B17" s="51">
        <v>15</v>
      </c>
      <c r="C17" s="43" t="s">
        <v>272</v>
      </c>
      <c r="D17" s="43" t="s">
        <v>271</v>
      </c>
      <c r="E17" s="43" t="s">
        <v>56</v>
      </c>
      <c r="F17" s="47">
        <v>74.947000000000003</v>
      </c>
      <c r="G17" s="62">
        <v>127575529</v>
      </c>
      <c r="H17" s="46">
        <v>3.322E-2</v>
      </c>
      <c r="I17" s="44">
        <v>1220000</v>
      </c>
      <c r="K17" s="57"/>
      <c r="L17" s="71">
        <f t="shared" si="0"/>
        <v>7</v>
      </c>
      <c r="M17" s="71"/>
      <c r="N17" s="72"/>
      <c r="U17" s="103" t="s">
        <v>442</v>
      </c>
      <c r="W17" s="42" t="s">
        <v>74</v>
      </c>
    </row>
    <row r="18" spans="2:23" ht="14.45" customHeight="1" thickBot="1" x14ac:dyDescent="0.25">
      <c r="B18" s="51">
        <v>16</v>
      </c>
      <c r="C18" s="43" t="s">
        <v>208</v>
      </c>
      <c r="D18" s="43" t="s">
        <v>207</v>
      </c>
      <c r="E18" s="43" t="s">
        <v>48</v>
      </c>
      <c r="F18" s="47">
        <v>71.281999999999996</v>
      </c>
      <c r="G18" s="62">
        <v>270625568</v>
      </c>
      <c r="H18" s="46">
        <v>4.2999999999999997E-2</v>
      </c>
      <c r="I18" s="44">
        <v>1040000</v>
      </c>
      <c r="K18" s="57"/>
      <c r="L18" s="71">
        <f t="shared" si="0"/>
        <v>8</v>
      </c>
      <c r="M18" s="71"/>
      <c r="N18" s="72"/>
      <c r="U18" s="104"/>
      <c r="W18" s="42" t="s">
        <v>76</v>
      </c>
    </row>
    <row r="19" spans="2:23" ht="14.45" customHeight="1" thickTop="1" thickBot="1" x14ac:dyDescent="0.25">
      <c r="B19" s="51">
        <v>17</v>
      </c>
      <c r="C19" s="43" t="s">
        <v>292</v>
      </c>
      <c r="D19" s="43" t="s">
        <v>291</v>
      </c>
      <c r="E19" s="43" t="s">
        <v>42</v>
      </c>
      <c r="F19" s="47">
        <v>81.561000000000007</v>
      </c>
      <c r="G19" s="62">
        <v>17097130</v>
      </c>
      <c r="H19" s="46">
        <v>3.8800000000000001E-2</v>
      </c>
      <c r="I19" s="44">
        <v>914000</v>
      </c>
      <c r="K19" s="57"/>
      <c r="L19" s="71">
        <f t="shared" si="0"/>
        <v>9</v>
      </c>
      <c r="M19" s="71"/>
      <c r="N19" s="72"/>
      <c r="U19" s="95"/>
      <c r="W19" s="42" t="s">
        <v>78</v>
      </c>
    </row>
    <row r="20" spans="2:23" ht="14.45" customHeight="1" thickBot="1" x14ac:dyDescent="0.25">
      <c r="B20" s="51">
        <v>18</v>
      </c>
      <c r="C20" s="43" t="s">
        <v>345</v>
      </c>
      <c r="D20" s="43" t="s">
        <v>344</v>
      </c>
      <c r="E20" s="43" t="s">
        <v>45</v>
      </c>
      <c r="F20" s="47">
        <v>74.873999999999995</v>
      </c>
      <c r="G20" s="62">
        <v>34268528</v>
      </c>
      <c r="H20" s="46">
        <v>5.9189999999999993E-2</v>
      </c>
      <c r="I20" s="44">
        <v>782000</v>
      </c>
      <c r="K20" s="57"/>
      <c r="L20" s="71">
        <f t="shared" si="0"/>
        <v>10</v>
      </c>
      <c r="M20" s="79"/>
      <c r="N20" s="78"/>
      <c r="U20" s="96"/>
      <c r="W20" s="42" t="s">
        <v>80</v>
      </c>
    </row>
    <row r="21" spans="2:23" ht="14.45" customHeight="1" thickBot="1" x14ac:dyDescent="0.25">
      <c r="B21" s="51">
        <v>19</v>
      </c>
      <c r="C21" s="43" t="s">
        <v>399</v>
      </c>
      <c r="D21" s="43" t="s">
        <v>398</v>
      </c>
      <c r="E21" s="43" t="s">
        <v>42</v>
      </c>
      <c r="F21" s="47">
        <v>77.161000000000001</v>
      </c>
      <c r="G21" s="62">
        <v>83429615</v>
      </c>
      <c r="H21" s="46">
        <v>1.8950000000000002E-2</v>
      </c>
      <c r="I21" s="44">
        <v>767000</v>
      </c>
      <c r="L21" s="71">
        <f t="shared" si="0"/>
        <v>11</v>
      </c>
      <c r="M21" s="79"/>
      <c r="N21" s="78"/>
      <c r="U21" s="96"/>
      <c r="W21" s="42" t="s">
        <v>82</v>
      </c>
    </row>
    <row r="22" spans="2:23" ht="14.45" customHeight="1" x14ac:dyDescent="0.2">
      <c r="B22" s="51">
        <v>20</v>
      </c>
      <c r="C22" s="43" t="s">
        <v>382</v>
      </c>
      <c r="D22" s="43" t="s">
        <v>381</v>
      </c>
      <c r="E22" s="43" t="s">
        <v>42</v>
      </c>
      <c r="F22" s="47">
        <v>83.602400000000003</v>
      </c>
      <c r="G22" s="62">
        <v>8591365</v>
      </c>
      <c r="H22" s="46">
        <v>4.8829999999999998E-2</v>
      </c>
      <c r="I22" s="44">
        <v>706000</v>
      </c>
      <c r="W22" s="42" t="s">
        <v>84</v>
      </c>
    </row>
    <row r="23" spans="2:23" x14ac:dyDescent="0.2">
      <c r="B23" s="51">
        <v>21</v>
      </c>
      <c r="C23" s="43" t="s">
        <v>327</v>
      </c>
      <c r="D23" s="43" t="s">
        <v>326</v>
      </c>
      <c r="E23" s="43" t="s">
        <v>42</v>
      </c>
      <c r="F23" s="47">
        <v>77.851200000000006</v>
      </c>
      <c r="G23" s="62">
        <v>37887768</v>
      </c>
      <c r="H23" s="46">
        <v>3.6729999999999999E-2</v>
      </c>
      <c r="I23" s="44">
        <v>586000</v>
      </c>
      <c r="W23" s="42" t="s">
        <v>87</v>
      </c>
    </row>
    <row r="24" spans="2:23" x14ac:dyDescent="0.2">
      <c r="B24" s="51">
        <v>22</v>
      </c>
      <c r="C24" s="43" t="s">
        <v>380</v>
      </c>
      <c r="D24" s="43" t="s">
        <v>379</v>
      </c>
      <c r="E24" s="43" t="s">
        <v>42</v>
      </c>
      <c r="F24" s="47">
        <v>82.307299999999998</v>
      </c>
      <c r="G24" s="62">
        <v>10036379</v>
      </c>
      <c r="H24" s="46">
        <v>6.4439999999999997E-2</v>
      </c>
      <c r="I24" s="44">
        <v>551000</v>
      </c>
      <c r="W24" s="42" t="s">
        <v>89</v>
      </c>
    </row>
    <row r="25" spans="2:23" x14ac:dyDescent="0.2">
      <c r="B25" s="51">
        <v>23</v>
      </c>
      <c r="C25" s="43" t="s">
        <v>79</v>
      </c>
      <c r="D25" s="43" t="s">
        <v>78</v>
      </c>
      <c r="E25" s="43" t="s">
        <v>42</v>
      </c>
      <c r="F25" s="47">
        <v>81.438999999999993</v>
      </c>
      <c r="G25" s="62">
        <v>11539328</v>
      </c>
      <c r="H25" s="46">
        <v>6.3230000000000008E-2</v>
      </c>
      <c r="I25" s="44">
        <v>532000</v>
      </c>
      <c r="W25" s="42" t="s">
        <v>91</v>
      </c>
    </row>
    <row r="26" spans="2:23" x14ac:dyDescent="0.2">
      <c r="B26" s="51">
        <v>24</v>
      </c>
      <c r="C26" s="43" t="s">
        <v>58</v>
      </c>
      <c r="D26" s="43" t="s">
        <v>57</v>
      </c>
      <c r="E26" s="43" t="s">
        <v>56</v>
      </c>
      <c r="F26" s="47">
        <v>76.372</v>
      </c>
      <c r="G26" s="62">
        <v>44780677</v>
      </c>
      <c r="H26" s="46">
        <v>9.4830000000000012E-2</v>
      </c>
      <c r="I26" s="44">
        <v>518000</v>
      </c>
      <c r="W26" s="42" t="s">
        <v>93</v>
      </c>
    </row>
    <row r="27" spans="2:23" x14ac:dyDescent="0.2">
      <c r="B27" s="51">
        <v>25</v>
      </c>
      <c r="C27" s="43" t="s">
        <v>389</v>
      </c>
      <c r="D27" s="43" t="s">
        <v>388</v>
      </c>
      <c r="E27" s="43" t="s">
        <v>48</v>
      </c>
      <c r="F27" s="47">
        <v>76.683000000000007</v>
      </c>
      <c r="G27" s="62">
        <v>69037513</v>
      </c>
      <c r="H27" s="46">
        <v>6.6499999999999997E-3</v>
      </c>
      <c r="I27" s="44">
        <v>505000</v>
      </c>
      <c r="W27" s="42" t="s">
        <v>95</v>
      </c>
    </row>
    <row r="28" spans="2:23" x14ac:dyDescent="0.2">
      <c r="B28" s="51">
        <v>26</v>
      </c>
      <c r="C28" s="43" t="s">
        <v>66</v>
      </c>
      <c r="D28" s="43" t="s">
        <v>65</v>
      </c>
      <c r="E28" s="43" t="s">
        <v>42</v>
      </c>
      <c r="F28" s="47">
        <v>81.641499999999994</v>
      </c>
      <c r="G28" s="62">
        <v>8955102</v>
      </c>
      <c r="H28" s="46">
        <v>4.7859999999999993E-2</v>
      </c>
      <c r="I28" s="44">
        <v>456000</v>
      </c>
      <c r="W28" s="42" t="s">
        <v>464</v>
      </c>
    </row>
    <row r="29" spans="2:23" x14ac:dyDescent="0.2">
      <c r="B29" s="51">
        <v>27</v>
      </c>
      <c r="C29" s="43" t="s">
        <v>309</v>
      </c>
      <c r="D29" s="43" t="s">
        <v>308</v>
      </c>
      <c r="E29" s="43" t="s">
        <v>42</v>
      </c>
      <c r="F29" s="47">
        <v>82.509799999999998</v>
      </c>
      <c r="G29" s="62">
        <v>5378857</v>
      </c>
      <c r="H29" s="46">
        <v>3.9190000000000003E-2</v>
      </c>
      <c r="I29" s="44">
        <v>435000</v>
      </c>
      <c r="W29" s="42" t="s">
        <v>98</v>
      </c>
    </row>
    <row r="30" spans="2:23" x14ac:dyDescent="0.2">
      <c r="B30" s="51">
        <v>28</v>
      </c>
      <c r="C30" s="43" t="s">
        <v>411</v>
      </c>
      <c r="D30" s="43" t="s">
        <v>410</v>
      </c>
      <c r="E30" s="43" t="s">
        <v>45</v>
      </c>
      <c r="F30" s="47">
        <v>77.647000000000006</v>
      </c>
      <c r="G30" s="62">
        <v>9770529</v>
      </c>
      <c r="H30" s="46">
        <v>2.5750000000000002E-2</v>
      </c>
      <c r="I30" s="44">
        <v>414000</v>
      </c>
      <c r="W30" s="42" t="s">
        <v>100</v>
      </c>
    </row>
    <row r="31" spans="2:23" x14ac:dyDescent="0.2">
      <c r="B31" s="51">
        <v>29</v>
      </c>
      <c r="C31" s="43" t="s">
        <v>302</v>
      </c>
      <c r="D31" s="43" t="s">
        <v>301</v>
      </c>
      <c r="E31" s="43" t="s">
        <v>53</v>
      </c>
      <c r="F31" s="47">
        <v>53.95</v>
      </c>
      <c r="G31" s="62">
        <v>200963599</v>
      </c>
      <c r="H31" s="46">
        <v>6.2600000000000003E-2</v>
      </c>
      <c r="I31" s="44">
        <v>397000</v>
      </c>
      <c r="W31" s="42" t="s">
        <v>102</v>
      </c>
    </row>
    <row r="32" spans="2:23" x14ac:dyDescent="0.2">
      <c r="B32" s="51">
        <v>30</v>
      </c>
      <c r="C32" s="43" t="s">
        <v>213</v>
      </c>
      <c r="D32" s="43" t="s">
        <v>212</v>
      </c>
      <c r="E32" s="43" t="s">
        <v>42</v>
      </c>
      <c r="F32" s="47">
        <v>81.956100000000006</v>
      </c>
      <c r="G32" s="62">
        <v>4882495</v>
      </c>
      <c r="H32" s="46">
        <v>5.6909999999999995E-2</v>
      </c>
      <c r="I32" s="44">
        <v>382000</v>
      </c>
      <c r="W32" s="42" t="s">
        <v>105</v>
      </c>
    </row>
    <row r="33" spans="2:23" x14ac:dyDescent="0.2">
      <c r="B33" s="51">
        <v>31</v>
      </c>
      <c r="C33" s="43" t="s">
        <v>217</v>
      </c>
      <c r="D33" s="43" t="s">
        <v>216</v>
      </c>
      <c r="E33" s="43" t="s">
        <v>45</v>
      </c>
      <c r="F33" s="47">
        <v>82.602400000000003</v>
      </c>
      <c r="G33" s="62">
        <v>8519377</v>
      </c>
      <c r="H33" s="46">
        <v>3.95E-2</v>
      </c>
      <c r="I33" s="44">
        <v>370000</v>
      </c>
      <c r="W33" s="42" t="s">
        <v>107</v>
      </c>
    </row>
    <row r="34" spans="2:23" x14ac:dyDescent="0.2">
      <c r="B34" s="51">
        <v>32</v>
      </c>
      <c r="C34" s="43" t="s">
        <v>365</v>
      </c>
      <c r="D34" s="43" t="s">
        <v>364</v>
      </c>
      <c r="E34" s="43" t="s">
        <v>53</v>
      </c>
      <c r="F34" s="47">
        <v>63.537999999999997</v>
      </c>
      <c r="G34" s="62">
        <v>58558270</v>
      </c>
      <c r="H34" s="46">
        <v>0.26957999999999999</v>
      </c>
      <c r="I34" s="44">
        <v>368000</v>
      </c>
      <c r="W34" s="42" t="s">
        <v>109</v>
      </c>
    </row>
    <row r="35" spans="2:23" x14ac:dyDescent="0.2">
      <c r="B35" s="51">
        <v>33</v>
      </c>
      <c r="C35" s="43" t="s">
        <v>355</v>
      </c>
      <c r="D35" s="43" t="s">
        <v>354</v>
      </c>
      <c r="E35" s="43" t="s">
        <v>48</v>
      </c>
      <c r="F35" s="47">
        <v>82.895099999999999</v>
      </c>
      <c r="G35" s="62">
        <v>5804337</v>
      </c>
      <c r="H35" s="46">
        <v>3.7679999999999998E-2</v>
      </c>
      <c r="I35" s="44">
        <v>364000</v>
      </c>
      <c r="W35" s="42" t="s">
        <v>463</v>
      </c>
    </row>
    <row r="36" spans="2:23" x14ac:dyDescent="0.2">
      <c r="B36" s="51">
        <v>34</v>
      </c>
      <c r="C36" s="43" t="s">
        <v>200</v>
      </c>
      <c r="D36" s="43" t="s">
        <v>457</v>
      </c>
      <c r="E36" s="43" t="s">
        <v>48</v>
      </c>
      <c r="F36" s="47">
        <v>84.680499999999995</v>
      </c>
      <c r="G36" s="62">
        <v>7436154</v>
      </c>
      <c r="H36" s="46">
        <v>2.7779999999999999E-2</v>
      </c>
      <c r="I36" s="44">
        <v>363000</v>
      </c>
      <c r="W36" s="42" t="s">
        <v>111</v>
      </c>
    </row>
    <row r="37" spans="2:23" x14ac:dyDescent="0.2">
      <c r="B37" s="51">
        <v>35</v>
      </c>
      <c r="C37" s="43" t="s">
        <v>258</v>
      </c>
      <c r="D37" s="43" t="s">
        <v>257</v>
      </c>
      <c r="E37" s="43" t="s">
        <v>48</v>
      </c>
      <c r="F37" s="47">
        <v>75.828000000000003</v>
      </c>
      <c r="G37" s="62">
        <v>31949777</v>
      </c>
      <c r="H37" s="46">
        <v>3.3599999999999998E-2</v>
      </c>
      <c r="I37" s="44">
        <v>354000</v>
      </c>
      <c r="W37" s="42" t="s">
        <v>113</v>
      </c>
    </row>
    <row r="38" spans="2:23" x14ac:dyDescent="0.2">
      <c r="B38" s="51">
        <v>36</v>
      </c>
      <c r="C38" s="43" t="s">
        <v>139</v>
      </c>
      <c r="D38" s="43" t="s">
        <v>138</v>
      </c>
      <c r="E38" s="43" t="s">
        <v>42</v>
      </c>
      <c r="F38" s="47">
        <v>81.004900000000006</v>
      </c>
      <c r="G38" s="62">
        <v>5771876</v>
      </c>
      <c r="H38" s="46">
        <v>4.9749999999999996E-2</v>
      </c>
      <c r="I38" s="44">
        <v>352000</v>
      </c>
      <c r="W38" s="42" t="s">
        <v>115</v>
      </c>
    </row>
    <row r="39" spans="2:23" x14ac:dyDescent="0.2">
      <c r="B39" s="51">
        <v>37</v>
      </c>
      <c r="C39" s="43" t="s">
        <v>325</v>
      </c>
      <c r="D39" s="43" t="s">
        <v>324</v>
      </c>
      <c r="E39" s="43" t="s">
        <v>48</v>
      </c>
      <c r="F39" s="47">
        <v>70.951999999999998</v>
      </c>
      <c r="G39" s="62">
        <v>108116615</v>
      </c>
      <c r="H39" s="46">
        <v>2.5150000000000002E-2</v>
      </c>
      <c r="I39" s="44">
        <v>331000</v>
      </c>
      <c r="W39" s="42" t="s">
        <v>117</v>
      </c>
    </row>
    <row r="40" spans="2:23" x14ac:dyDescent="0.2">
      <c r="B40" s="51">
        <v>38</v>
      </c>
      <c r="C40" s="43" t="s">
        <v>122</v>
      </c>
      <c r="D40" s="43" t="s">
        <v>121</v>
      </c>
      <c r="E40" s="43" t="s">
        <v>56</v>
      </c>
      <c r="F40" s="47">
        <v>76.924999999999997</v>
      </c>
      <c r="G40" s="62">
        <v>50339443</v>
      </c>
      <c r="H40" s="46">
        <v>9.9299999999999999E-2</v>
      </c>
      <c r="I40" s="44">
        <v>330000</v>
      </c>
      <c r="W40" s="42" t="s">
        <v>119</v>
      </c>
    </row>
    <row r="41" spans="2:23" x14ac:dyDescent="0.2">
      <c r="B41" s="51">
        <v>39</v>
      </c>
      <c r="C41" s="43" t="s">
        <v>313</v>
      </c>
      <c r="D41" s="43" t="s">
        <v>312</v>
      </c>
      <c r="E41" s="43" t="s">
        <v>39</v>
      </c>
      <c r="F41" s="47">
        <v>66.947000000000003</v>
      </c>
      <c r="G41" s="62">
        <v>216565318</v>
      </c>
      <c r="H41" s="46">
        <v>3.3799999999999997E-2</v>
      </c>
      <c r="I41" s="44">
        <v>313000</v>
      </c>
      <c r="W41" s="42" t="s">
        <v>121</v>
      </c>
    </row>
    <row r="42" spans="2:23" x14ac:dyDescent="0.2">
      <c r="B42" s="51">
        <v>40</v>
      </c>
      <c r="C42" s="43" t="s">
        <v>118</v>
      </c>
      <c r="D42" s="43" t="s">
        <v>117</v>
      </c>
      <c r="E42" s="43" t="s">
        <v>56</v>
      </c>
      <c r="F42" s="47">
        <v>79.909000000000006</v>
      </c>
      <c r="G42" s="62">
        <v>18952038</v>
      </c>
      <c r="H42" s="46">
        <v>7.2230000000000003E-2</v>
      </c>
      <c r="I42" s="44">
        <v>298000</v>
      </c>
      <c r="W42" s="42" t="s">
        <v>123</v>
      </c>
    </row>
    <row r="43" spans="2:23" x14ac:dyDescent="0.2">
      <c r="B43" s="51">
        <v>41</v>
      </c>
      <c r="C43" s="43" t="s">
        <v>73</v>
      </c>
      <c r="D43" s="43" t="s">
        <v>72</v>
      </c>
      <c r="E43" s="43" t="s">
        <v>39</v>
      </c>
      <c r="F43" s="47">
        <v>72.052000000000007</v>
      </c>
      <c r="G43" s="62">
        <v>163046161</v>
      </c>
      <c r="H43" s="46">
        <v>4.3799999999999999E-2</v>
      </c>
      <c r="I43" s="44">
        <v>274000</v>
      </c>
      <c r="W43" s="42" t="s">
        <v>460</v>
      </c>
    </row>
    <row r="44" spans="2:23" x14ac:dyDescent="0.2">
      <c r="B44" s="51">
        <v>42</v>
      </c>
      <c r="C44" s="43" t="s">
        <v>166</v>
      </c>
      <c r="D44" s="43" t="s">
        <v>165</v>
      </c>
      <c r="E44" s="43" t="s">
        <v>42</v>
      </c>
      <c r="F44" s="47">
        <v>81.429299999999998</v>
      </c>
      <c r="G44" s="62">
        <v>5532156</v>
      </c>
      <c r="H44" s="46">
        <v>7.7549999999999994E-2</v>
      </c>
      <c r="I44" s="44">
        <v>274000</v>
      </c>
      <c r="W44" s="42" t="s">
        <v>126</v>
      </c>
    </row>
    <row r="45" spans="2:23" x14ac:dyDescent="0.2">
      <c r="B45" s="51">
        <v>43</v>
      </c>
      <c r="C45" s="43" t="s">
        <v>148</v>
      </c>
      <c r="D45" s="43" t="s">
        <v>443</v>
      </c>
      <c r="E45" s="43" t="s">
        <v>45</v>
      </c>
      <c r="F45" s="47">
        <v>71.656000000000006</v>
      </c>
      <c r="G45" s="62">
        <v>100388073</v>
      </c>
      <c r="H45" s="46">
        <v>0.11436</v>
      </c>
      <c r="I45" s="44">
        <v>251000</v>
      </c>
      <c r="W45" s="42" t="s">
        <v>129</v>
      </c>
    </row>
    <row r="46" spans="2:23" x14ac:dyDescent="0.2">
      <c r="B46" s="51">
        <v>44</v>
      </c>
      <c r="C46" s="43" t="s">
        <v>424</v>
      </c>
      <c r="D46" s="43" t="s">
        <v>423</v>
      </c>
      <c r="E46" s="43" t="s">
        <v>48</v>
      </c>
      <c r="F46" s="47">
        <v>75.241</v>
      </c>
      <c r="G46" s="62">
        <v>96462106</v>
      </c>
      <c r="H46" s="46">
        <v>1.891E-2</v>
      </c>
      <c r="I46" s="44">
        <v>245000</v>
      </c>
      <c r="W46" s="42" t="s">
        <v>131</v>
      </c>
    </row>
    <row r="47" spans="2:23" x14ac:dyDescent="0.2">
      <c r="B47" s="51">
        <v>45</v>
      </c>
      <c r="C47" s="43" t="s">
        <v>137</v>
      </c>
      <c r="D47" s="43" t="s">
        <v>136</v>
      </c>
      <c r="E47" s="43" t="s">
        <v>42</v>
      </c>
      <c r="F47" s="47">
        <v>79.4756</v>
      </c>
      <c r="G47" s="62">
        <v>10689209</v>
      </c>
      <c r="H47" s="46">
        <v>2.3969999999999998E-2</v>
      </c>
      <c r="I47" s="44">
        <v>245000</v>
      </c>
      <c r="W47" s="42" t="s">
        <v>467</v>
      </c>
    </row>
    <row r="48" spans="2:23" x14ac:dyDescent="0.2">
      <c r="B48" s="51">
        <v>46</v>
      </c>
      <c r="C48" s="43" t="s">
        <v>335</v>
      </c>
      <c r="D48" s="43" t="s">
        <v>334</v>
      </c>
      <c r="E48" s="43" t="s">
        <v>42</v>
      </c>
      <c r="F48" s="47">
        <v>75.309799999999996</v>
      </c>
      <c r="G48" s="62">
        <v>19364557</v>
      </c>
      <c r="H48" s="46">
        <v>4.2950000000000002E-2</v>
      </c>
      <c r="I48" s="44">
        <v>240000</v>
      </c>
      <c r="W48" s="42" t="s">
        <v>134</v>
      </c>
    </row>
    <row r="49" spans="2:23" x14ac:dyDescent="0.2">
      <c r="B49" s="51">
        <v>47</v>
      </c>
      <c r="C49" s="43" t="s">
        <v>329</v>
      </c>
      <c r="D49" s="43" t="s">
        <v>328</v>
      </c>
      <c r="E49" s="43" t="s">
        <v>42</v>
      </c>
      <c r="F49" s="47">
        <v>81.124399999999994</v>
      </c>
      <c r="G49" s="62">
        <v>10226187</v>
      </c>
      <c r="H49" s="46">
        <v>6.8600000000000008E-2</v>
      </c>
      <c r="I49" s="44">
        <v>238000</v>
      </c>
      <c r="W49" s="42" t="s">
        <v>136</v>
      </c>
    </row>
    <row r="50" spans="2:23" x14ac:dyDescent="0.2">
      <c r="B50" s="51">
        <v>48</v>
      </c>
      <c r="C50" s="43" t="s">
        <v>211</v>
      </c>
      <c r="D50" s="43" t="s">
        <v>210</v>
      </c>
      <c r="E50" s="43" t="s">
        <v>45</v>
      </c>
      <c r="F50" s="47">
        <v>70.293999999999997</v>
      </c>
      <c r="G50" s="62">
        <v>39309783</v>
      </c>
      <c r="H50" s="46">
        <v>7.9280000000000003E-2</v>
      </c>
      <c r="I50" s="44">
        <v>226000</v>
      </c>
      <c r="W50" s="42" t="s">
        <v>138</v>
      </c>
    </row>
    <row r="51" spans="2:23" x14ac:dyDescent="0.2">
      <c r="B51" s="51">
        <v>49</v>
      </c>
      <c r="C51" s="43" t="s">
        <v>323</v>
      </c>
      <c r="D51" s="43" t="s">
        <v>322</v>
      </c>
      <c r="E51" s="43" t="s">
        <v>56</v>
      </c>
      <c r="F51" s="47">
        <v>76.286000000000001</v>
      </c>
      <c r="G51" s="62">
        <v>32510453</v>
      </c>
      <c r="H51" s="46">
        <v>2.844E-2</v>
      </c>
      <c r="I51" s="44">
        <v>222000</v>
      </c>
      <c r="W51" s="42" t="s">
        <v>140</v>
      </c>
    </row>
    <row r="52" spans="2:23" x14ac:dyDescent="0.2">
      <c r="B52" s="51">
        <v>50</v>
      </c>
      <c r="C52" s="43" t="s">
        <v>181</v>
      </c>
      <c r="D52" s="43" t="s">
        <v>180</v>
      </c>
      <c r="E52" s="43" t="s">
        <v>42</v>
      </c>
      <c r="F52" s="47">
        <v>81.387799999999999</v>
      </c>
      <c r="G52" s="62">
        <v>10473455</v>
      </c>
      <c r="H52" s="46">
        <v>0.19270000000000001</v>
      </c>
      <c r="I52" s="44">
        <v>218000</v>
      </c>
      <c r="W52" s="42" t="s">
        <v>142</v>
      </c>
    </row>
    <row r="53" spans="2:23" x14ac:dyDescent="0.2">
      <c r="B53" s="51">
        <v>51</v>
      </c>
      <c r="C53" s="43" t="s">
        <v>296</v>
      </c>
      <c r="D53" s="43" t="s">
        <v>295</v>
      </c>
      <c r="E53" s="43" t="s">
        <v>48</v>
      </c>
      <c r="F53" s="47">
        <v>81.658500000000004</v>
      </c>
      <c r="G53" s="62">
        <v>4783063</v>
      </c>
      <c r="H53" s="46">
        <v>4.5220000000000003E-2</v>
      </c>
      <c r="I53" s="44">
        <v>205000</v>
      </c>
      <c r="W53" s="42" t="s">
        <v>144</v>
      </c>
    </row>
    <row r="54" spans="2:23" x14ac:dyDescent="0.2">
      <c r="B54" s="51">
        <v>52</v>
      </c>
      <c r="C54" s="43" t="s">
        <v>333</v>
      </c>
      <c r="D54" s="43" t="s">
        <v>332</v>
      </c>
      <c r="E54" s="43" t="s">
        <v>45</v>
      </c>
      <c r="F54" s="47">
        <v>79.980999999999995</v>
      </c>
      <c r="G54" s="62">
        <v>2832067</v>
      </c>
      <c r="H54" s="46">
        <v>1.42E-3</v>
      </c>
      <c r="I54" s="44">
        <v>192000</v>
      </c>
      <c r="W54" s="42" t="s">
        <v>146</v>
      </c>
    </row>
    <row r="55" spans="2:23" x14ac:dyDescent="0.2">
      <c r="B55" s="51">
        <v>53</v>
      </c>
      <c r="C55" s="43" t="s">
        <v>44</v>
      </c>
      <c r="D55" s="43" t="s">
        <v>43</v>
      </c>
      <c r="E55" s="43" t="s">
        <v>45</v>
      </c>
      <c r="F55" s="47">
        <v>76.498999999999995</v>
      </c>
      <c r="G55" s="62">
        <v>43053054</v>
      </c>
      <c r="H55" s="46">
        <v>0.12145</v>
      </c>
      <c r="I55" s="44">
        <v>181000</v>
      </c>
      <c r="W55" s="42" t="s">
        <v>443</v>
      </c>
    </row>
    <row r="56" spans="2:23" x14ac:dyDescent="0.2">
      <c r="B56" s="51">
        <v>54</v>
      </c>
      <c r="C56" s="43" t="s">
        <v>227</v>
      </c>
      <c r="D56" s="43" t="s">
        <v>226</v>
      </c>
      <c r="E56" s="43" t="s">
        <v>42</v>
      </c>
      <c r="F56" s="47">
        <v>72.95</v>
      </c>
      <c r="G56" s="62">
        <v>18551427</v>
      </c>
      <c r="H56" s="46">
        <v>4.8849999999999998E-2</v>
      </c>
      <c r="I56" s="44">
        <v>171000</v>
      </c>
      <c r="W56" s="42" t="s">
        <v>149</v>
      </c>
    </row>
    <row r="57" spans="2:23" x14ac:dyDescent="0.2">
      <c r="B57" s="51">
        <v>55</v>
      </c>
      <c r="C57" s="43" t="s">
        <v>202</v>
      </c>
      <c r="D57" s="43" t="s">
        <v>201</v>
      </c>
      <c r="E57" s="43" t="s">
        <v>42</v>
      </c>
      <c r="F57" s="47">
        <v>76.063400000000001</v>
      </c>
      <c r="G57" s="62">
        <v>9684679</v>
      </c>
      <c r="H57" s="46">
        <v>3.6629999999999996E-2</v>
      </c>
      <c r="I57" s="44">
        <v>156000</v>
      </c>
      <c r="W57" s="42" t="s">
        <v>151</v>
      </c>
    </row>
    <row r="58" spans="2:23" x14ac:dyDescent="0.2">
      <c r="B58" s="51">
        <v>56</v>
      </c>
      <c r="C58" s="43" t="s">
        <v>234</v>
      </c>
      <c r="D58" s="43" t="s">
        <v>233</v>
      </c>
      <c r="E58" s="43" t="s">
        <v>45</v>
      </c>
      <c r="F58" s="47">
        <v>75.311000000000007</v>
      </c>
      <c r="G58" s="62">
        <v>4207083</v>
      </c>
      <c r="H58" s="46">
        <v>2.76E-2</v>
      </c>
      <c r="I58" s="44">
        <v>142000</v>
      </c>
      <c r="W58" s="42" t="s">
        <v>153</v>
      </c>
    </row>
    <row r="59" spans="2:23" x14ac:dyDescent="0.2">
      <c r="B59" s="51">
        <v>57</v>
      </c>
      <c r="C59" s="43" t="s">
        <v>409</v>
      </c>
      <c r="D59" s="43" t="s">
        <v>408</v>
      </c>
      <c r="E59" s="43" t="s">
        <v>42</v>
      </c>
      <c r="F59" s="47">
        <v>71.781000000000006</v>
      </c>
      <c r="G59" s="62">
        <v>43993638</v>
      </c>
      <c r="H59" s="46">
        <v>9.3810000000000004E-2</v>
      </c>
      <c r="I59" s="44">
        <v>131000</v>
      </c>
      <c r="W59" s="42" t="s">
        <v>155</v>
      </c>
    </row>
    <row r="60" spans="2:23" x14ac:dyDescent="0.2">
      <c r="B60" s="51">
        <v>58</v>
      </c>
      <c r="C60" s="43" t="s">
        <v>282</v>
      </c>
      <c r="D60" s="43" t="s">
        <v>281</v>
      </c>
      <c r="E60" s="43" t="s">
        <v>45</v>
      </c>
      <c r="F60" s="47">
        <v>76.218000000000004</v>
      </c>
      <c r="G60" s="62">
        <v>36471769</v>
      </c>
      <c r="H60" s="46">
        <v>9.4E-2</v>
      </c>
      <c r="I60" s="44">
        <v>118000</v>
      </c>
      <c r="W60" s="42" t="s">
        <v>157</v>
      </c>
    </row>
    <row r="61" spans="2:23" x14ac:dyDescent="0.2">
      <c r="B61" s="51">
        <v>59</v>
      </c>
      <c r="C61" s="43" t="s">
        <v>147</v>
      </c>
      <c r="D61" s="43" t="s">
        <v>146</v>
      </c>
      <c r="E61" s="43" t="s">
        <v>56</v>
      </c>
      <c r="F61" s="47">
        <v>76.584000000000003</v>
      </c>
      <c r="G61" s="62">
        <v>17373662</v>
      </c>
      <c r="H61" s="46">
        <v>3.9100000000000003E-2</v>
      </c>
      <c r="I61" s="44">
        <v>108000</v>
      </c>
      <c r="W61" s="42" t="s">
        <v>159</v>
      </c>
    </row>
    <row r="62" spans="2:23" x14ac:dyDescent="0.2">
      <c r="B62" s="51">
        <v>60</v>
      </c>
      <c r="C62" s="43" t="s">
        <v>52</v>
      </c>
      <c r="D62" s="43" t="s">
        <v>51</v>
      </c>
      <c r="E62" s="43" t="s">
        <v>53</v>
      </c>
      <c r="F62" s="47">
        <v>60.378999999999998</v>
      </c>
      <c r="G62" s="62">
        <v>31825295</v>
      </c>
      <c r="H62" s="46">
        <v>7.2529999999999997E-2</v>
      </c>
      <c r="I62" s="44">
        <v>106000</v>
      </c>
      <c r="W62" s="42" t="s">
        <v>161</v>
      </c>
    </row>
    <row r="63" spans="2:23" x14ac:dyDescent="0.2">
      <c r="B63" s="51">
        <v>61</v>
      </c>
      <c r="C63" s="43" t="s">
        <v>357</v>
      </c>
      <c r="D63" s="43" t="s">
        <v>459</v>
      </c>
      <c r="E63" s="43" t="s">
        <v>42</v>
      </c>
      <c r="F63" s="47">
        <v>77.165899999999993</v>
      </c>
      <c r="G63" s="62">
        <v>5457013</v>
      </c>
      <c r="H63" s="46">
        <v>6.7560000000000009E-2</v>
      </c>
      <c r="I63" s="44">
        <v>106000</v>
      </c>
      <c r="W63" s="42" t="s">
        <v>163</v>
      </c>
    </row>
    <row r="64" spans="2:23" x14ac:dyDescent="0.2">
      <c r="B64" s="51">
        <v>62</v>
      </c>
      <c r="C64" s="43" t="s">
        <v>331</v>
      </c>
      <c r="D64" s="43" t="s">
        <v>330</v>
      </c>
      <c r="E64" s="43" t="s">
        <v>56</v>
      </c>
      <c r="F64" s="47">
        <v>79.634500000000003</v>
      </c>
      <c r="G64" s="62">
        <v>2933408</v>
      </c>
      <c r="H64" s="46">
        <v>0.11444000000000001</v>
      </c>
      <c r="I64" s="44">
        <v>101000</v>
      </c>
      <c r="W64" s="42" t="s">
        <v>165</v>
      </c>
    </row>
    <row r="65" spans="2:23" x14ac:dyDescent="0.2">
      <c r="B65" s="51">
        <v>63</v>
      </c>
      <c r="C65" s="43" t="s">
        <v>371</v>
      </c>
      <c r="D65" s="43" t="s">
        <v>370</v>
      </c>
      <c r="E65" s="43" t="s">
        <v>39</v>
      </c>
      <c r="F65" s="47">
        <v>76.647999999999996</v>
      </c>
      <c r="G65" s="62">
        <v>21323733</v>
      </c>
      <c r="H65" s="46">
        <v>4.3990000000000001E-2</v>
      </c>
      <c r="I65" s="44">
        <v>88900.800000000003</v>
      </c>
      <c r="W65" s="42" t="s">
        <v>167</v>
      </c>
    </row>
    <row r="66" spans="2:23" x14ac:dyDescent="0.2">
      <c r="B66" s="51">
        <v>64</v>
      </c>
      <c r="C66" s="43" t="s">
        <v>229</v>
      </c>
      <c r="D66" s="43" t="s">
        <v>228</v>
      </c>
      <c r="E66" s="43" t="s">
        <v>53</v>
      </c>
      <c r="F66" s="47">
        <v>65.909000000000006</v>
      </c>
      <c r="G66" s="62">
        <v>52573973</v>
      </c>
      <c r="H66" s="46">
        <v>9.3130000000000004E-2</v>
      </c>
      <c r="I66" s="44">
        <v>87908.3</v>
      </c>
      <c r="W66" s="42" t="s">
        <v>169</v>
      </c>
    </row>
    <row r="67" spans="2:23" x14ac:dyDescent="0.2">
      <c r="B67" s="51">
        <v>65</v>
      </c>
      <c r="C67" s="43" t="s">
        <v>160</v>
      </c>
      <c r="D67" s="43" t="s">
        <v>159</v>
      </c>
      <c r="E67" s="43" t="s">
        <v>53</v>
      </c>
      <c r="F67" s="47">
        <v>65.872</v>
      </c>
      <c r="G67" s="62">
        <v>112078730</v>
      </c>
      <c r="H67" s="46">
        <v>1.89E-2</v>
      </c>
      <c r="I67" s="44">
        <v>84355.5</v>
      </c>
      <c r="W67" s="42" t="s">
        <v>171</v>
      </c>
    </row>
    <row r="68" spans="2:23" x14ac:dyDescent="0.2">
      <c r="B68" s="51">
        <v>66</v>
      </c>
      <c r="C68" s="43" t="s">
        <v>145</v>
      </c>
      <c r="D68" s="43" t="s">
        <v>144</v>
      </c>
      <c r="E68" s="43" t="s">
        <v>56</v>
      </c>
      <c r="F68" s="47">
        <v>73.688999999999993</v>
      </c>
      <c r="G68" s="62">
        <v>10738958</v>
      </c>
      <c r="H68" s="46">
        <v>5.8289999999999995E-2</v>
      </c>
      <c r="I68" s="44">
        <v>81298.600000000006</v>
      </c>
      <c r="W68" s="42" t="s">
        <v>461</v>
      </c>
    </row>
    <row r="69" spans="2:23" x14ac:dyDescent="0.2">
      <c r="B69" s="51">
        <v>67</v>
      </c>
      <c r="C69" s="43" t="s">
        <v>311</v>
      </c>
      <c r="D69" s="43" t="s">
        <v>310</v>
      </c>
      <c r="E69" s="43" t="s">
        <v>45</v>
      </c>
      <c r="F69" s="47">
        <v>77.393000000000001</v>
      </c>
      <c r="G69" s="62">
        <v>4974986</v>
      </c>
      <c r="H69" s="46">
        <v>3.1130000000000001E-2</v>
      </c>
      <c r="I69" s="44">
        <v>79294.899999999994</v>
      </c>
      <c r="W69" s="42" t="s">
        <v>174</v>
      </c>
    </row>
    <row r="70" spans="2:23" x14ac:dyDescent="0.2">
      <c r="B70" s="51">
        <v>68</v>
      </c>
      <c r="C70" s="43" t="s">
        <v>189</v>
      </c>
      <c r="D70" s="43" t="s">
        <v>188</v>
      </c>
      <c r="E70" s="43" t="s">
        <v>56</v>
      </c>
      <c r="F70" s="47">
        <v>73.81</v>
      </c>
      <c r="G70" s="62">
        <v>17581472</v>
      </c>
      <c r="H70" s="46">
        <v>2.7269999999999999E-2</v>
      </c>
      <c r="I70" s="44">
        <v>78460.399999999994</v>
      </c>
      <c r="W70" s="42" t="s">
        <v>176</v>
      </c>
    </row>
    <row r="71" spans="2:23" x14ac:dyDescent="0.2">
      <c r="B71" s="51">
        <v>69</v>
      </c>
      <c r="C71" s="43" t="s">
        <v>286</v>
      </c>
      <c r="D71" s="43" t="s">
        <v>285</v>
      </c>
      <c r="E71" s="43" t="s">
        <v>48</v>
      </c>
      <c r="F71" s="47">
        <v>66.558000000000007</v>
      </c>
      <c r="G71" s="62">
        <v>54045420</v>
      </c>
      <c r="H71" s="46">
        <v>1.5640000000000001E-2</v>
      </c>
      <c r="I71" s="44">
        <v>71214.8</v>
      </c>
      <c r="W71" s="42" t="s">
        <v>178</v>
      </c>
    </row>
    <row r="72" spans="2:23" x14ac:dyDescent="0.2">
      <c r="B72" s="51">
        <v>70</v>
      </c>
      <c r="C72" s="43" t="s">
        <v>251</v>
      </c>
      <c r="D72" s="43" t="s">
        <v>250</v>
      </c>
      <c r="E72" s="43" t="s">
        <v>42</v>
      </c>
      <c r="F72" s="47">
        <v>82.685400000000001</v>
      </c>
      <c r="G72" s="62">
        <v>615729</v>
      </c>
      <c r="H72" s="46">
        <v>5.4699999999999999E-2</v>
      </c>
      <c r="I72" s="44">
        <v>69487.899999999994</v>
      </c>
      <c r="W72" s="42" t="s">
        <v>180</v>
      </c>
    </row>
    <row r="73" spans="2:23" x14ac:dyDescent="0.2">
      <c r="B73" s="51">
        <v>71</v>
      </c>
      <c r="C73" s="43" t="s">
        <v>179</v>
      </c>
      <c r="D73" s="43" t="s">
        <v>178</v>
      </c>
      <c r="E73" s="43" t="s">
        <v>53</v>
      </c>
      <c r="F73" s="47">
        <v>63.463000000000001</v>
      </c>
      <c r="G73" s="62">
        <v>28833629</v>
      </c>
      <c r="H73" s="46">
        <v>6.7099999999999993E-2</v>
      </c>
      <c r="I73" s="44">
        <v>65556.5</v>
      </c>
      <c r="W73" s="42" t="s">
        <v>182</v>
      </c>
    </row>
    <row r="74" spans="2:23" x14ac:dyDescent="0.2">
      <c r="B74" s="51">
        <v>72</v>
      </c>
      <c r="C74" s="43" t="s">
        <v>99</v>
      </c>
      <c r="D74" s="43" t="s">
        <v>98</v>
      </c>
      <c r="E74" s="43" t="s">
        <v>42</v>
      </c>
      <c r="F74" s="47">
        <v>74.812200000000004</v>
      </c>
      <c r="G74" s="62">
        <v>7000119</v>
      </c>
      <c r="H74" s="46">
        <v>5.2610000000000004E-2</v>
      </c>
      <c r="I74" s="44">
        <v>65133</v>
      </c>
      <c r="W74" s="42" t="s">
        <v>184</v>
      </c>
    </row>
    <row r="75" spans="2:23" x14ac:dyDescent="0.2">
      <c r="B75" s="51">
        <v>73</v>
      </c>
      <c r="C75" s="43" t="s">
        <v>317</v>
      </c>
      <c r="D75" s="43" t="s">
        <v>316</v>
      </c>
      <c r="E75" s="43" t="s">
        <v>56</v>
      </c>
      <c r="F75" s="47">
        <v>78.149000000000001</v>
      </c>
      <c r="G75" s="62">
        <v>4246439</v>
      </c>
      <c r="H75" s="46">
        <v>3.9220000000000005E-2</v>
      </c>
      <c r="I75" s="44">
        <v>65055.1</v>
      </c>
      <c r="W75" s="42" t="s">
        <v>186</v>
      </c>
    </row>
    <row r="76" spans="2:23" x14ac:dyDescent="0.2">
      <c r="B76" s="51">
        <v>74</v>
      </c>
      <c r="C76" s="43" t="s">
        <v>130</v>
      </c>
      <c r="D76" s="43" t="s">
        <v>129</v>
      </c>
      <c r="E76" s="43" t="s">
        <v>42</v>
      </c>
      <c r="F76" s="47">
        <v>77.826800000000006</v>
      </c>
      <c r="G76" s="62">
        <v>4130304</v>
      </c>
      <c r="H76" s="46">
        <v>8.8499999999999995E-2</v>
      </c>
      <c r="I76" s="44">
        <v>60805.7</v>
      </c>
      <c r="W76" s="42" t="s">
        <v>188</v>
      </c>
    </row>
    <row r="77" spans="2:23" x14ac:dyDescent="0.2">
      <c r="B77" s="51">
        <v>75</v>
      </c>
      <c r="C77" s="43" t="s">
        <v>127</v>
      </c>
      <c r="D77" s="43" t="s">
        <v>126</v>
      </c>
      <c r="E77" s="43" t="s">
        <v>56</v>
      </c>
      <c r="F77" s="47">
        <v>79.914000000000001</v>
      </c>
      <c r="G77" s="62">
        <v>5047561</v>
      </c>
      <c r="H77" s="46">
        <v>8.1280000000000005E-2</v>
      </c>
      <c r="I77" s="44">
        <v>60126</v>
      </c>
      <c r="W77" s="42" t="s">
        <v>190</v>
      </c>
    </row>
    <row r="78" spans="2:23" x14ac:dyDescent="0.2">
      <c r="B78" s="51">
        <v>76</v>
      </c>
      <c r="C78" s="43" t="s">
        <v>77</v>
      </c>
      <c r="D78" s="43" t="s">
        <v>76</v>
      </c>
      <c r="E78" s="43" t="s">
        <v>42</v>
      </c>
      <c r="F78" s="47">
        <v>74.129300000000001</v>
      </c>
      <c r="G78" s="62">
        <v>9452411</v>
      </c>
      <c r="H78" s="46">
        <v>5.7799999999999997E-2</v>
      </c>
      <c r="I78" s="44">
        <v>59662.5</v>
      </c>
      <c r="W78" s="42" t="s">
        <v>192</v>
      </c>
    </row>
    <row r="79" spans="2:23" x14ac:dyDescent="0.2">
      <c r="B79" s="51">
        <v>77</v>
      </c>
      <c r="C79" s="43" t="s">
        <v>417</v>
      </c>
      <c r="D79" s="43" t="s">
        <v>416</v>
      </c>
      <c r="E79" s="43" t="s">
        <v>56</v>
      </c>
      <c r="F79" s="47">
        <v>77.632000000000005</v>
      </c>
      <c r="G79" s="62">
        <v>3461734</v>
      </c>
      <c r="H79" s="46">
        <v>7.961E-2</v>
      </c>
      <c r="I79" s="44">
        <v>59596.9</v>
      </c>
      <c r="W79" s="42" t="s">
        <v>194</v>
      </c>
    </row>
    <row r="80" spans="2:23" x14ac:dyDescent="0.2">
      <c r="B80" s="51">
        <v>78</v>
      </c>
      <c r="C80" s="43" t="s">
        <v>387</v>
      </c>
      <c r="D80" s="43" t="s">
        <v>386</v>
      </c>
      <c r="E80" s="43" t="s">
        <v>53</v>
      </c>
      <c r="F80" s="47">
        <v>64.478999999999999</v>
      </c>
      <c r="G80" s="62">
        <v>58005463</v>
      </c>
      <c r="H80" s="46">
        <v>1.932E-2</v>
      </c>
      <c r="I80" s="44">
        <v>57437.1</v>
      </c>
      <c r="W80" s="42" t="s">
        <v>196</v>
      </c>
    </row>
    <row r="81" spans="2:23" x14ac:dyDescent="0.2">
      <c r="B81" s="51">
        <v>79</v>
      </c>
      <c r="C81" s="43" t="s">
        <v>239</v>
      </c>
      <c r="D81" s="43" t="s">
        <v>238</v>
      </c>
      <c r="E81" s="43" t="s">
        <v>45</v>
      </c>
      <c r="F81" s="47">
        <v>78.832999999999998</v>
      </c>
      <c r="G81" s="62">
        <v>6855713</v>
      </c>
      <c r="H81" s="46">
        <v>6.1669999999999996E-2</v>
      </c>
      <c r="I81" s="44">
        <v>56639.199999999997</v>
      </c>
      <c r="W81" s="42" t="s">
        <v>198</v>
      </c>
    </row>
    <row r="82" spans="2:23" x14ac:dyDescent="0.2">
      <c r="B82" s="51">
        <v>80</v>
      </c>
      <c r="C82" s="43" t="s">
        <v>252</v>
      </c>
      <c r="D82" s="43" t="s">
        <v>462</v>
      </c>
      <c r="E82" s="43" t="s">
        <v>48</v>
      </c>
      <c r="F82" s="47">
        <v>83.989000000000004</v>
      </c>
      <c r="G82" s="62">
        <v>640445</v>
      </c>
      <c r="H82" s="46">
        <v>2.23E-2</v>
      </c>
      <c r="I82" s="44">
        <v>54545.2</v>
      </c>
      <c r="W82" s="42" t="s">
        <v>457</v>
      </c>
    </row>
    <row r="83" spans="2:23" x14ac:dyDescent="0.2">
      <c r="B83" s="51">
        <v>81</v>
      </c>
      <c r="C83" s="43" t="s">
        <v>359</v>
      </c>
      <c r="D83" s="43" t="s">
        <v>358</v>
      </c>
      <c r="E83" s="43" t="s">
        <v>42</v>
      </c>
      <c r="F83" s="47">
        <v>81.175600000000003</v>
      </c>
      <c r="G83" s="62">
        <v>2078654</v>
      </c>
      <c r="H83" s="46">
        <v>5.5099999999999996E-2</v>
      </c>
      <c r="I83" s="44">
        <v>54235.5</v>
      </c>
      <c r="W83" s="42" t="s">
        <v>201</v>
      </c>
    </row>
    <row r="84" spans="2:23" x14ac:dyDescent="0.2">
      <c r="B84" s="51">
        <v>82</v>
      </c>
      <c r="C84" s="43" t="s">
        <v>249</v>
      </c>
      <c r="D84" s="43" t="s">
        <v>248</v>
      </c>
      <c r="E84" s="43" t="s">
        <v>42</v>
      </c>
      <c r="F84" s="47">
        <v>74.670699999999997</v>
      </c>
      <c r="G84" s="62">
        <v>2759627</v>
      </c>
      <c r="H84" s="46">
        <v>6.7000000000000004E-2</v>
      </c>
      <c r="I84" s="44">
        <v>53251.4</v>
      </c>
      <c r="W84" s="42" t="s">
        <v>203</v>
      </c>
    </row>
    <row r="85" spans="2:23" x14ac:dyDescent="0.2">
      <c r="B85" s="51">
        <v>83</v>
      </c>
      <c r="C85" s="43" t="s">
        <v>349</v>
      </c>
      <c r="D85" s="43" t="s">
        <v>348</v>
      </c>
      <c r="E85" s="43" t="s">
        <v>42</v>
      </c>
      <c r="F85" s="47">
        <v>76.087800000000001</v>
      </c>
      <c r="G85" s="62">
        <v>8772235</v>
      </c>
      <c r="H85" s="46">
        <v>0.1351</v>
      </c>
      <c r="I85" s="44">
        <v>50508.4</v>
      </c>
      <c r="W85" s="42" t="s">
        <v>205</v>
      </c>
    </row>
    <row r="86" spans="2:23" x14ac:dyDescent="0.2">
      <c r="B86" s="51">
        <v>84</v>
      </c>
      <c r="C86" s="43" t="s">
        <v>419</v>
      </c>
      <c r="D86" s="43" t="s">
        <v>418</v>
      </c>
      <c r="E86" s="43" t="s">
        <v>42</v>
      </c>
      <c r="F86" s="47">
        <v>71.388000000000005</v>
      </c>
      <c r="G86" s="62">
        <v>32981716</v>
      </c>
      <c r="H86" s="46">
        <v>5.2229999999999999E-2</v>
      </c>
      <c r="I86" s="44">
        <v>50499.9</v>
      </c>
      <c r="W86" s="42" t="s">
        <v>207</v>
      </c>
    </row>
    <row r="87" spans="2:23" x14ac:dyDescent="0.2">
      <c r="B87" s="51">
        <v>85</v>
      </c>
      <c r="C87" s="43" t="s">
        <v>245</v>
      </c>
      <c r="D87" s="43" t="s">
        <v>244</v>
      </c>
      <c r="E87" s="43" t="s">
        <v>45</v>
      </c>
      <c r="F87" s="47">
        <v>72.52</v>
      </c>
      <c r="G87" s="62">
        <v>6777452</v>
      </c>
      <c r="H87" s="46">
        <v>0.17287</v>
      </c>
      <c r="I87" s="44">
        <v>48319.6</v>
      </c>
      <c r="W87" s="42" t="s">
        <v>452</v>
      </c>
    </row>
    <row r="88" spans="2:23" x14ac:dyDescent="0.2">
      <c r="B88" s="51">
        <v>86</v>
      </c>
      <c r="C88" s="43" t="s">
        <v>125</v>
      </c>
      <c r="D88" s="43" t="s">
        <v>460</v>
      </c>
      <c r="E88" s="43" t="s">
        <v>53</v>
      </c>
      <c r="F88" s="47">
        <v>60.026000000000003</v>
      </c>
      <c r="G88" s="62">
        <v>5380508</v>
      </c>
      <c r="H88" s="46">
        <v>4.1550000000000004E-2</v>
      </c>
      <c r="I88" s="44">
        <v>47227.5</v>
      </c>
      <c r="W88" s="42" t="s">
        <v>210</v>
      </c>
    </row>
    <row r="89" spans="2:23" x14ac:dyDescent="0.2">
      <c r="B89" s="51">
        <v>87</v>
      </c>
      <c r="C89" s="43" t="s">
        <v>68</v>
      </c>
      <c r="D89" s="43" t="s">
        <v>67</v>
      </c>
      <c r="E89" s="43" t="s">
        <v>42</v>
      </c>
      <c r="F89" s="47">
        <v>72.692999999999998</v>
      </c>
      <c r="G89" s="62">
        <v>10047718</v>
      </c>
      <c r="H89" s="46">
        <v>5.2199999999999996E-2</v>
      </c>
      <c r="I89" s="44">
        <v>46939.5</v>
      </c>
      <c r="W89" s="42" t="s">
        <v>212</v>
      </c>
    </row>
    <row r="90" spans="2:23" x14ac:dyDescent="0.2">
      <c r="B90" s="51">
        <v>88</v>
      </c>
      <c r="C90" s="43" t="s">
        <v>128</v>
      </c>
      <c r="D90" s="43" t="s">
        <v>455</v>
      </c>
      <c r="E90" s="43" t="s">
        <v>53</v>
      </c>
      <c r="F90" s="47">
        <v>57.017000000000003</v>
      </c>
      <c r="G90" s="62">
        <v>25716544</v>
      </c>
      <c r="H90" s="46">
        <v>2.4799999999999999E-2</v>
      </c>
      <c r="I90" s="44">
        <v>43007</v>
      </c>
      <c r="W90" s="42" t="s">
        <v>214</v>
      </c>
    </row>
    <row r="91" spans="2:23" x14ac:dyDescent="0.2">
      <c r="B91" s="51">
        <v>89</v>
      </c>
      <c r="C91" s="43" t="s">
        <v>225</v>
      </c>
      <c r="D91" s="43" t="s">
        <v>224</v>
      </c>
      <c r="E91" s="43" t="s">
        <v>45</v>
      </c>
      <c r="F91" s="47">
        <v>74.292000000000002</v>
      </c>
      <c r="G91" s="62">
        <v>10101694</v>
      </c>
      <c r="H91" s="46">
        <v>0.1525</v>
      </c>
      <c r="I91" s="44">
        <v>42290.8</v>
      </c>
      <c r="W91" s="42" t="s">
        <v>216</v>
      </c>
    </row>
    <row r="92" spans="2:23" x14ac:dyDescent="0.2">
      <c r="B92" s="51">
        <v>90</v>
      </c>
      <c r="C92" s="43" t="s">
        <v>376</v>
      </c>
      <c r="D92" s="43" t="s">
        <v>375</v>
      </c>
      <c r="E92" s="43" t="s">
        <v>53</v>
      </c>
      <c r="F92" s="47">
        <v>64.881</v>
      </c>
      <c r="G92" s="62">
        <v>42813238</v>
      </c>
      <c r="H92" s="46">
        <v>0.12875999999999999</v>
      </c>
      <c r="I92" s="44">
        <v>40851.5</v>
      </c>
      <c r="W92" s="42" t="s">
        <v>218</v>
      </c>
    </row>
    <row r="93" spans="2:23" x14ac:dyDescent="0.2">
      <c r="B93" s="51">
        <v>91</v>
      </c>
      <c r="C93" s="43" t="s">
        <v>321</v>
      </c>
      <c r="D93" s="43" t="s">
        <v>320</v>
      </c>
      <c r="E93" s="43" t="s">
        <v>56</v>
      </c>
      <c r="F93" s="47">
        <v>73.992000000000004</v>
      </c>
      <c r="G93" s="62">
        <v>7044636</v>
      </c>
      <c r="H93" s="46">
        <v>4.7119999999999995E-2</v>
      </c>
      <c r="I93" s="44">
        <v>40842.300000000003</v>
      </c>
      <c r="W93" s="42" t="s">
        <v>455</v>
      </c>
    </row>
    <row r="94" spans="2:23" x14ac:dyDescent="0.2">
      <c r="B94" s="51">
        <v>92</v>
      </c>
      <c r="C94" s="43" t="s">
        <v>401</v>
      </c>
      <c r="D94" s="43" t="s">
        <v>400</v>
      </c>
      <c r="E94" s="43" t="s">
        <v>42</v>
      </c>
      <c r="F94" s="47">
        <v>67.956000000000003</v>
      </c>
      <c r="G94" s="62">
        <v>5942089</v>
      </c>
      <c r="H94" s="46">
        <v>3.7830000000000003E-2</v>
      </c>
      <c r="I94" s="44">
        <v>40761.1</v>
      </c>
      <c r="W94" s="42" t="s">
        <v>220</v>
      </c>
    </row>
    <row r="95" spans="2:23" x14ac:dyDescent="0.2">
      <c r="B95" s="51">
        <v>93</v>
      </c>
      <c r="C95" s="43" t="s">
        <v>90</v>
      </c>
      <c r="D95" s="43" t="s">
        <v>89</v>
      </c>
      <c r="E95" s="43" t="s">
        <v>56</v>
      </c>
      <c r="F95" s="47">
        <v>70.944999999999993</v>
      </c>
      <c r="G95" s="62">
        <v>11513100</v>
      </c>
      <c r="H95" s="46">
        <v>3.2579999999999998E-2</v>
      </c>
      <c r="I95" s="44">
        <v>40287.599999999999</v>
      </c>
      <c r="W95" s="42" t="s">
        <v>222</v>
      </c>
    </row>
    <row r="96" spans="2:23" x14ac:dyDescent="0.2">
      <c r="B96" s="51">
        <v>94</v>
      </c>
      <c r="C96" s="43" t="s">
        <v>397</v>
      </c>
      <c r="D96" s="43" t="s">
        <v>396</v>
      </c>
      <c r="E96" s="43" t="s">
        <v>45</v>
      </c>
      <c r="F96" s="47">
        <v>76.31</v>
      </c>
      <c r="G96" s="62">
        <v>11694719</v>
      </c>
      <c r="H96" s="46">
        <v>0.15478</v>
      </c>
      <c r="I96" s="44">
        <v>39860.699999999997</v>
      </c>
      <c r="W96" s="42" t="s">
        <v>224</v>
      </c>
    </row>
    <row r="97" spans="2:23" x14ac:dyDescent="0.2">
      <c r="B97" s="51">
        <v>95</v>
      </c>
      <c r="C97" s="43" t="s">
        <v>108</v>
      </c>
      <c r="D97" s="43" t="s">
        <v>107</v>
      </c>
      <c r="E97" s="43" t="s">
        <v>53</v>
      </c>
      <c r="F97" s="47">
        <v>58.511000000000003</v>
      </c>
      <c r="G97" s="62">
        <v>25876380</v>
      </c>
      <c r="H97" s="46">
        <v>3.3610000000000001E-2</v>
      </c>
      <c r="I97" s="44">
        <v>38502.1</v>
      </c>
      <c r="W97" s="42" t="s">
        <v>226</v>
      </c>
    </row>
    <row r="98" spans="2:23" x14ac:dyDescent="0.2">
      <c r="B98" s="51">
        <v>96</v>
      </c>
      <c r="C98" s="43" t="s">
        <v>71</v>
      </c>
      <c r="D98" s="43" t="s">
        <v>70</v>
      </c>
      <c r="E98" s="43" t="s">
        <v>45</v>
      </c>
      <c r="F98" s="47">
        <v>77.031999999999996</v>
      </c>
      <c r="G98" s="62">
        <v>1641172</v>
      </c>
      <c r="H98" s="46">
        <v>9.6200000000000001E-3</v>
      </c>
      <c r="I98" s="44">
        <v>37746.199999999997</v>
      </c>
      <c r="W98" s="42" t="s">
        <v>228</v>
      </c>
    </row>
    <row r="99" spans="2:23" x14ac:dyDescent="0.2">
      <c r="B99" s="51">
        <v>97</v>
      </c>
      <c r="C99" s="43" t="s">
        <v>237</v>
      </c>
      <c r="D99" s="43" t="s">
        <v>236</v>
      </c>
      <c r="E99" s="43" t="s">
        <v>42</v>
      </c>
      <c r="F99" s="47">
        <v>74.680499999999995</v>
      </c>
      <c r="G99" s="62">
        <v>1906743</v>
      </c>
      <c r="H99" s="46">
        <v>7.8570000000000001E-2</v>
      </c>
      <c r="I99" s="44">
        <v>34849.1</v>
      </c>
      <c r="W99" s="42" t="s">
        <v>230</v>
      </c>
    </row>
    <row r="100" spans="2:23" x14ac:dyDescent="0.2">
      <c r="B100" s="51">
        <v>98</v>
      </c>
      <c r="C100" s="43" t="s">
        <v>430</v>
      </c>
      <c r="D100" s="43" t="s">
        <v>429</v>
      </c>
      <c r="E100" s="43" t="s">
        <v>53</v>
      </c>
      <c r="F100" s="47">
        <v>60.811999999999998</v>
      </c>
      <c r="G100" s="62">
        <v>14645468</v>
      </c>
      <c r="H100" s="46">
        <v>4.9149999999999999E-2</v>
      </c>
      <c r="I100" s="44">
        <v>31000.5</v>
      </c>
      <c r="W100" s="42" t="s">
        <v>233</v>
      </c>
    </row>
    <row r="101" spans="2:23" x14ac:dyDescent="0.2">
      <c r="B101" s="51">
        <v>99</v>
      </c>
      <c r="C101" s="43" t="s">
        <v>156</v>
      </c>
      <c r="D101" s="43" t="s">
        <v>155</v>
      </c>
      <c r="E101" s="43" t="s">
        <v>42</v>
      </c>
      <c r="F101" s="47">
        <v>77.641499999999994</v>
      </c>
      <c r="G101" s="62">
        <v>1325648</v>
      </c>
      <c r="H101" s="46">
        <v>5.5800000000000002E-2</v>
      </c>
      <c r="I101" s="44">
        <v>30284.9</v>
      </c>
      <c r="W101" s="42" t="s">
        <v>458</v>
      </c>
    </row>
    <row r="102" spans="2:23" x14ac:dyDescent="0.2">
      <c r="B102" s="51">
        <v>100</v>
      </c>
      <c r="C102" s="43" t="s">
        <v>290</v>
      </c>
      <c r="D102" s="43" t="s">
        <v>289</v>
      </c>
      <c r="E102" s="43" t="s">
        <v>39</v>
      </c>
      <c r="F102" s="47">
        <v>70.168999999999997</v>
      </c>
      <c r="G102" s="62">
        <v>28608710</v>
      </c>
      <c r="H102" s="46">
        <v>1.264E-2</v>
      </c>
      <c r="I102" s="44">
        <v>28812.5</v>
      </c>
      <c r="W102" s="42" t="s">
        <v>236</v>
      </c>
    </row>
    <row r="103" spans="2:23" x14ac:dyDescent="0.2">
      <c r="B103" s="51">
        <v>101</v>
      </c>
      <c r="C103" s="43" t="s">
        <v>407</v>
      </c>
      <c r="D103" s="43" t="s">
        <v>406</v>
      </c>
      <c r="E103" s="43" t="s">
        <v>53</v>
      </c>
      <c r="F103" s="47">
        <v>62.515999999999998</v>
      </c>
      <c r="G103" s="62">
        <v>44269594</v>
      </c>
      <c r="H103" s="46">
        <v>1.7420000000000001E-2</v>
      </c>
      <c r="I103" s="44">
        <v>27476.9</v>
      </c>
      <c r="W103" s="42" t="s">
        <v>238</v>
      </c>
    </row>
    <row r="104" spans="2:23" x14ac:dyDescent="0.2">
      <c r="B104" s="51">
        <v>102</v>
      </c>
      <c r="C104" s="43" t="s">
        <v>426</v>
      </c>
      <c r="D104" s="43" t="s">
        <v>453</v>
      </c>
      <c r="E104" s="43" t="s">
        <v>45</v>
      </c>
      <c r="F104" s="47">
        <v>66.085999999999999</v>
      </c>
      <c r="G104" s="62">
        <v>29161922</v>
      </c>
      <c r="H104" s="46">
        <v>0.12933999999999998</v>
      </c>
      <c r="I104" s="44">
        <v>26914.400000000001</v>
      </c>
      <c r="W104" s="42" t="s">
        <v>240</v>
      </c>
    </row>
    <row r="105" spans="2:23" x14ac:dyDescent="0.2">
      <c r="B105" s="51">
        <v>103</v>
      </c>
      <c r="C105" s="43" t="s">
        <v>428</v>
      </c>
      <c r="D105" s="43" t="s">
        <v>427</v>
      </c>
      <c r="E105" s="43" t="s">
        <v>53</v>
      </c>
      <c r="F105" s="47">
        <v>63.042999999999999</v>
      </c>
      <c r="G105" s="62">
        <v>17861030</v>
      </c>
      <c r="H105" s="46">
        <v>7.2900000000000006E-2</v>
      </c>
      <c r="I105" s="44">
        <v>26720.1</v>
      </c>
      <c r="W105" s="42" t="s">
        <v>242</v>
      </c>
    </row>
    <row r="106" spans="2:23" x14ac:dyDescent="0.2">
      <c r="B106" s="51">
        <v>104</v>
      </c>
      <c r="C106" s="43" t="s">
        <v>150</v>
      </c>
      <c r="D106" s="43" t="s">
        <v>149</v>
      </c>
      <c r="E106" s="43" t="s">
        <v>56</v>
      </c>
      <c r="F106" s="47">
        <v>72.872</v>
      </c>
      <c r="G106" s="62">
        <v>6453553</v>
      </c>
      <c r="H106" s="46">
        <v>4.3899999999999995E-2</v>
      </c>
      <c r="I106" s="44">
        <v>26057</v>
      </c>
      <c r="W106" s="42" t="s">
        <v>244</v>
      </c>
    </row>
    <row r="107" spans="2:23" x14ac:dyDescent="0.2">
      <c r="B107" s="51">
        <v>105</v>
      </c>
      <c r="C107" s="43" t="s">
        <v>204</v>
      </c>
      <c r="D107" s="43" t="s">
        <v>203</v>
      </c>
      <c r="E107" s="43" t="s">
        <v>42</v>
      </c>
      <c r="F107" s="47">
        <v>82.204899999999995</v>
      </c>
      <c r="G107" s="62">
        <v>339031</v>
      </c>
      <c r="H107" s="46">
        <v>2.9180000000000001E-2</v>
      </c>
      <c r="I107" s="44">
        <v>25882.2</v>
      </c>
      <c r="W107" s="42" t="s">
        <v>246</v>
      </c>
    </row>
    <row r="108" spans="2:23" x14ac:dyDescent="0.2">
      <c r="B108" s="51">
        <v>106</v>
      </c>
      <c r="C108" s="43" t="s">
        <v>106</v>
      </c>
      <c r="D108" s="43" t="s">
        <v>105</v>
      </c>
      <c r="E108" s="43" t="s">
        <v>48</v>
      </c>
      <c r="F108" s="47">
        <v>69.289000000000001</v>
      </c>
      <c r="G108" s="62">
        <v>16486542</v>
      </c>
      <c r="H108" s="46">
        <v>1.4800000000000001E-2</v>
      </c>
      <c r="I108" s="44">
        <v>24571.8</v>
      </c>
      <c r="W108" s="42" t="s">
        <v>248</v>
      </c>
    </row>
    <row r="109" spans="2:23" x14ac:dyDescent="0.2">
      <c r="B109" s="51">
        <v>107</v>
      </c>
      <c r="C109" s="43" t="s">
        <v>135</v>
      </c>
      <c r="D109" s="43" t="s">
        <v>134</v>
      </c>
      <c r="E109" s="43" t="s">
        <v>42</v>
      </c>
      <c r="F109" s="47">
        <v>80.671999999999997</v>
      </c>
      <c r="G109" s="62">
        <v>1179551</v>
      </c>
      <c r="H109" s="46">
        <v>8.1900000000000001E-2</v>
      </c>
      <c r="I109" s="44">
        <v>24469.8</v>
      </c>
      <c r="W109" s="42" t="s">
        <v>250</v>
      </c>
    </row>
    <row r="110" spans="2:23" x14ac:dyDescent="0.2">
      <c r="B110" s="51">
        <v>108</v>
      </c>
      <c r="C110" s="43" t="s">
        <v>347</v>
      </c>
      <c r="D110" s="43" t="s">
        <v>346</v>
      </c>
      <c r="E110" s="43" t="s">
        <v>53</v>
      </c>
      <c r="F110" s="47">
        <v>67.38</v>
      </c>
      <c r="G110" s="62">
        <v>16296364</v>
      </c>
      <c r="H110" s="46">
        <v>6.4640000000000003E-2</v>
      </c>
      <c r="I110" s="44">
        <v>24129.599999999999</v>
      </c>
      <c r="W110" s="42" t="s">
        <v>462</v>
      </c>
    </row>
    <row r="111" spans="2:23" x14ac:dyDescent="0.2">
      <c r="B111" s="51">
        <v>109</v>
      </c>
      <c r="C111" s="43" t="s">
        <v>199</v>
      </c>
      <c r="D111" s="43" t="s">
        <v>198</v>
      </c>
      <c r="E111" s="43" t="s">
        <v>56</v>
      </c>
      <c r="F111" s="47">
        <v>74.897999999999996</v>
      </c>
      <c r="G111" s="62">
        <v>9746117</v>
      </c>
      <c r="H111" s="46">
        <v>4.7600000000000003E-2</v>
      </c>
      <c r="I111" s="44">
        <v>23803.200000000001</v>
      </c>
      <c r="W111" s="42" t="s">
        <v>253</v>
      </c>
    </row>
    <row r="112" spans="2:23" x14ac:dyDescent="0.2">
      <c r="B112" s="51">
        <v>110</v>
      </c>
      <c r="C112" s="43" t="s">
        <v>319</v>
      </c>
      <c r="D112" s="43" t="s">
        <v>318</v>
      </c>
      <c r="E112" s="43" t="s">
        <v>48</v>
      </c>
      <c r="F112" s="47">
        <v>64.010000000000005</v>
      </c>
      <c r="G112" s="62">
        <v>8776109</v>
      </c>
      <c r="H112" s="46">
        <v>2.367E-2</v>
      </c>
      <c r="I112" s="44">
        <v>23431.599999999999</v>
      </c>
      <c r="W112" s="42" t="s">
        <v>255</v>
      </c>
    </row>
    <row r="113" spans="2:23" x14ac:dyDescent="0.2">
      <c r="B113" s="51">
        <v>111</v>
      </c>
      <c r="C113" s="43" t="s">
        <v>395</v>
      </c>
      <c r="D113" s="43" t="s">
        <v>394</v>
      </c>
      <c r="E113" s="43" t="s">
        <v>56</v>
      </c>
      <c r="F113" s="47">
        <v>73.245000000000005</v>
      </c>
      <c r="G113" s="62">
        <v>1394973</v>
      </c>
      <c r="H113" s="46">
        <v>2.8300000000000002E-2</v>
      </c>
      <c r="I113" s="44">
        <v>23410.400000000001</v>
      </c>
      <c r="W113" s="42" t="s">
        <v>257</v>
      </c>
    </row>
    <row r="114" spans="2:23" x14ac:dyDescent="0.2">
      <c r="B114" s="51">
        <v>112</v>
      </c>
      <c r="C114" s="43" t="s">
        <v>92</v>
      </c>
      <c r="D114" s="43" t="s">
        <v>91</v>
      </c>
      <c r="E114" s="43" t="s">
        <v>42</v>
      </c>
      <c r="F114" s="47">
        <v>77.128</v>
      </c>
      <c r="G114" s="62">
        <v>3301000</v>
      </c>
      <c r="H114" s="46">
        <v>2.8389999999999999E-2</v>
      </c>
      <c r="I114" s="44">
        <v>19781.8</v>
      </c>
      <c r="W114" s="42" t="s">
        <v>259</v>
      </c>
    </row>
    <row r="115" spans="2:23" x14ac:dyDescent="0.2">
      <c r="B115" s="51">
        <v>113</v>
      </c>
      <c r="C115" s="43" t="s">
        <v>38</v>
      </c>
      <c r="D115" s="43" t="s">
        <v>37</v>
      </c>
      <c r="E115" s="43" t="s">
        <v>39</v>
      </c>
      <c r="F115" s="47">
        <v>64.13</v>
      </c>
      <c r="G115" s="62">
        <v>38041754</v>
      </c>
      <c r="H115" s="46">
        <v>1.542E-2</v>
      </c>
      <c r="I115" s="44">
        <v>19363</v>
      </c>
      <c r="W115" s="42" t="s">
        <v>261</v>
      </c>
    </row>
    <row r="116" spans="2:23" x14ac:dyDescent="0.2">
      <c r="B116" s="51">
        <v>114</v>
      </c>
      <c r="C116" s="43" t="s">
        <v>94</v>
      </c>
      <c r="D116" s="43" t="s">
        <v>93</v>
      </c>
      <c r="E116" s="43" t="s">
        <v>53</v>
      </c>
      <c r="F116" s="47">
        <v>68.811999999999998</v>
      </c>
      <c r="G116" s="62">
        <v>2303697</v>
      </c>
      <c r="H116" s="46">
        <v>0.17940999999999999</v>
      </c>
      <c r="I116" s="44">
        <v>18616</v>
      </c>
      <c r="W116" s="42" t="s">
        <v>263</v>
      </c>
    </row>
    <row r="117" spans="2:23" x14ac:dyDescent="0.2">
      <c r="B117" s="51">
        <v>115</v>
      </c>
      <c r="C117" s="43" t="s">
        <v>262</v>
      </c>
      <c r="D117" s="43" t="s">
        <v>261</v>
      </c>
      <c r="E117" s="43" t="s">
        <v>53</v>
      </c>
      <c r="F117" s="47">
        <v>58.451999999999998</v>
      </c>
      <c r="G117" s="62">
        <v>19658031</v>
      </c>
      <c r="H117" s="46">
        <v>9.5690000000000011E-2</v>
      </c>
      <c r="I117" s="44">
        <v>17196.7</v>
      </c>
      <c r="W117" s="42" t="s">
        <v>265</v>
      </c>
    </row>
    <row r="118" spans="2:23" x14ac:dyDescent="0.2">
      <c r="B118" s="51">
        <v>116</v>
      </c>
      <c r="C118" s="43" t="s">
        <v>172</v>
      </c>
      <c r="D118" s="43" t="s">
        <v>171</v>
      </c>
      <c r="E118" s="43" t="s">
        <v>53</v>
      </c>
      <c r="F118" s="47">
        <v>65.838999999999999</v>
      </c>
      <c r="G118" s="62">
        <v>2172579</v>
      </c>
      <c r="H118" s="46">
        <v>0.19488</v>
      </c>
      <c r="I118" s="44">
        <v>17017.400000000001</v>
      </c>
      <c r="W118" s="42" t="s">
        <v>267</v>
      </c>
    </row>
    <row r="119" spans="2:23" x14ac:dyDescent="0.2">
      <c r="B119" s="51">
        <v>117</v>
      </c>
      <c r="C119" s="43" t="s">
        <v>175</v>
      </c>
      <c r="D119" s="43" t="s">
        <v>174</v>
      </c>
      <c r="E119" s="43" t="s">
        <v>42</v>
      </c>
      <c r="F119" s="47">
        <v>73.414000000000001</v>
      </c>
      <c r="G119" s="62">
        <v>3996765</v>
      </c>
      <c r="H119" s="46">
        <v>0.1416</v>
      </c>
      <c r="I119" s="44">
        <v>16209.8</v>
      </c>
      <c r="W119" s="42" t="s">
        <v>269</v>
      </c>
    </row>
    <row r="120" spans="2:23" x14ac:dyDescent="0.2">
      <c r="B120" s="51">
        <v>118</v>
      </c>
      <c r="C120" s="43" t="s">
        <v>221</v>
      </c>
      <c r="D120" s="43" t="s">
        <v>220</v>
      </c>
      <c r="E120" s="43" t="s">
        <v>56</v>
      </c>
      <c r="F120" s="47">
        <v>74.266999999999996</v>
      </c>
      <c r="G120" s="62">
        <v>2948279</v>
      </c>
      <c r="H120" s="46">
        <v>9.4450000000000006E-2</v>
      </c>
      <c r="I120" s="44">
        <v>15717.9</v>
      </c>
      <c r="W120" s="42" t="s">
        <v>271</v>
      </c>
    </row>
    <row r="121" spans="2:23" x14ac:dyDescent="0.2">
      <c r="B121" s="51">
        <v>119</v>
      </c>
      <c r="C121" s="43" t="s">
        <v>41</v>
      </c>
      <c r="D121" s="43" t="s">
        <v>40</v>
      </c>
      <c r="E121" s="43" t="s">
        <v>42</v>
      </c>
      <c r="F121" s="47">
        <v>78.332999999999998</v>
      </c>
      <c r="G121" s="62">
        <v>2880917</v>
      </c>
      <c r="H121" s="46">
        <v>0.13897999999999999</v>
      </c>
      <c r="I121" s="44">
        <v>15058.9</v>
      </c>
      <c r="W121" s="42" t="s">
        <v>273</v>
      </c>
    </row>
    <row r="122" spans="2:23" x14ac:dyDescent="0.2">
      <c r="B122" s="51">
        <v>120</v>
      </c>
      <c r="C122" s="43" t="s">
        <v>264</v>
      </c>
      <c r="D122" s="43" t="s">
        <v>263</v>
      </c>
      <c r="E122" s="43" t="s">
        <v>45</v>
      </c>
      <c r="F122" s="47">
        <v>82.453699999999998</v>
      </c>
      <c r="G122" s="62">
        <v>440372</v>
      </c>
      <c r="H122" s="46">
        <v>4.5830000000000003E-2</v>
      </c>
      <c r="I122" s="44">
        <v>14542</v>
      </c>
      <c r="W122" s="42" t="s">
        <v>275</v>
      </c>
    </row>
    <row r="123" spans="2:23" x14ac:dyDescent="0.2">
      <c r="B123" s="51">
        <v>121</v>
      </c>
      <c r="C123" s="43" t="s">
        <v>288</v>
      </c>
      <c r="D123" s="43" t="s">
        <v>287</v>
      </c>
      <c r="E123" s="43" t="s">
        <v>53</v>
      </c>
      <c r="F123" s="47">
        <v>63.021000000000001</v>
      </c>
      <c r="G123" s="62">
        <v>2494530</v>
      </c>
      <c r="H123" s="46">
        <v>0.23949999999999999</v>
      </c>
      <c r="I123" s="44">
        <v>14521.7</v>
      </c>
      <c r="W123" s="42" t="s">
        <v>277</v>
      </c>
    </row>
    <row r="124" spans="2:23" x14ac:dyDescent="0.2">
      <c r="B124" s="51">
        <v>122</v>
      </c>
      <c r="C124" s="43" t="s">
        <v>284</v>
      </c>
      <c r="D124" s="43" t="s">
        <v>283</v>
      </c>
      <c r="E124" s="43" t="s">
        <v>53</v>
      </c>
      <c r="F124" s="47">
        <v>59.308999999999997</v>
      </c>
      <c r="G124" s="62">
        <v>30366036</v>
      </c>
      <c r="H124" s="46">
        <v>3.1719999999999998E-2</v>
      </c>
      <c r="I124" s="44">
        <v>14458</v>
      </c>
      <c r="W124" s="42" t="s">
        <v>279</v>
      </c>
    </row>
    <row r="125" spans="2:23" x14ac:dyDescent="0.2">
      <c r="B125" s="51">
        <v>123</v>
      </c>
      <c r="C125" s="43" t="s">
        <v>101</v>
      </c>
      <c r="D125" s="43" t="s">
        <v>100</v>
      </c>
      <c r="E125" s="43" t="s">
        <v>53</v>
      </c>
      <c r="F125" s="47">
        <v>60.768000000000001</v>
      </c>
      <c r="G125" s="62">
        <v>20321378</v>
      </c>
      <c r="H125" s="46">
        <v>6.59E-2</v>
      </c>
      <c r="I125" s="44">
        <v>14441.8</v>
      </c>
      <c r="W125" s="42" t="s">
        <v>281</v>
      </c>
    </row>
    <row r="126" spans="2:23" x14ac:dyDescent="0.2">
      <c r="B126" s="51">
        <v>124</v>
      </c>
      <c r="C126" s="43" t="s">
        <v>270</v>
      </c>
      <c r="D126" s="43" t="s">
        <v>269</v>
      </c>
      <c r="E126" s="43" t="s">
        <v>53</v>
      </c>
      <c r="F126" s="47">
        <v>74.514600000000002</v>
      </c>
      <c r="G126" s="62">
        <v>1198575</v>
      </c>
      <c r="H126" s="46">
        <v>6.8669999999999995E-2</v>
      </c>
      <c r="I126" s="44">
        <v>14220.3</v>
      </c>
      <c r="W126" s="42" t="s">
        <v>283</v>
      </c>
    </row>
    <row r="127" spans="2:23" x14ac:dyDescent="0.2">
      <c r="B127" s="51">
        <v>125</v>
      </c>
      <c r="C127" s="43" t="s">
        <v>97</v>
      </c>
      <c r="D127" s="43" t="s">
        <v>464</v>
      </c>
      <c r="E127" s="43" t="s">
        <v>48</v>
      </c>
      <c r="F127" s="47">
        <v>75.584999999999994</v>
      </c>
      <c r="G127" s="62">
        <v>433285</v>
      </c>
      <c r="H127" s="46">
        <v>9.2240000000000003E-2</v>
      </c>
      <c r="I127" s="44">
        <v>13567.1</v>
      </c>
      <c r="W127" s="42" t="s">
        <v>285</v>
      </c>
    </row>
    <row r="128" spans="2:23" x14ac:dyDescent="0.2">
      <c r="B128" s="51">
        <v>126</v>
      </c>
      <c r="C128" s="43" t="s">
        <v>152</v>
      </c>
      <c r="D128" s="43" t="s">
        <v>151</v>
      </c>
      <c r="E128" s="43" t="s">
        <v>53</v>
      </c>
      <c r="F128" s="47">
        <v>58.061</v>
      </c>
      <c r="G128" s="62">
        <v>1355986</v>
      </c>
      <c r="H128" s="46">
        <v>9.1620000000000007E-2</v>
      </c>
      <c r="I128" s="44">
        <v>13317.5</v>
      </c>
      <c r="W128" s="42" t="s">
        <v>287</v>
      </c>
    </row>
    <row r="129" spans="2:23" x14ac:dyDescent="0.2">
      <c r="B129" s="51">
        <v>127</v>
      </c>
      <c r="C129" s="43" t="s">
        <v>298</v>
      </c>
      <c r="D129" s="43" t="s">
        <v>297</v>
      </c>
      <c r="E129" s="43" t="s">
        <v>56</v>
      </c>
      <c r="F129" s="47">
        <v>74.067999999999998</v>
      </c>
      <c r="G129" s="62">
        <v>6545502</v>
      </c>
      <c r="H129" s="46">
        <v>4.4790000000000003E-2</v>
      </c>
      <c r="I129" s="44">
        <v>13117.9</v>
      </c>
      <c r="W129" s="42" t="s">
        <v>289</v>
      </c>
    </row>
    <row r="130" spans="2:23" x14ac:dyDescent="0.2">
      <c r="B130" s="51">
        <v>128</v>
      </c>
      <c r="C130" s="43" t="s">
        <v>278</v>
      </c>
      <c r="D130" s="43" t="s">
        <v>277</v>
      </c>
      <c r="E130" s="43" t="s">
        <v>48</v>
      </c>
      <c r="F130" s="47">
        <v>69.509</v>
      </c>
      <c r="G130" s="62">
        <v>3225167</v>
      </c>
      <c r="H130" s="46">
        <v>6.3200000000000006E-2</v>
      </c>
      <c r="I130" s="44">
        <v>13009.6</v>
      </c>
      <c r="W130" s="42" t="s">
        <v>291</v>
      </c>
    </row>
    <row r="131" spans="2:23" x14ac:dyDescent="0.2">
      <c r="B131" s="51">
        <v>129</v>
      </c>
      <c r="C131" s="43" t="s">
        <v>305</v>
      </c>
      <c r="D131" s="43" t="s">
        <v>304</v>
      </c>
      <c r="E131" s="43" t="s">
        <v>42</v>
      </c>
      <c r="F131" s="47">
        <v>75.588999999999999</v>
      </c>
      <c r="G131" s="62">
        <v>2083459</v>
      </c>
      <c r="H131" s="46">
        <v>0.21551999999999999</v>
      </c>
      <c r="I131" s="44">
        <v>12672.1</v>
      </c>
      <c r="W131" s="42" t="s">
        <v>293</v>
      </c>
    </row>
    <row r="132" spans="2:23" x14ac:dyDescent="0.2">
      <c r="B132" s="51">
        <v>130</v>
      </c>
      <c r="C132" s="43" t="s">
        <v>60</v>
      </c>
      <c r="D132" s="43" t="s">
        <v>59</v>
      </c>
      <c r="E132" s="43" t="s">
        <v>42</v>
      </c>
      <c r="F132" s="47">
        <v>74.796999999999997</v>
      </c>
      <c r="G132" s="62">
        <v>2957731</v>
      </c>
      <c r="H132" s="46">
        <v>0.17712</v>
      </c>
      <c r="I132" s="44">
        <v>12433.1</v>
      </c>
      <c r="W132" s="42" t="s">
        <v>295</v>
      </c>
    </row>
    <row r="133" spans="2:23" x14ac:dyDescent="0.2">
      <c r="B133" s="51">
        <v>131</v>
      </c>
      <c r="C133" s="43" t="s">
        <v>254</v>
      </c>
      <c r="D133" s="43" t="s">
        <v>253</v>
      </c>
      <c r="E133" s="43" t="s">
        <v>53</v>
      </c>
      <c r="F133" s="47">
        <v>66.311000000000007</v>
      </c>
      <c r="G133" s="62">
        <v>26969307</v>
      </c>
      <c r="H133" s="46">
        <v>1.6590000000000001E-2</v>
      </c>
      <c r="I133" s="44">
        <v>12100.5</v>
      </c>
      <c r="W133" s="42" t="s">
        <v>297</v>
      </c>
    </row>
    <row r="134" spans="2:23" x14ac:dyDescent="0.2">
      <c r="B134" s="51">
        <v>132</v>
      </c>
      <c r="C134" s="43" t="s">
        <v>274</v>
      </c>
      <c r="D134" s="43" t="s">
        <v>273</v>
      </c>
      <c r="E134" s="43" t="s">
        <v>42</v>
      </c>
      <c r="F134" s="47">
        <v>71.716999999999999</v>
      </c>
      <c r="G134" s="62">
        <v>4043263</v>
      </c>
      <c r="H134" s="46">
        <v>3.4110000000000001E-2</v>
      </c>
      <c r="I134" s="44">
        <v>11309.1</v>
      </c>
      <c r="W134" s="42" t="s">
        <v>299</v>
      </c>
    </row>
    <row r="135" spans="2:23" x14ac:dyDescent="0.2">
      <c r="B135" s="51">
        <v>133</v>
      </c>
      <c r="C135" s="43" t="s">
        <v>116</v>
      </c>
      <c r="D135" s="43" t="s">
        <v>115</v>
      </c>
      <c r="E135" s="43" t="s">
        <v>53</v>
      </c>
      <c r="F135" s="47">
        <v>53.712000000000003</v>
      </c>
      <c r="G135" s="62">
        <v>15946876</v>
      </c>
      <c r="H135" s="46">
        <v>2.2290000000000001E-2</v>
      </c>
      <c r="I135" s="44">
        <v>11302.5</v>
      </c>
      <c r="W135" s="42" t="s">
        <v>301</v>
      </c>
    </row>
    <row r="136" spans="2:23" x14ac:dyDescent="0.2">
      <c r="B136" s="51">
        <v>134</v>
      </c>
      <c r="C136" s="43" t="s">
        <v>191</v>
      </c>
      <c r="D136" s="43" t="s">
        <v>190</v>
      </c>
      <c r="E136" s="43" t="s">
        <v>53</v>
      </c>
      <c r="F136" s="47">
        <v>60.706000000000003</v>
      </c>
      <c r="G136" s="62">
        <v>12771246</v>
      </c>
      <c r="H136" s="46">
        <v>3.6700000000000003E-2</v>
      </c>
      <c r="I136" s="44">
        <v>10989.8</v>
      </c>
      <c r="W136" s="42" t="s">
        <v>303</v>
      </c>
    </row>
    <row r="137" spans="2:23" x14ac:dyDescent="0.2">
      <c r="B137" s="51">
        <v>135</v>
      </c>
      <c r="C137" s="43" t="s">
        <v>83</v>
      </c>
      <c r="D137" s="43" t="s">
        <v>82</v>
      </c>
      <c r="E137" s="43" t="s">
        <v>53</v>
      </c>
      <c r="F137" s="47">
        <v>61.173999999999999</v>
      </c>
      <c r="G137" s="62">
        <v>11801151</v>
      </c>
      <c r="H137" s="46">
        <v>2.1250000000000002E-2</v>
      </c>
      <c r="I137" s="44">
        <v>10359</v>
      </c>
      <c r="W137" s="42" t="s">
        <v>304</v>
      </c>
    </row>
    <row r="138" spans="2:23" x14ac:dyDescent="0.2">
      <c r="B138" s="51">
        <v>136</v>
      </c>
      <c r="C138" s="43" t="s">
        <v>197</v>
      </c>
      <c r="D138" s="43" t="s">
        <v>196</v>
      </c>
      <c r="E138" s="43" t="s">
        <v>56</v>
      </c>
      <c r="F138" s="47">
        <v>63.29</v>
      </c>
      <c r="G138" s="62">
        <v>11263770</v>
      </c>
      <c r="H138" s="46">
        <v>0.13525999999999999</v>
      </c>
      <c r="I138" s="44">
        <v>9658.08</v>
      </c>
      <c r="W138" s="42" t="s">
        <v>306</v>
      </c>
    </row>
    <row r="139" spans="2:23" x14ac:dyDescent="0.2">
      <c r="B139" s="51">
        <v>137</v>
      </c>
      <c r="C139" s="43" t="s">
        <v>338</v>
      </c>
      <c r="D139" s="43" t="s">
        <v>337</v>
      </c>
      <c r="E139" s="43" t="s">
        <v>53</v>
      </c>
      <c r="F139" s="47">
        <v>68.340999999999994</v>
      </c>
      <c r="G139" s="62">
        <v>12626950</v>
      </c>
      <c r="H139" s="46">
        <v>9.7099999999999999E-3</v>
      </c>
      <c r="I139" s="44">
        <v>9509</v>
      </c>
      <c r="W139" s="42" t="s">
        <v>308</v>
      </c>
    </row>
    <row r="140" spans="2:23" x14ac:dyDescent="0.2">
      <c r="B140" s="51">
        <v>138</v>
      </c>
      <c r="C140" s="43" t="s">
        <v>300</v>
      </c>
      <c r="D140" s="43" t="s">
        <v>299</v>
      </c>
      <c r="E140" s="43" t="s">
        <v>53</v>
      </c>
      <c r="F140" s="47">
        <v>61.598999999999997</v>
      </c>
      <c r="G140" s="62">
        <v>23310715</v>
      </c>
      <c r="H140" s="46">
        <v>2.7299999999999998E-3</v>
      </c>
      <c r="I140" s="44">
        <v>9239.51</v>
      </c>
      <c r="W140" s="42" t="s">
        <v>310</v>
      </c>
    </row>
    <row r="141" spans="2:23" x14ac:dyDescent="0.2">
      <c r="B141" s="51">
        <v>139</v>
      </c>
      <c r="C141" s="43" t="s">
        <v>235</v>
      </c>
      <c r="D141" s="43" t="s">
        <v>458</v>
      </c>
      <c r="E141" s="43" t="s">
        <v>42</v>
      </c>
      <c r="F141" s="47">
        <v>71.2</v>
      </c>
      <c r="G141" s="62">
        <v>6415850</v>
      </c>
      <c r="H141" s="46">
        <v>7.17E-2</v>
      </c>
      <c r="I141" s="44">
        <v>8092.84</v>
      </c>
      <c r="W141" s="42" t="s">
        <v>312</v>
      </c>
    </row>
    <row r="142" spans="2:23" x14ac:dyDescent="0.2">
      <c r="B142" s="51">
        <v>140</v>
      </c>
      <c r="C142" s="43" t="s">
        <v>385</v>
      </c>
      <c r="D142" s="43" t="s">
        <v>384</v>
      </c>
      <c r="E142" s="43" t="s">
        <v>42</v>
      </c>
      <c r="F142" s="47">
        <v>70.647000000000006</v>
      </c>
      <c r="G142" s="62">
        <v>9321018</v>
      </c>
      <c r="H142" s="46">
        <v>1.9220000000000001E-2</v>
      </c>
      <c r="I142" s="44">
        <v>7522.95</v>
      </c>
      <c r="W142" s="42" t="s">
        <v>314</v>
      </c>
    </row>
    <row r="143" spans="2:23" x14ac:dyDescent="0.2">
      <c r="B143" s="51">
        <v>141</v>
      </c>
      <c r="C143" s="43" t="s">
        <v>256</v>
      </c>
      <c r="D143" s="43" t="s">
        <v>255</v>
      </c>
      <c r="E143" s="43" t="s">
        <v>53</v>
      </c>
      <c r="F143" s="47">
        <v>63.279000000000003</v>
      </c>
      <c r="G143" s="62">
        <v>18628747</v>
      </c>
      <c r="H143" s="46">
        <v>5.4299999999999994E-2</v>
      </c>
      <c r="I143" s="44">
        <v>7064.97</v>
      </c>
      <c r="W143" s="42" t="s">
        <v>316</v>
      </c>
    </row>
    <row r="144" spans="2:23" x14ac:dyDescent="0.2">
      <c r="B144" s="51">
        <v>142</v>
      </c>
      <c r="C144" s="43" t="s">
        <v>164</v>
      </c>
      <c r="D144" s="43" t="s">
        <v>163</v>
      </c>
      <c r="E144" s="43" t="s">
        <v>48</v>
      </c>
      <c r="F144" s="47">
        <v>67.251999999999995</v>
      </c>
      <c r="G144" s="62">
        <v>889953</v>
      </c>
      <c r="H144" s="46">
        <v>4.1520000000000001E-2</v>
      </c>
      <c r="I144" s="44">
        <v>5479.5</v>
      </c>
      <c r="W144" s="42" t="s">
        <v>318</v>
      </c>
    </row>
    <row r="145" spans="2:23" x14ac:dyDescent="0.2">
      <c r="B145" s="51">
        <v>143</v>
      </c>
      <c r="C145" s="43" t="s">
        <v>280</v>
      </c>
      <c r="D145" s="43" t="s">
        <v>279</v>
      </c>
      <c r="E145" s="43" t="s">
        <v>42</v>
      </c>
      <c r="F145" s="47">
        <v>76.667000000000002</v>
      </c>
      <c r="G145" s="62">
        <v>627987</v>
      </c>
      <c r="H145" s="46">
        <v>0.15462000000000001</v>
      </c>
      <c r="I145" s="44">
        <v>5452.17</v>
      </c>
      <c r="W145" s="42" t="s">
        <v>320</v>
      </c>
    </row>
    <row r="146" spans="2:23" x14ac:dyDescent="0.2">
      <c r="B146" s="51">
        <v>144</v>
      </c>
      <c r="C146" s="43" t="s">
        <v>268</v>
      </c>
      <c r="D146" s="43" t="s">
        <v>267</v>
      </c>
      <c r="E146" s="43" t="s">
        <v>53</v>
      </c>
      <c r="F146" s="47">
        <v>64.463999999999999</v>
      </c>
      <c r="G146" s="62">
        <v>4525696</v>
      </c>
      <c r="H146" s="46">
        <v>1.35E-2</v>
      </c>
      <c r="I146" s="44">
        <v>5365.87</v>
      </c>
      <c r="W146" s="42" t="s">
        <v>322</v>
      </c>
    </row>
    <row r="147" spans="2:23" x14ac:dyDescent="0.2">
      <c r="B147" s="51">
        <v>145</v>
      </c>
      <c r="C147" s="43" t="s">
        <v>391</v>
      </c>
      <c r="D147" s="43" t="s">
        <v>390</v>
      </c>
      <c r="E147" s="43" t="s">
        <v>53</v>
      </c>
      <c r="F147" s="47">
        <v>60.488999999999997</v>
      </c>
      <c r="G147" s="62">
        <v>8082366</v>
      </c>
      <c r="H147" s="46">
        <v>1.668E-2</v>
      </c>
      <c r="I147" s="44">
        <v>5300.21</v>
      </c>
      <c r="W147" s="42" t="s">
        <v>324</v>
      </c>
    </row>
    <row r="148" spans="2:23" x14ac:dyDescent="0.2">
      <c r="B148" s="51">
        <v>146</v>
      </c>
      <c r="C148" s="43" t="s">
        <v>260</v>
      </c>
      <c r="D148" s="43" t="s">
        <v>259</v>
      </c>
      <c r="E148" s="43" t="s">
        <v>39</v>
      </c>
      <c r="F148" s="47">
        <v>78.325000000000003</v>
      </c>
      <c r="G148" s="62">
        <v>530953</v>
      </c>
      <c r="H148" s="46">
        <v>6.7500000000000004E-2</v>
      </c>
      <c r="I148" s="44">
        <v>5272.29</v>
      </c>
      <c r="W148" s="42" t="s">
        <v>326</v>
      </c>
    </row>
    <row r="149" spans="2:23" x14ac:dyDescent="0.2">
      <c r="B149" s="51">
        <v>147</v>
      </c>
      <c r="C149" s="43" t="s">
        <v>363</v>
      </c>
      <c r="D149" s="43" t="s">
        <v>362</v>
      </c>
      <c r="E149" s="43" t="s">
        <v>53</v>
      </c>
      <c r="F149" s="47">
        <v>56.709000000000003</v>
      </c>
      <c r="G149" s="62">
        <v>15442905</v>
      </c>
      <c r="H149" s="46">
        <v>0.13955999999999999</v>
      </c>
      <c r="I149" s="44">
        <v>4721</v>
      </c>
      <c r="W149" s="42" t="s">
        <v>328</v>
      </c>
    </row>
    <row r="150" spans="2:23" x14ac:dyDescent="0.2">
      <c r="B150" s="51">
        <v>148</v>
      </c>
      <c r="C150" s="43" t="s">
        <v>158</v>
      </c>
      <c r="D150" s="43" t="s">
        <v>157</v>
      </c>
      <c r="E150" s="43" t="s">
        <v>53</v>
      </c>
      <c r="F150" s="47">
        <v>58.319000000000003</v>
      </c>
      <c r="G150" s="62">
        <v>1148130</v>
      </c>
      <c r="H150" s="46">
        <v>0.22477</v>
      </c>
      <c r="I150" s="44">
        <v>4703.79</v>
      </c>
      <c r="W150" s="42" t="s">
        <v>330</v>
      </c>
    </row>
    <row r="151" spans="2:23" x14ac:dyDescent="0.2">
      <c r="B151" s="51">
        <v>149</v>
      </c>
      <c r="C151" s="43" t="s">
        <v>353</v>
      </c>
      <c r="D151" s="43" t="s">
        <v>352</v>
      </c>
      <c r="E151" s="43" t="s">
        <v>53</v>
      </c>
      <c r="F151" s="47">
        <v>53.895000000000003</v>
      </c>
      <c r="G151" s="62">
        <v>7813215</v>
      </c>
      <c r="H151" s="46">
        <v>4.3129999999999995E-2</v>
      </c>
      <c r="I151" s="44">
        <v>3999.95</v>
      </c>
      <c r="W151" s="42" t="s">
        <v>332</v>
      </c>
    </row>
    <row r="152" spans="2:23" x14ac:dyDescent="0.2">
      <c r="B152" s="51">
        <v>150</v>
      </c>
      <c r="C152" s="43" t="s">
        <v>195</v>
      </c>
      <c r="D152" s="43" t="s">
        <v>194</v>
      </c>
      <c r="E152" s="43" t="s">
        <v>56</v>
      </c>
      <c r="F152" s="47">
        <v>69.623999999999995</v>
      </c>
      <c r="G152" s="62">
        <v>782766</v>
      </c>
      <c r="H152" s="46">
        <v>0.12150999999999999</v>
      </c>
      <c r="I152" s="44">
        <v>3610.44</v>
      </c>
      <c r="W152" s="42" t="s">
        <v>334</v>
      </c>
    </row>
    <row r="153" spans="2:23" x14ac:dyDescent="0.2">
      <c r="B153" s="51">
        <v>151</v>
      </c>
      <c r="C153" s="43" t="s">
        <v>378</v>
      </c>
      <c r="D153" s="43" t="s">
        <v>377</v>
      </c>
      <c r="E153" s="43" t="s">
        <v>56</v>
      </c>
      <c r="F153" s="47">
        <v>71.462999999999994</v>
      </c>
      <c r="G153" s="62">
        <v>581372</v>
      </c>
      <c r="H153" s="46">
        <v>7.6310000000000003E-2</v>
      </c>
      <c r="I153" s="44">
        <v>3427.27</v>
      </c>
      <c r="W153" s="42" t="s">
        <v>451</v>
      </c>
    </row>
    <row r="154" spans="2:23" x14ac:dyDescent="0.2">
      <c r="B154" s="51">
        <v>152</v>
      </c>
      <c r="C154" s="43" t="s">
        <v>243</v>
      </c>
      <c r="D154" s="43" t="s">
        <v>242</v>
      </c>
      <c r="E154" s="43" t="s">
        <v>53</v>
      </c>
      <c r="F154" s="47">
        <v>63.295000000000002</v>
      </c>
      <c r="G154" s="62">
        <v>4937374</v>
      </c>
      <c r="H154" s="46">
        <v>2.3300000000000001E-2</v>
      </c>
      <c r="I154" s="44">
        <v>3249</v>
      </c>
      <c r="W154" s="42" t="s">
        <v>337</v>
      </c>
    </row>
    <row r="155" spans="2:23" x14ac:dyDescent="0.2">
      <c r="B155" s="51">
        <v>153</v>
      </c>
      <c r="C155" s="43" t="s">
        <v>50</v>
      </c>
      <c r="D155" s="43" t="s">
        <v>49</v>
      </c>
      <c r="E155" s="43" t="s">
        <v>42</v>
      </c>
      <c r="F155" s="47">
        <v>0</v>
      </c>
      <c r="G155" s="62">
        <v>77142</v>
      </c>
      <c r="H155" s="48"/>
      <c r="I155" s="44">
        <v>3236.54</v>
      </c>
      <c r="W155" s="42" t="s">
        <v>470</v>
      </c>
    </row>
    <row r="156" spans="2:23" x14ac:dyDescent="0.2">
      <c r="B156" s="51">
        <v>154</v>
      </c>
      <c r="C156" s="43" t="s">
        <v>103</v>
      </c>
      <c r="D156" s="43" t="s">
        <v>102</v>
      </c>
      <c r="E156" s="43" t="s">
        <v>53</v>
      </c>
      <c r="F156" s="47">
        <v>60.898000000000003</v>
      </c>
      <c r="G156" s="62">
        <v>10864245</v>
      </c>
      <c r="H156" s="46">
        <v>1.528E-2</v>
      </c>
      <c r="I156" s="44">
        <v>3078.03</v>
      </c>
      <c r="W156" s="42" t="s">
        <v>466</v>
      </c>
    </row>
    <row r="157" spans="2:23" x14ac:dyDescent="0.2">
      <c r="B157" s="51">
        <v>155</v>
      </c>
      <c r="C157" s="43" t="s">
        <v>241</v>
      </c>
      <c r="D157" s="43" t="s">
        <v>240</v>
      </c>
      <c r="E157" s="43" t="s">
        <v>53</v>
      </c>
      <c r="F157" s="47">
        <v>52.947000000000003</v>
      </c>
      <c r="G157" s="62">
        <v>2125268</v>
      </c>
      <c r="H157" s="46">
        <v>0.23596</v>
      </c>
      <c r="I157" s="44">
        <v>2791.76</v>
      </c>
      <c r="W157" s="42" t="s">
        <v>468</v>
      </c>
    </row>
    <row r="158" spans="2:23" x14ac:dyDescent="0.2">
      <c r="B158" s="51">
        <v>156</v>
      </c>
      <c r="C158" s="43" t="s">
        <v>88</v>
      </c>
      <c r="D158" s="43" t="s">
        <v>87</v>
      </c>
      <c r="E158" s="43" t="s">
        <v>39</v>
      </c>
      <c r="F158" s="47">
        <v>71.129000000000005</v>
      </c>
      <c r="G158" s="62">
        <v>763092</v>
      </c>
      <c r="H158" s="46">
        <v>2.197E-2</v>
      </c>
      <c r="I158" s="44">
        <v>2534.9699999999998</v>
      </c>
      <c r="W158" s="42" t="s">
        <v>339</v>
      </c>
    </row>
    <row r="159" spans="2:23" x14ac:dyDescent="0.2">
      <c r="B159" s="51">
        <v>157</v>
      </c>
      <c r="C159" s="43" t="s">
        <v>114</v>
      </c>
      <c r="D159" s="43" t="s">
        <v>113</v>
      </c>
      <c r="E159" s="43" t="s">
        <v>53</v>
      </c>
      <c r="F159" s="47">
        <v>52.24</v>
      </c>
      <c r="G159" s="62">
        <v>4745185</v>
      </c>
      <c r="H159" s="46">
        <v>6.4829999999999999E-2</v>
      </c>
      <c r="I159" s="44">
        <v>2379.7199999999998</v>
      </c>
      <c r="W159" s="42" t="s">
        <v>341</v>
      </c>
    </row>
    <row r="160" spans="2:23" x14ac:dyDescent="0.2">
      <c r="B160" s="51">
        <v>158</v>
      </c>
      <c r="C160" s="43" t="s">
        <v>104</v>
      </c>
      <c r="D160" s="43" t="s">
        <v>463</v>
      </c>
      <c r="E160" s="43" t="s">
        <v>53</v>
      </c>
      <c r="F160" s="47">
        <v>72.569999999999993</v>
      </c>
      <c r="G160" s="62">
        <v>549935</v>
      </c>
      <c r="H160" s="46">
        <v>0.12275999999999999</v>
      </c>
      <c r="I160" s="44">
        <v>1986.93</v>
      </c>
      <c r="W160" s="42" t="s">
        <v>465</v>
      </c>
    </row>
    <row r="161" spans="2:23" x14ac:dyDescent="0.2">
      <c r="B161" s="51">
        <v>159</v>
      </c>
      <c r="C161" s="43" t="s">
        <v>141</v>
      </c>
      <c r="D161" s="43" t="s">
        <v>140</v>
      </c>
      <c r="E161" s="43" t="s">
        <v>45</v>
      </c>
      <c r="F161" s="47">
        <v>65.893000000000001</v>
      </c>
      <c r="G161" s="62">
        <v>973560</v>
      </c>
      <c r="H161" s="46">
        <v>0.11122</v>
      </c>
      <c r="I161" s="44">
        <v>1965.98</v>
      </c>
      <c r="W161" s="42" t="s">
        <v>344</v>
      </c>
    </row>
    <row r="162" spans="2:23" x14ac:dyDescent="0.2">
      <c r="B162" s="51">
        <v>160</v>
      </c>
      <c r="C162" s="43" t="s">
        <v>81</v>
      </c>
      <c r="D162" s="43" t="s">
        <v>80</v>
      </c>
      <c r="E162" s="43" t="s">
        <v>56</v>
      </c>
      <c r="F162" s="47">
        <v>74.364999999999995</v>
      </c>
      <c r="G162" s="62">
        <v>390353</v>
      </c>
      <c r="H162" s="46">
        <v>9.3679999999999999E-2</v>
      </c>
      <c r="I162" s="44">
        <v>1925</v>
      </c>
      <c r="W162" s="42" t="s">
        <v>346</v>
      </c>
    </row>
    <row r="163" spans="2:23" x14ac:dyDescent="0.2">
      <c r="B163" s="51">
        <v>161</v>
      </c>
      <c r="C163" s="43" t="s">
        <v>373</v>
      </c>
      <c r="D163" s="43" t="s">
        <v>466</v>
      </c>
      <c r="E163" s="43" t="s">
        <v>56</v>
      </c>
      <c r="F163" s="47">
        <v>75.906999999999996</v>
      </c>
      <c r="G163" s="62">
        <v>182790</v>
      </c>
      <c r="H163" s="46">
        <v>2.8680000000000001E-2</v>
      </c>
      <c r="I163" s="44">
        <v>1876.19</v>
      </c>
      <c r="W163" s="42" t="s">
        <v>348</v>
      </c>
    </row>
    <row r="164" spans="2:23" x14ac:dyDescent="0.2">
      <c r="B164" s="51">
        <v>162</v>
      </c>
      <c r="C164" s="43" t="s">
        <v>173</v>
      </c>
      <c r="D164" s="43" t="s">
        <v>461</v>
      </c>
      <c r="E164" s="43" t="s">
        <v>53</v>
      </c>
      <c r="F164" s="47">
        <v>61.44</v>
      </c>
      <c r="G164" s="62">
        <v>2347706</v>
      </c>
      <c r="H164" s="46">
        <v>8.9499999999999996E-2</v>
      </c>
      <c r="I164" s="44">
        <v>1624.46</v>
      </c>
      <c r="W164" s="42" t="s">
        <v>350</v>
      </c>
    </row>
    <row r="165" spans="2:23" x14ac:dyDescent="0.2">
      <c r="B165" s="51">
        <v>163</v>
      </c>
      <c r="C165" s="43" t="s">
        <v>55</v>
      </c>
      <c r="D165" s="43" t="s">
        <v>54</v>
      </c>
      <c r="E165" s="43" t="s">
        <v>56</v>
      </c>
      <c r="F165" s="47">
        <v>76.751999999999995</v>
      </c>
      <c r="G165" s="62">
        <v>97118</v>
      </c>
      <c r="H165" s="48"/>
      <c r="I165" s="44">
        <v>1623.8</v>
      </c>
      <c r="W165" s="42" t="s">
        <v>352</v>
      </c>
    </row>
    <row r="166" spans="2:23" x14ac:dyDescent="0.2">
      <c r="B166" s="51">
        <v>164</v>
      </c>
      <c r="C166" s="43" t="s">
        <v>351</v>
      </c>
      <c r="D166" s="43" t="s">
        <v>350</v>
      </c>
      <c r="E166" s="43" t="s">
        <v>53</v>
      </c>
      <c r="F166" s="47">
        <v>74.3</v>
      </c>
      <c r="G166" s="62">
        <v>97739</v>
      </c>
      <c r="H166" s="48"/>
      <c r="I166" s="44">
        <v>1590.18</v>
      </c>
      <c r="W166" s="42" t="s">
        <v>354</v>
      </c>
    </row>
    <row r="167" spans="2:23" x14ac:dyDescent="0.2">
      <c r="B167" s="51">
        <v>165</v>
      </c>
      <c r="C167" s="43" t="s">
        <v>193</v>
      </c>
      <c r="D167" s="43" t="s">
        <v>192</v>
      </c>
      <c r="E167" s="43" t="s">
        <v>53</v>
      </c>
      <c r="F167" s="47">
        <v>57.673000000000002</v>
      </c>
      <c r="G167" s="62">
        <v>1920922</v>
      </c>
      <c r="H167" s="46">
        <v>4.5699999999999998E-2</v>
      </c>
      <c r="I167" s="44">
        <v>1458.16</v>
      </c>
      <c r="W167" s="42" t="s">
        <v>471</v>
      </c>
    </row>
    <row r="168" spans="2:23" x14ac:dyDescent="0.2">
      <c r="B168" s="51">
        <v>166</v>
      </c>
      <c r="C168" s="43" t="s">
        <v>361</v>
      </c>
      <c r="D168" s="43" t="s">
        <v>360</v>
      </c>
      <c r="E168" s="43" t="s">
        <v>48</v>
      </c>
      <c r="F168" s="47">
        <v>72.644999999999996</v>
      </c>
      <c r="G168" s="62">
        <v>669823</v>
      </c>
      <c r="H168" s="46">
        <v>1.7899999999999999E-2</v>
      </c>
      <c r="I168" s="44">
        <v>1411.9</v>
      </c>
      <c r="W168" s="42" t="s">
        <v>459</v>
      </c>
    </row>
    <row r="169" spans="2:23" x14ac:dyDescent="0.2">
      <c r="B169" s="51">
        <v>167</v>
      </c>
      <c r="C169" s="43" t="s">
        <v>185</v>
      </c>
      <c r="D169" s="43" t="s">
        <v>184</v>
      </c>
      <c r="E169" s="43" t="s">
        <v>56</v>
      </c>
      <c r="F169" s="47">
        <v>72.388000000000005</v>
      </c>
      <c r="G169" s="62">
        <v>112003</v>
      </c>
      <c r="H169" s="48"/>
      <c r="I169" s="44">
        <v>1207.45</v>
      </c>
      <c r="W169" s="42" t="s">
        <v>358</v>
      </c>
    </row>
    <row r="170" spans="2:23" x14ac:dyDescent="0.2">
      <c r="B170" s="51">
        <v>168</v>
      </c>
      <c r="C170" s="43" t="s">
        <v>124</v>
      </c>
      <c r="D170" s="43" t="s">
        <v>123</v>
      </c>
      <c r="E170" s="43" t="s">
        <v>53</v>
      </c>
      <c r="F170" s="47">
        <v>63.911999999999999</v>
      </c>
      <c r="G170" s="62">
        <v>850886</v>
      </c>
      <c r="H170" s="46">
        <v>3.7100000000000001E-2</v>
      </c>
      <c r="I170" s="44">
        <v>1203.08</v>
      </c>
      <c r="W170" s="42" t="s">
        <v>360</v>
      </c>
    </row>
    <row r="171" spans="2:23" x14ac:dyDescent="0.2">
      <c r="B171" s="51">
        <v>169</v>
      </c>
      <c r="C171" s="43" t="s">
        <v>372</v>
      </c>
      <c r="D171" s="43" t="s">
        <v>470</v>
      </c>
      <c r="E171" s="43" t="s">
        <v>56</v>
      </c>
      <c r="F171" s="47">
        <v>0</v>
      </c>
      <c r="G171" s="62">
        <v>52823</v>
      </c>
      <c r="H171" s="48"/>
      <c r="I171" s="44">
        <v>1039.8800000000001</v>
      </c>
      <c r="W171" s="42" t="s">
        <v>362</v>
      </c>
    </row>
    <row r="172" spans="2:23" x14ac:dyDescent="0.2">
      <c r="B172" s="51">
        <v>170</v>
      </c>
      <c r="C172" s="43" t="s">
        <v>403</v>
      </c>
      <c r="D172" s="43" t="s">
        <v>402</v>
      </c>
      <c r="E172" s="43" t="s">
        <v>56</v>
      </c>
      <c r="F172" s="47">
        <v>0</v>
      </c>
      <c r="G172" s="62">
        <v>38191</v>
      </c>
      <c r="H172" s="48"/>
      <c r="I172" s="44">
        <v>1022.31201</v>
      </c>
      <c r="W172" s="42" t="s">
        <v>364</v>
      </c>
    </row>
    <row r="173" spans="2:23" x14ac:dyDescent="0.2">
      <c r="B173" s="51">
        <v>171</v>
      </c>
      <c r="C173" s="43" t="s">
        <v>421</v>
      </c>
      <c r="D173" s="43" t="s">
        <v>420</v>
      </c>
      <c r="E173" s="43" t="s">
        <v>48</v>
      </c>
      <c r="F173" s="47">
        <v>70.171999999999997</v>
      </c>
      <c r="G173" s="62">
        <v>299882</v>
      </c>
      <c r="H173" s="46">
        <v>5.4899999999999997E-2</v>
      </c>
      <c r="I173" s="44">
        <v>887.81799999999998</v>
      </c>
      <c r="W173" s="42" t="s">
        <v>366</v>
      </c>
    </row>
    <row r="174" spans="2:23" x14ac:dyDescent="0.2">
      <c r="B174" s="51">
        <v>172</v>
      </c>
      <c r="C174" s="43" t="s">
        <v>340</v>
      </c>
      <c r="D174" s="43" t="s">
        <v>339</v>
      </c>
      <c r="E174" s="43" t="s">
        <v>48</v>
      </c>
      <c r="F174" s="47">
        <v>73.046000000000006</v>
      </c>
      <c r="G174" s="62">
        <v>197097</v>
      </c>
      <c r="H174" s="46">
        <v>8.3249999999999991E-2</v>
      </c>
      <c r="I174" s="44">
        <v>861.495</v>
      </c>
      <c r="W174" s="42" t="s">
        <v>368</v>
      </c>
    </row>
    <row r="175" spans="2:23" x14ac:dyDescent="0.2">
      <c r="B175" s="51">
        <v>173</v>
      </c>
      <c r="C175" s="43" t="s">
        <v>374</v>
      </c>
      <c r="D175" s="43" t="s">
        <v>468</v>
      </c>
      <c r="E175" s="43" t="s">
        <v>56</v>
      </c>
      <c r="F175" s="47">
        <v>72.3</v>
      </c>
      <c r="G175" s="62">
        <v>110589</v>
      </c>
      <c r="H175" s="46">
        <v>0.19760999999999998</v>
      </c>
      <c r="I175" s="44">
        <v>813.09400000000005</v>
      </c>
      <c r="W175" s="42" t="s">
        <v>370</v>
      </c>
    </row>
    <row r="176" spans="2:23" x14ac:dyDescent="0.2">
      <c r="B176" s="51">
        <v>174</v>
      </c>
      <c r="C176" s="43" t="s">
        <v>143</v>
      </c>
      <c r="D176" s="43" t="s">
        <v>142</v>
      </c>
      <c r="E176" s="43" t="s">
        <v>56</v>
      </c>
      <c r="F176" s="47">
        <v>0</v>
      </c>
      <c r="G176" s="62">
        <v>71808</v>
      </c>
      <c r="H176" s="48"/>
      <c r="I176" s="44">
        <v>503.64600000000002</v>
      </c>
      <c r="W176" s="42" t="s">
        <v>375</v>
      </c>
    </row>
    <row r="177" spans="2:23" x14ac:dyDescent="0.2">
      <c r="B177" s="51">
        <v>175</v>
      </c>
      <c r="C177" s="43" t="s">
        <v>393</v>
      </c>
      <c r="D177" s="43" t="s">
        <v>392</v>
      </c>
      <c r="E177" s="43" t="s">
        <v>48</v>
      </c>
      <c r="F177" s="47">
        <v>70.700999999999993</v>
      </c>
      <c r="G177" s="62">
        <v>110940</v>
      </c>
      <c r="H177" s="46">
        <v>1.2699999999999999E-2</v>
      </c>
      <c r="I177" s="44">
        <v>450.35300000000001</v>
      </c>
      <c r="W177" s="42" t="s">
        <v>377</v>
      </c>
    </row>
    <row r="178" spans="2:23" x14ac:dyDescent="0.2">
      <c r="B178" s="51">
        <v>176</v>
      </c>
      <c r="C178" s="43" t="s">
        <v>343</v>
      </c>
      <c r="D178" s="43" t="s">
        <v>465</v>
      </c>
      <c r="E178" s="43" t="s">
        <v>53</v>
      </c>
      <c r="F178" s="47">
        <v>69.933000000000007</v>
      </c>
      <c r="G178" s="62">
        <v>215056</v>
      </c>
      <c r="H178" s="46">
        <v>0.13319</v>
      </c>
      <c r="I178" s="44">
        <v>422.29700000000003</v>
      </c>
      <c r="W178" s="42" t="s">
        <v>379</v>
      </c>
    </row>
    <row r="179" spans="2:23" x14ac:dyDescent="0.2">
      <c r="B179" s="51">
        <v>177</v>
      </c>
      <c r="C179" s="43" t="s">
        <v>315</v>
      </c>
      <c r="D179" s="43" t="s">
        <v>314</v>
      </c>
      <c r="E179" s="43" t="s">
        <v>48</v>
      </c>
      <c r="F179" s="47">
        <v>0</v>
      </c>
      <c r="G179" s="62">
        <v>18008</v>
      </c>
      <c r="H179" s="48"/>
      <c r="I179" s="44">
        <v>310.11114500000002</v>
      </c>
      <c r="W179" s="42" t="s">
        <v>381</v>
      </c>
    </row>
    <row r="180" spans="2:23" x14ac:dyDescent="0.2">
      <c r="B180" s="51">
        <v>178</v>
      </c>
      <c r="C180" s="43" t="s">
        <v>266</v>
      </c>
      <c r="D180" s="43" t="s">
        <v>265</v>
      </c>
      <c r="E180" s="43" t="s">
        <v>48</v>
      </c>
      <c r="F180" s="47">
        <v>0</v>
      </c>
      <c r="G180" s="62">
        <v>58791</v>
      </c>
      <c r="H180" s="48"/>
      <c r="I180" s="44">
        <v>211.524</v>
      </c>
      <c r="W180" s="42" t="s">
        <v>456</v>
      </c>
    </row>
    <row r="181" spans="2:23" x14ac:dyDescent="0.2">
      <c r="B181" s="51">
        <v>179</v>
      </c>
      <c r="C181" s="43" t="s">
        <v>231</v>
      </c>
      <c r="D181" s="43" t="s">
        <v>230</v>
      </c>
      <c r="E181" s="43" t="s">
        <v>48</v>
      </c>
      <c r="F181" s="47">
        <v>67.850999999999999</v>
      </c>
      <c r="G181" s="62">
        <v>117606</v>
      </c>
      <c r="H181" s="48"/>
      <c r="I181" s="44">
        <v>188.285</v>
      </c>
      <c r="W181" s="42" t="s">
        <v>384</v>
      </c>
    </row>
    <row r="182" spans="2:23" x14ac:dyDescent="0.2">
      <c r="B182" s="51">
        <v>180</v>
      </c>
      <c r="C182" s="43" t="s">
        <v>405</v>
      </c>
      <c r="D182" s="43" t="s">
        <v>404</v>
      </c>
      <c r="E182" s="43" t="s">
        <v>48</v>
      </c>
      <c r="F182" s="47">
        <v>0</v>
      </c>
      <c r="G182" s="62">
        <v>11646</v>
      </c>
      <c r="H182" s="48"/>
      <c r="I182" s="44">
        <v>42.587800000000001</v>
      </c>
      <c r="W182" s="42" t="s">
        <v>386</v>
      </c>
    </row>
    <row r="183" spans="2:23" x14ac:dyDescent="0.2">
      <c r="B183" s="51">
        <v>181</v>
      </c>
      <c r="C183" s="43" t="s">
        <v>209</v>
      </c>
      <c r="D183" s="43" t="s">
        <v>452</v>
      </c>
      <c r="E183" s="43" t="s">
        <v>45</v>
      </c>
      <c r="F183" s="47">
        <v>76.271000000000001</v>
      </c>
      <c r="G183" s="62">
        <v>82913906</v>
      </c>
      <c r="H183" s="46">
        <v>0.11994999999999999</v>
      </c>
      <c r="I183" s="46"/>
      <c r="W183" s="42" t="s">
        <v>388</v>
      </c>
    </row>
    <row r="184" spans="2:23" x14ac:dyDescent="0.2">
      <c r="B184" s="51">
        <v>182</v>
      </c>
      <c r="C184" s="43" t="s">
        <v>422</v>
      </c>
      <c r="D184" s="43" t="s">
        <v>454</v>
      </c>
      <c r="E184" s="43" t="s">
        <v>56</v>
      </c>
      <c r="F184" s="47">
        <v>72.245999999999995</v>
      </c>
      <c r="G184" s="62">
        <v>28515829</v>
      </c>
      <c r="H184" s="46">
        <v>8.3650000000000002E-2</v>
      </c>
      <c r="I184" s="46"/>
      <c r="W184" s="42" t="s">
        <v>390</v>
      </c>
    </row>
    <row r="185" spans="2:23" x14ac:dyDescent="0.2">
      <c r="B185" s="51">
        <v>183</v>
      </c>
      <c r="C185" s="43" t="s">
        <v>383</v>
      </c>
      <c r="D185" s="43" t="s">
        <v>456</v>
      </c>
      <c r="E185" s="43" t="s">
        <v>45</v>
      </c>
      <c r="F185" s="47">
        <v>70.966999999999999</v>
      </c>
      <c r="G185" s="62">
        <v>17070135</v>
      </c>
      <c r="H185" s="46">
        <v>8.1199999999999994E-2</v>
      </c>
      <c r="I185" s="46"/>
      <c r="W185" s="42" t="s">
        <v>392</v>
      </c>
    </row>
    <row r="186" spans="2:23" x14ac:dyDescent="0.2">
      <c r="B186" s="51">
        <v>184</v>
      </c>
      <c r="C186" s="43" t="s">
        <v>132</v>
      </c>
      <c r="D186" s="43" t="s">
        <v>131</v>
      </c>
      <c r="E186" s="43" t="s">
        <v>56</v>
      </c>
      <c r="F186" s="47">
        <v>78.662000000000006</v>
      </c>
      <c r="G186" s="62">
        <v>11333483</v>
      </c>
      <c r="H186" s="46">
        <v>2.2639999999999997E-2</v>
      </c>
      <c r="I186" s="46"/>
      <c r="W186" s="42" t="s">
        <v>394</v>
      </c>
    </row>
    <row r="187" spans="2:23" x14ac:dyDescent="0.2">
      <c r="B187" s="51">
        <v>185</v>
      </c>
      <c r="C187" s="43" t="s">
        <v>367</v>
      </c>
      <c r="D187" s="43" t="s">
        <v>366</v>
      </c>
      <c r="E187" s="43" t="s">
        <v>53</v>
      </c>
      <c r="F187" s="47">
        <v>57.365000000000002</v>
      </c>
      <c r="G187" s="62">
        <v>11062113</v>
      </c>
      <c r="H187" s="46">
        <v>0.12695999999999999</v>
      </c>
      <c r="I187" s="46"/>
      <c r="W187" s="42" t="s">
        <v>396</v>
      </c>
    </row>
    <row r="188" spans="2:23" x14ac:dyDescent="0.2">
      <c r="B188" s="51">
        <v>186</v>
      </c>
      <c r="C188" s="43" t="s">
        <v>154</v>
      </c>
      <c r="D188" s="43" t="s">
        <v>153</v>
      </c>
      <c r="E188" s="43" t="s">
        <v>53</v>
      </c>
      <c r="F188" s="47">
        <v>65.537999999999997</v>
      </c>
      <c r="G188" s="62">
        <v>3497117</v>
      </c>
      <c r="H188" s="46">
        <v>6.5430000000000002E-2</v>
      </c>
      <c r="I188" s="46"/>
      <c r="W188" s="42" t="s">
        <v>398</v>
      </c>
    </row>
    <row r="189" spans="2:23" x14ac:dyDescent="0.2">
      <c r="B189" s="51">
        <v>187</v>
      </c>
      <c r="C189" s="43" t="s">
        <v>69</v>
      </c>
      <c r="D189" s="43" t="s">
        <v>434</v>
      </c>
      <c r="E189" s="43" t="s">
        <v>56</v>
      </c>
      <c r="F189" s="47">
        <v>73.554000000000002</v>
      </c>
      <c r="G189" s="62">
        <v>389482</v>
      </c>
      <c r="H189" s="46">
        <v>0.11849999999999999</v>
      </c>
      <c r="I189" s="46"/>
      <c r="W189" s="42" t="s">
        <v>400</v>
      </c>
    </row>
    <row r="190" spans="2:23" x14ac:dyDescent="0.2">
      <c r="B190" s="51">
        <v>188</v>
      </c>
      <c r="C190" s="43" t="s">
        <v>75</v>
      </c>
      <c r="D190" s="43" t="s">
        <v>74</v>
      </c>
      <c r="E190" s="43" t="s">
        <v>56</v>
      </c>
      <c r="F190" s="47">
        <v>78.980999999999995</v>
      </c>
      <c r="G190" s="62">
        <v>287025</v>
      </c>
      <c r="H190" s="46">
        <v>9.5680000000000001E-2</v>
      </c>
      <c r="I190" s="46"/>
      <c r="W190" s="42" t="s">
        <v>402</v>
      </c>
    </row>
    <row r="191" spans="2:23" x14ac:dyDescent="0.2">
      <c r="B191" s="51">
        <v>189</v>
      </c>
      <c r="C191" s="43" t="s">
        <v>294</v>
      </c>
      <c r="D191" s="43" t="s">
        <v>293</v>
      </c>
      <c r="E191" s="43" t="s">
        <v>48</v>
      </c>
      <c r="F191" s="47">
        <v>77.148799999999994</v>
      </c>
      <c r="G191" s="62">
        <v>282750</v>
      </c>
      <c r="H191" s="46">
        <v>0.13619000000000001</v>
      </c>
      <c r="I191" s="46"/>
      <c r="W191" s="42" t="s">
        <v>404</v>
      </c>
    </row>
    <row r="192" spans="2:23" x14ac:dyDescent="0.2">
      <c r="B192" s="51">
        <v>190</v>
      </c>
      <c r="C192" s="43" t="s">
        <v>170</v>
      </c>
      <c r="D192" s="43" t="s">
        <v>169</v>
      </c>
      <c r="E192" s="43" t="s">
        <v>48</v>
      </c>
      <c r="F192" s="47">
        <v>77.251000000000005</v>
      </c>
      <c r="G192" s="62">
        <v>279287</v>
      </c>
      <c r="H192" s="46">
        <v>0.1216</v>
      </c>
      <c r="I192" s="46"/>
      <c r="W192" s="42" t="s">
        <v>469</v>
      </c>
    </row>
    <row r="193" spans="2:23" x14ac:dyDescent="0.2">
      <c r="B193" s="51">
        <v>191</v>
      </c>
      <c r="C193" s="43" t="s">
        <v>187</v>
      </c>
      <c r="D193" s="43" t="s">
        <v>186</v>
      </c>
      <c r="E193" s="43" t="s">
        <v>48</v>
      </c>
      <c r="F193" s="47">
        <v>79.631</v>
      </c>
      <c r="G193" s="62">
        <v>167294</v>
      </c>
      <c r="H193" s="46">
        <v>5.6120000000000003E-2</v>
      </c>
      <c r="I193" s="46"/>
      <c r="W193" s="42" t="s">
        <v>406</v>
      </c>
    </row>
    <row r="194" spans="2:23" x14ac:dyDescent="0.2">
      <c r="B194" s="51">
        <v>192</v>
      </c>
      <c r="C194" s="43" t="s">
        <v>133</v>
      </c>
      <c r="D194" s="43" t="s">
        <v>467</v>
      </c>
      <c r="E194" s="43" t="s">
        <v>56</v>
      </c>
      <c r="F194" s="47">
        <v>78.017099999999999</v>
      </c>
      <c r="G194" s="62">
        <v>163424</v>
      </c>
      <c r="H194" s="48"/>
      <c r="I194" s="48"/>
      <c r="W194" s="42" t="s">
        <v>408</v>
      </c>
    </row>
    <row r="195" spans="2:23" x14ac:dyDescent="0.2">
      <c r="B195" s="51">
        <v>193</v>
      </c>
      <c r="C195" s="43" t="s">
        <v>62</v>
      </c>
      <c r="D195" s="43" t="s">
        <v>61</v>
      </c>
      <c r="E195" s="43" t="s">
        <v>56</v>
      </c>
      <c r="F195" s="47">
        <v>76.010000000000005</v>
      </c>
      <c r="G195" s="62">
        <v>106314</v>
      </c>
      <c r="H195" s="48"/>
      <c r="I195" s="48"/>
      <c r="W195" s="42" t="s">
        <v>410</v>
      </c>
    </row>
    <row r="196" spans="2:23" x14ac:dyDescent="0.2">
      <c r="B196" s="51">
        <v>194</v>
      </c>
      <c r="C196" s="43" t="s">
        <v>425</v>
      </c>
      <c r="D196" s="43" t="s">
        <v>469</v>
      </c>
      <c r="E196" s="43" t="s">
        <v>56</v>
      </c>
      <c r="F196" s="47">
        <v>79.419499999999999</v>
      </c>
      <c r="G196" s="62">
        <v>104578</v>
      </c>
      <c r="H196" s="46">
        <v>8.4100000000000008E-2</v>
      </c>
      <c r="I196" s="46"/>
      <c r="W196" s="42" t="s">
        <v>412</v>
      </c>
    </row>
    <row r="197" spans="2:23" x14ac:dyDescent="0.2">
      <c r="B197" s="51">
        <v>195</v>
      </c>
      <c r="C197" s="43" t="s">
        <v>215</v>
      </c>
      <c r="D197" s="43" t="s">
        <v>214</v>
      </c>
      <c r="E197" s="43" t="s">
        <v>42</v>
      </c>
      <c r="F197" s="47">
        <v>0</v>
      </c>
      <c r="G197" s="62">
        <v>84584</v>
      </c>
      <c r="H197" s="48"/>
      <c r="I197" s="48"/>
      <c r="W197" s="42" t="s">
        <v>414</v>
      </c>
    </row>
    <row r="198" spans="2:23" x14ac:dyDescent="0.2">
      <c r="B198" s="51">
        <v>196</v>
      </c>
      <c r="C198" s="43" t="s">
        <v>112</v>
      </c>
      <c r="D198" s="43" t="s">
        <v>111</v>
      </c>
      <c r="E198" s="43" t="s">
        <v>56</v>
      </c>
      <c r="F198" s="47">
        <v>0</v>
      </c>
      <c r="G198" s="62">
        <v>64948</v>
      </c>
      <c r="H198" s="48"/>
      <c r="I198" s="48"/>
      <c r="W198" s="42" t="s">
        <v>416</v>
      </c>
    </row>
    <row r="199" spans="2:23" x14ac:dyDescent="0.2">
      <c r="B199" s="51">
        <v>197</v>
      </c>
      <c r="C199" s="43" t="s">
        <v>85</v>
      </c>
      <c r="D199" s="43" t="s">
        <v>84</v>
      </c>
      <c r="E199" s="43" t="s">
        <v>86</v>
      </c>
      <c r="F199" s="47">
        <v>81.441999999999993</v>
      </c>
      <c r="G199" s="62">
        <v>62506</v>
      </c>
      <c r="H199" s="48"/>
      <c r="I199" s="48"/>
      <c r="W199" s="42" t="s">
        <v>418</v>
      </c>
    </row>
    <row r="200" spans="2:23" x14ac:dyDescent="0.2">
      <c r="B200" s="51">
        <v>198</v>
      </c>
      <c r="C200" s="43" t="s">
        <v>183</v>
      </c>
      <c r="D200" s="43" t="s">
        <v>182</v>
      </c>
      <c r="E200" s="43" t="s">
        <v>42</v>
      </c>
      <c r="F200" s="47">
        <v>0</v>
      </c>
      <c r="G200" s="62">
        <v>56672</v>
      </c>
      <c r="H200" s="48"/>
      <c r="I200" s="48"/>
      <c r="W200" s="42" t="s">
        <v>420</v>
      </c>
    </row>
    <row r="201" spans="2:23" x14ac:dyDescent="0.2">
      <c r="B201" s="51">
        <v>199</v>
      </c>
      <c r="C201" s="43" t="s">
        <v>307</v>
      </c>
      <c r="D201" s="43" t="s">
        <v>306</v>
      </c>
      <c r="E201" s="43" t="s">
        <v>48</v>
      </c>
      <c r="F201" s="47">
        <v>0</v>
      </c>
      <c r="G201" s="62">
        <v>56188</v>
      </c>
      <c r="H201" s="48"/>
      <c r="I201" s="48"/>
      <c r="W201" s="42" t="s">
        <v>454</v>
      </c>
    </row>
    <row r="202" spans="2:23" x14ac:dyDescent="0.2">
      <c r="B202" s="51">
        <v>200</v>
      </c>
      <c r="C202" s="43" t="s">
        <v>47</v>
      </c>
      <c r="D202" s="43" t="s">
        <v>46</v>
      </c>
      <c r="E202" s="43" t="s">
        <v>48</v>
      </c>
      <c r="F202" s="47">
        <v>0</v>
      </c>
      <c r="G202" s="62">
        <v>55312</v>
      </c>
      <c r="H202" s="48"/>
      <c r="I202" s="48"/>
      <c r="W202" s="42" t="s">
        <v>423</v>
      </c>
    </row>
    <row r="203" spans="2:23" x14ac:dyDescent="0.2">
      <c r="B203" s="51">
        <v>201</v>
      </c>
      <c r="C203" s="43" t="s">
        <v>162</v>
      </c>
      <c r="D203" s="43" t="s">
        <v>161</v>
      </c>
      <c r="E203" s="43" t="s">
        <v>42</v>
      </c>
      <c r="F203" s="47">
        <v>82.4</v>
      </c>
      <c r="G203" s="62">
        <v>48678</v>
      </c>
      <c r="H203" s="48"/>
      <c r="I203" s="48"/>
      <c r="W203" s="42" t="s">
        <v>453</v>
      </c>
    </row>
    <row r="204" spans="2:23" x14ac:dyDescent="0.2">
      <c r="B204" s="51">
        <v>202</v>
      </c>
      <c r="C204" s="43" t="s">
        <v>356</v>
      </c>
      <c r="D204" s="43" t="s">
        <v>471</v>
      </c>
      <c r="E204" s="43" t="s">
        <v>56</v>
      </c>
      <c r="F204" s="47">
        <v>0</v>
      </c>
      <c r="G204" s="62">
        <v>42388</v>
      </c>
      <c r="H204" s="48"/>
      <c r="I204" s="48"/>
      <c r="W204" s="42" t="s">
        <v>427</v>
      </c>
    </row>
    <row r="205" spans="2:23" x14ac:dyDescent="0.2">
      <c r="B205" s="51">
        <v>203</v>
      </c>
      <c r="C205" s="43" t="s">
        <v>276</v>
      </c>
      <c r="D205" s="43" t="s">
        <v>275</v>
      </c>
      <c r="E205" s="43" t="s">
        <v>42</v>
      </c>
      <c r="F205" s="47">
        <v>0</v>
      </c>
      <c r="G205" s="62">
        <v>38964</v>
      </c>
      <c r="H205" s="48"/>
      <c r="I205" s="48"/>
      <c r="W205" s="42" t="s">
        <v>429</v>
      </c>
    </row>
    <row r="206" spans="2:23" x14ac:dyDescent="0.2">
      <c r="B206" s="51">
        <v>204</v>
      </c>
      <c r="C206" s="43" t="s">
        <v>247</v>
      </c>
      <c r="D206" s="43" t="s">
        <v>246</v>
      </c>
      <c r="E206" s="43" t="s">
        <v>42</v>
      </c>
      <c r="F206" s="47">
        <v>82.258499999999998</v>
      </c>
      <c r="G206" s="62">
        <v>38019</v>
      </c>
      <c r="H206" s="48"/>
      <c r="I206" s="48"/>
    </row>
    <row r="207" spans="2:23" x14ac:dyDescent="0.2">
      <c r="B207" s="51">
        <v>205</v>
      </c>
      <c r="C207" s="43" t="s">
        <v>342</v>
      </c>
      <c r="D207" s="43" t="s">
        <v>341</v>
      </c>
      <c r="E207" s="43" t="s">
        <v>42</v>
      </c>
      <c r="F207" s="47">
        <v>0</v>
      </c>
      <c r="G207" s="62">
        <v>33860</v>
      </c>
      <c r="H207" s="48"/>
      <c r="I207" s="48"/>
    </row>
  </sheetData>
  <sortState xmlns:xlrd2="http://schemas.microsoft.com/office/spreadsheetml/2017/richdata2" ref="W1:W212">
    <sortCondition ref="W1"/>
  </sortState>
  <mergeCells count="14">
    <mergeCell ref="U19:U21"/>
    <mergeCell ref="Q5:S5"/>
    <mergeCell ref="R2:R3"/>
    <mergeCell ref="S2:U3"/>
    <mergeCell ref="U5:U6"/>
    <mergeCell ref="U7:U9"/>
    <mergeCell ref="U11:U12"/>
    <mergeCell ref="U13:U15"/>
    <mergeCell ref="U17:U18"/>
    <mergeCell ref="L9:N9"/>
    <mergeCell ref="L5:O5"/>
    <mergeCell ref="L6:M6"/>
    <mergeCell ref="L7:M7"/>
    <mergeCell ref="L2:Q3"/>
  </mergeCells>
  <conditionalFormatting sqref="L11:N21">
    <cfRule type="expression" dxfId="0" priority="1">
      <formula>$M11=$S$2</formula>
    </cfRule>
  </conditionalFormatting>
  <dataValidations count="2">
    <dataValidation type="list" allowBlank="1" showInputMessage="1" showErrorMessage="1" sqref="N10" xr:uid="{215A0C10-1568-4BCF-A7CB-6D38126692DD}">
      <formula1>$B$2:$J$2</formula1>
    </dataValidation>
    <dataValidation type="list" allowBlank="1" showInputMessage="1" showErrorMessage="1" sqref="S2:U3" xr:uid="{3C2B026E-F69A-41C7-B230-093125C99341}">
      <formula1>$D$3:$D$207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199-83FE-4B80-985C-B1C55D97F442}">
  <sheetPr>
    <tabColor theme="4" tint="0.79998168889431442"/>
  </sheetPr>
  <dimension ref="B2:C9"/>
  <sheetViews>
    <sheetView workbookViewId="0">
      <selection activeCell="C19" sqref="C19"/>
    </sheetView>
  </sheetViews>
  <sheetFormatPr defaultRowHeight="12.75" x14ac:dyDescent="0.2"/>
  <cols>
    <col min="1" max="1" width="4.140625" customWidth="1"/>
    <col min="2" max="2" width="14.42578125" customWidth="1"/>
    <col min="3" max="3" width="15.140625" customWidth="1"/>
  </cols>
  <sheetData>
    <row r="2" spans="2:3" x14ac:dyDescent="0.2">
      <c r="B2" s="53" t="s">
        <v>433</v>
      </c>
      <c r="C2" s="53" t="s">
        <v>435</v>
      </c>
    </row>
    <row r="3" spans="2:3" x14ac:dyDescent="0.2">
      <c r="B3" s="50"/>
      <c r="C3" s="42" t="s">
        <v>479</v>
      </c>
    </row>
    <row r="4" spans="2:3" x14ac:dyDescent="0.2">
      <c r="B4" s="50">
        <v>0</v>
      </c>
      <c r="C4" s="42" t="s">
        <v>441</v>
      </c>
    </row>
    <row r="5" spans="2:3" x14ac:dyDescent="0.2">
      <c r="B5" s="50">
        <v>1000</v>
      </c>
      <c r="C5" s="42" t="s">
        <v>436</v>
      </c>
    </row>
    <row r="6" spans="2:3" x14ac:dyDescent="0.2">
      <c r="B6" s="50">
        <v>10000</v>
      </c>
      <c r="C6" s="42" t="s">
        <v>437</v>
      </c>
    </row>
    <row r="7" spans="2:3" x14ac:dyDescent="0.2">
      <c r="B7" s="50">
        <v>100000</v>
      </c>
      <c r="C7" s="42" t="s">
        <v>438</v>
      </c>
    </row>
    <row r="8" spans="2:3" x14ac:dyDescent="0.2">
      <c r="B8" s="50">
        <v>1000000</v>
      </c>
      <c r="C8" s="42" t="s">
        <v>439</v>
      </c>
    </row>
    <row r="9" spans="2:3" x14ac:dyDescent="0.2">
      <c r="B9" s="50">
        <v>10000000</v>
      </c>
      <c r="C9" s="42" t="s">
        <v>440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5FC-C683-4E41-A289-448B9C915C6E}">
  <sheetPr>
    <tabColor theme="5" tint="0.59999389629810485"/>
  </sheetPr>
  <dimension ref="B1:I13"/>
  <sheetViews>
    <sheetView showGridLines="0" workbookViewId="0">
      <selection activeCell="G13" sqref="G13"/>
    </sheetView>
  </sheetViews>
  <sheetFormatPr defaultRowHeight="12.75" x14ac:dyDescent="0.2"/>
  <cols>
    <col min="1" max="1" width="3.5703125" customWidth="1"/>
    <col min="2" max="2" width="13" style="22" customWidth="1"/>
    <col min="3" max="5" width="11.42578125" customWidth="1"/>
    <col min="6" max="6" width="14.7109375" style="22" customWidth="1"/>
    <col min="7" max="7" width="16.7109375" customWidth="1"/>
    <col min="8" max="8" width="17.5703125" customWidth="1"/>
    <col min="13" max="13" width="8.85546875" customWidth="1"/>
  </cols>
  <sheetData>
    <row r="1" spans="2:9" ht="13.5" thickBot="1" x14ac:dyDescent="0.25"/>
    <row r="2" spans="2:9" ht="18.600000000000001" customHeight="1" thickBot="1" x14ac:dyDescent="0.25">
      <c r="B2" s="32"/>
      <c r="C2" s="109" t="s">
        <v>475</v>
      </c>
      <c r="D2" s="109"/>
      <c r="E2" s="109"/>
    </row>
    <row r="3" spans="2:9" ht="17.45" customHeight="1" thickBot="1" x14ac:dyDescent="0.25">
      <c r="B3" s="33" t="s">
        <v>23</v>
      </c>
      <c r="C3" s="33">
        <v>2016</v>
      </c>
      <c r="D3" s="33">
        <v>2017</v>
      </c>
      <c r="E3" s="33">
        <v>2018</v>
      </c>
      <c r="F3" s="34"/>
    </row>
    <row r="4" spans="2:9" ht="15.75" thickBot="1" x14ac:dyDescent="0.3">
      <c r="B4" s="35" t="s">
        <v>24</v>
      </c>
      <c r="C4" s="36">
        <v>6.56</v>
      </c>
      <c r="D4" s="36">
        <v>6.4531914893617026</v>
      </c>
      <c r="E4" s="36">
        <v>6.4147058823529406</v>
      </c>
      <c r="F4" s="75"/>
      <c r="G4" s="76" t="s">
        <v>25</v>
      </c>
      <c r="H4" s="38"/>
      <c r="I4" s="34"/>
    </row>
    <row r="5" spans="2:9" ht="15.75" thickBot="1" x14ac:dyDescent="0.3">
      <c r="B5" s="35" t="s">
        <v>26</v>
      </c>
      <c r="C5" s="39">
        <v>6.5954545454545439</v>
      </c>
      <c r="D5" s="39">
        <v>6.8125</v>
      </c>
      <c r="E5" s="39">
        <v>6.8647058823529417</v>
      </c>
      <c r="F5" s="75"/>
      <c r="G5" s="77" t="s">
        <v>27</v>
      </c>
      <c r="H5" s="38"/>
      <c r="I5" s="22"/>
    </row>
    <row r="6" spans="2:9" ht="15" x14ac:dyDescent="0.25">
      <c r="B6" s="35" t="s">
        <v>28</v>
      </c>
      <c r="C6" s="39">
        <v>7</v>
      </c>
      <c r="D6" s="39">
        <v>7.2</v>
      </c>
      <c r="E6" s="39">
        <v>7</v>
      </c>
      <c r="F6" s="75"/>
      <c r="G6" s="37"/>
    </row>
    <row r="7" spans="2:9" ht="15" x14ac:dyDescent="0.25">
      <c r="B7" s="35" t="s">
        <v>29</v>
      </c>
      <c r="C7" s="39">
        <v>7.4916666666666671</v>
      </c>
      <c r="D7" s="39">
        <v>6.8642857142857148</v>
      </c>
      <c r="E7" s="39">
        <v>7.2153846153846155</v>
      </c>
      <c r="F7" s="75"/>
      <c r="G7" s="110" t="s">
        <v>476</v>
      </c>
      <c r="H7" s="111"/>
    </row>
    <row r="8" spans="2:9" ht="15" x14ac:dyDescent="0.25">
      <c r="B8" s="35" t="s">
        <v>30</v>
      </c>
      <c r="C8" s="39">
        <v>6.2083333333333321</v>
      </c>
      <c r="D8" s="39">
        <v>6.1333333333333311</v>
      </c>
      <c r="E8" s="39">
        <v>6.3238095238095227</v>
      </c>
      <c r="F8" s="75"/>
      <c r="G8" s="110"/>
      <c r="H8" s="111"/>
    </row>
    <row r="9" spans="2:9" ht="15" x14ac:dyDescent="0.25">
      <c r="B9" s="35" t="s">
        <v>31</v>
      </c>
      <c r="C9" s="39">
        <v>6.75</v>
      </c>
      <c r="D9" s="39">
        <v>6.8624999999999998</v>
      </c>
      <c r="E9" s="39">
        <v>6.7799999999999994</v>
      </c>
      <c r="F9" s="75"/>
      <c r="G9" s="40"/>
    </row>
    <row r="10" spans="2:9" ht="15" x14ac:dyDescent="0.25">
      <c r="B10" s="35" t="s">
        <v>32</v>
      </c>
      <c r="C10" s="39">
        <v>5.75</v>
      </c>
      <c r="D10" s="39">
        <v>6.9499999999999993</v>
      </c>
      <c r="E10" s="39">
        <v>7.1</v>
      </c>
      <c r="F10" s="75"/>
      <c r="G10" s="41"/>
    </row>
    <row r="11" spans="2:9" ht="15" x14ac:dyDescent="0.25">
      <c r="B11" s="35" t="s">
        <v>33</v>
      </c>
      <c r="C11" s="39">
        <v>6.6592592592592608</v>
      </c>
      <c r="D11" s="39">
        <v>6.5375000000000005</v>
      </c>
      <c r="E11" s="39">
        <v>6.5478260869565226</v>
      </c>
      <c r="F11" s="75"/>
    </row>
    <row r="12" spans="2:9" ht="15" x14ac:dyDescent="0.25">
      <c r="B12" s="35" t="s">
        <v>34</v>
      </c>
      <c r="C12" s="39">
        <v>6.2666666666666657</v>
      </c>
      <c r="D12" s="39">
        <v>4.7</v>
      </c>
      <c r="E12" s="39">
        <v>6.1</v>
      </c>
      <c r="F12" s="75"/>
    </row>
    <row r="13" spans="2:9" ht="15" x14ac:dyDescent="0.25">
      <c r="B13" s="35" t="s">
        <v>35</v>
      </c>
      <c r="C13" s="39">
        <v>6.083333333333333</v>
      </c>
      <c r="D13" s="39">
        <v>5.7166666666666659</v>
      </c>
      <c r="E13" s="39">
        <v>5.3500000000000005</v>
      </c>
      <c r="F13" s="75"/>
    </row>
  </sheetData>
  <mergeCells count="3">
    <mergeCell ref="C2:E2"/>
    <mergeCell ref="G7:G8"/>
    <mergeCell ref="H7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52B36-8DCE-41B8-BA2F-08A8D2809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Checker Example</vt:lpstr>
      <vt:lpstr>Fuzzy Match Lookup</vt:lpstr>
      <vt:lpstr>XLOOKUP</vt:lpstr>
      <vt:lpstr>GDP Category</vt:lpstr>
      <vt:lpstr>CHOOSE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pdaley</dc:creator>
  <cp:lastModifiedBy>sabbir hossain</cp:lastModifiedBy>
  <dcterms:created xsi:type="dcterms:W3CDTF">2005-01-06T20:29:10Z</dcterms:created>
  <dcterms:modified xsi:type="dcterms:W3CDTF">2026-07-24T06:54:15Z</dcterms:modified>
</cp:coreProperties>
</file>