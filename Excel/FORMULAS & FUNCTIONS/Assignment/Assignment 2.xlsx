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FORMULAS ^0 FUNCTIONS/Assignment/"/>
    </mc:Choice>
  </mc:AlternateContent>
  <xr:revisionPtr revIDLastSave="2" documentId="10_ncr:100000_{9AA84931-FFEB-483E-87E2-FF634B853905}" xr6:coauthVersionLast="47" xr6:coauthVersionMax="47" xr10:uidLastSave="{1F307CEC-8F83-4E78-9874-50E7FB5D391B}"/>
  <bookViews>
    <workbookView xWindow="-120" yWindow="-120" windowWidth="19440" windowHeight="15000" xr2:uid="{00000000-000D-0000-FFFF-FFFF00000000}"/>
  </bookViews>
  <sheets>
    <sheet name="Weather Data" sheetId="2" r:id="rId1"/>
    <sheet name="Sheet1" sheetId="3" r:id="rId2"/>
  </sheets>
  <definedNames>
    <definedName name="_xlnm._FilterDatabase" localSheetId="0" hidden="1">'Weather Data'!$A$3:$M$1448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3" l="1" a="1"/>
  <c r="G3" i="3" a="1"/>
  <c r="F2" i="3" a="1"/>
  <c r="F3" i="3" a="1"/>
  <c r="E2" i="3"/>
  <c r="E3" i="3"/>
  <c r="I3" i="3"/>
  <c r="H3" i="3"/>
  <c r="B3" i="3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1002" i="2"/>
  <c r="M1003" i="2"/>
  <c r="M1004" i="2"/>
  <c r="M1005" i="2"/>
  <c r="M1006" i="2"/>
  <c r="M1007" i="2"/>
  <c r="M1008" i="2"/>
  <c r="M1009" i="2"/>
  <c r="M1010" i="2"/>
  <c r="M1011" i="2"/>
  <c r="M1012" i="2"/>
  <c r="M1013" i="2"/>
  <c r="M1014" i="2"/>
  <c r="M1015" i="2"/>
  <c r="M1016" i="2"/>
  <c r="M1017" i="2"/>
  <c r="M1018" i="2"/>
  <c r="M1019" i="2"/>
  <c r="M1020" i="2"/>
  <c r="M1021" i="2"/>
  <c r="M1022" i="2"/>
  <c r="M1023" i="2"/>
  <c r="M1024" i="2"/>
  <c r="M1025" i="2"/>
  <c r="M1026" i="2"/>
  <c r="M1027" i="2"/>
  <c r="M1028" i="2"/>
  <c r="M1029" i="2"/>
  <c r="M1030" i="2"/>
  <c r="M1031" i="2"/>
  <c r="M1032" i="2"/>
  <c r="M1033" i="2"/>
  <c r="M1034" i="2"/>
  <c r="M1035" i="2"/>
  <c r="M1036" i="2"/>
  <c r="M1037" i="2"/>
  <c r="M1038" i="2"/>
  <c r="M1039" i="2"/>
  <c r="M1040" i="2"/>
  <c r="M1041" i="2"/>
  <c r="M1042" i="2"/>
  <c r="M1043" i="2"/>
  <c r="M1044" i="2"/>
  <c r="M1045" i="2"/>
  <c r="M1046" i="2"/>
  <c r="M1047" i="2"/>
  <c r="M1048" i="2"/>
  <c r="M1049" i="2"/>
  <c r="M1050" i="2"/>
  <c r="M1051" i="2"/>
  <c r="M1052" i="2"/>
  <c r="M1053" i="2"/>
  <c r="M1054" i="2"/>
  <c r="M1055" i="2"/>
  <c r="M1056" i="2"/>
  <c r="M1057" i="2"/>
  <c r="M1058" i="2"/>
  <c r="M1059" i="2"/>
  <c r="M1060" i="2"/>
  <c r="M1061" i="2"/>
  <c r="M1062" i="2"/>
  <c r="M1063" i="2"/>
  <c r="M1064" i="2"/>
  <c r="M1065" i="2"/>
  <c r="M1066" i="2"/>
  <c r="M1067" i="2"/>
  <c r="M1068" i="2"/>
  <c r="M1069" i="2"/>
  <c r="M1070" i="2"/>
  <c r="M1071" i="2"/>
  <c r="M1072" i="2"/>
  <c r="M1073" i="2"/>
  <c r="M1074" i="2"/>
  <c r="M1075" i="2"/>
  <c r="M1076" i="2"/>
  <c r="M1077" i="2"/>
  <c r="M1078" i="2"/>
  <c r="M1079" i="2"/>
  <c r="M1080" i="2"/>
  <c r="M1081" i="2"/>
  <c r="M1082" i="2"/>
  <c r="M1083" i="2"/>
  <c r="M1084" i="2"/>
  <c r="M1085" i="2"/>
  <c r="M1086" i="2"/>
  <c r="M1087" i="2"/>
  <c r="M1088" i="2"/>
  <c r="M1089" i="2"/>
  <c r="M1090" i="2"/>
  <c r="M1091" i="2"/>
  <c r="M1092" i="2"/>
  <c r="M1093" i="2"/>
  <c r="M1094" i="2"/>
  <c r="M1095" i="2"/>
  <c r="M1096" i="2"/>
  <c r="M1097" i="2"/>
  <c r="M1098" i="2"/>
  <c r="M1099" i="2"/>
  <c r="M1100" i="2"/>
  <c r="M1101" i="2"/>
  <c r="M1102" i="2"/>
  <c r="M1103" i="2"/>
  <c r="M1104" i="2"/>
  <c r="M1105" i="2"/>
  <c r="M1106" i="2"/>
  <c r="M1107" i="2"/>
  <c r="M1108" i="2"/>
  <c r="M1109" i="2"/>
  <c r="M1110" i="2"/>
  <c r="M1111" i="2"/>
  <c r="M1112" i="2"/>
  <c r="M1113" i="2"/>
  <c r="M1114" i="2"/>
  <c r="M1115" i="2"/>
  <c r="M1116" i="2"/>
  <c r="M1117" i="2"/>
  <c r="M1118" i="2"/>
  <c r="M1119" i="2"/>
  <c r="M1120" i="2"/>
  <c r="M1121" i="2"/>
  <c r="M1122" i="2"/>
  <c r="M1123" i="2"/>
  <c r="M1124" i="2"/>
  <c r="M1125" i="2"/>
  <c r="M1126" i="2"/>
  <c r="M1127" i="2"/>
  <c r="M1128" i="2"/>
  <c r="M1129" i="2"/>
  <c r="M1130" i="2"/>
  <c r="M1131" i="2"/>
  <c r="M1132" i="2"/>
  <c r="M1133" i="2"/>
  <c r="M1134" i="2"/>
  <c r="M1135" i="2"/>
  <c r="M1136" i="2"/>
  <c r="M1137" i="2"/>
  <c r="M1138" i="2"/>
  <c r="M1139" i="2"/>
  <c r="M1140" i="2"/>
  <c r="M1141" i="2"/>
  <c r="M1142" i="2"/>
  <c r="M1143" i="2"/>
  <c r="M1144" i="2"/>
  <c r="M1145" i="2"/>
  <c r="M1146" i="2"/>
  <c r="M1147" i="2"/>
  <c r="M1148" i="2"/>
  <c r="M1149" i="2"/>
  <c r="M1150" i="2"/>
  <c r="M1151" i="2"/>
  <c r="M1152" i="2"/>
  <c r="M1153" i="2"/>
  <c r="M1154" i="2"/>
  <c r="M1155" i="2"/>
  <c r="M1156" i="2"/>
  <c r="M1157" i="2"/>
  <c r="M1158" i="2"/>
  <c r="M1159" i="2"/>
  <c r="M1160" i="2"/>
  <c r="M1161" i="2"/>
  <c r="M1162" i="2"/>
  <c r="M1163" i="2"/>
  <c r="M1164" i="2"/>
  <c r="M1165" i="2"/>
  <c r="M1166" i="2"/>
  <c r="M1167" i="2"/>
  <c r="M1168" i="2"/>
  <c r="M1169" i="2"/>
  <c r="M1170" i="2"/>
  <c r="M1171" i="2"/>
  <c r="M1172" i="2"/>
  <c r="M1173" i="2"/>
  <c r="M1174" i="2"/>
  <c r="M1175" i="2"/>
  <c r="M1176" i="2"/>
  <c r="M1177" i="2"/>
  <c r="M1178" i="2"/>
  <c r="M1179" i="2"/>
  <c r="M1180" i="2"/>
  <c r="M1181" i="2"/>
  <c r="M1182" i="2"/>
  <c r="M1183" i="2"/>
  <c r="M1184" i="2"/>
  <c r="M1185" i="2"/>
  <c r="M1186" i="2"/>
  <c r="M1187" i="2"/>
  <c r="M1188" i="2"/>
  <c r="M1189" i="2"/>
  <c r="M1190" i="2"/>
  <c r="M1191" i="2"/>
  <c r="M1192" i="2"/>
  <c r="M1193" i="2"/>
  <c r="M1194" i="2"/>
  <c r="M1195" i="2"/>
  <c r="M1196" i="2"/>
  <c r="M1197" i="2"/>
  <c r="M1198" i="2"/>
  <c r="M1199" i="2"/>
  <c r="M1200" i="2"/>
  <c r="M1201" i="2"/>
  <c r="M1202" i="2"/>
  <c r="M1203" i="2"/>
  <c r="M1204" i="2"/>
  <c r="M1205" i="2"/>
  <c r="M1206" i="2"/>
  <c r="M1207" i="2"/>
  <c r="M1208" i="2"/>
  <c r="M1209" i="2"/>
  <c r="M1210" i="2"/>
  <c r="M1211" i="2"/>
  <c r="M1212" i="2"/>
  <c r="M1213" i="2"/>
  <c r="M1214" i="2"/>
  <c r="M1215" i="2"/>
  <c r="M1216" i="2"/>
  <c r="M1217" i="2"/>
  <c r="M1218" i="2"/>
  <c r="M1219" i="2"/>
  <c r="M1220" i="2"/>
  <c r="M1221" i="2"/>
  <c r="M1222" i="2"/>
  <c r="M1223" i="2"/>
  <c r="M1224" i="2"/>
  <c r="M1225" i="2"/>
  <c r="M1226" i="2"/>
  <c r="M1227" i="2"/>
  <c r="M1228" i="2"/>
  <c r="M1229" i="2"/>
  <c r="M1230" i="2"/>
  <c r="M1231" i="2"/>
  <c r="M1232" i="2"/>
  <c r="M1233" i="2"/>
  <c r="M1234" i="2"/>
  <c r="M1235" i="2"/>
  <c r="M1236" i="2"/>
  <c r="M1237" i="2"/>
  <c r="M1238" i="2"/>
  <c r="M1239" i="2"/>
  <c r="M1240" i="2"/>
  <c r="M1241" i="2"/>
  <c r="M1242" i="2"/>
  <c r="M1243" i="2"/>
  <c r="M1244" i="2"/>
  <c r="M1245" i="2"/>
  <c r="M1246" i="2"/>
  <c r="M1247" i="2"/>
  <c r="M1248" i="2"/>
  <c r="M1249" i="2"/>
  <c r="M1250" i="2"/>
  <c r="M1251" i="2"/>
  <c r="M1252" i="2"/>
  <c r="M1253" i="2"/>
  <c r="M1254" i="2"/>
  <c r="M1255" i="2"/>
  <c r="M1256" i="2"/>
  <c r="M1257" i="2"/>
  <c r="M1258" i="2"/>
  <c r="M1259" i="2"/>
  <c r="M1260" i="2"/>
  <c r="M1261" i="2"/>
  <c r="M1262" i="2"/>
  <c r="M1263" i="2"/>
  <c r="M1264" i="2"/>
  <c r="M1265" i="2"/>
  <c r="M1266" i="2"/>
  <c r="M1267" i="2"/>
  <c r="M1268" i="2"/>
  <c r="M1269" i="2"/>
  <c r="M1270" i="2"/>
  <c r="M1271" i="2"/>
  <c r="M1272" i="2"/>
  <c r="M1273" i="2"/>
  <c r="M1274" i="2"/>
  <c r="M1275" i="2"/>
  <c r="M1276" i="2"/>
  <c r="M1277" i="2"/>
  <c r="M1278" i="2"/>
  <c r="M1279" i="2"/>
  <c r="M1280" i="2"/>
  <c r="M1281" i="2"/>
  <c r="M1282" i="2"/>
  <c r="M1283" i="2"/>
  <c r="M1284" i="2"/>
  <c r="M1285" i="2"/>
  <c r="M1286" i="2"/>
  <c r="M1287" i="2"/>
  <c r="M1288" i="2"/>
  <c r="M1289" i="2"/>
  <c r="M1290" i="2"/>
  <c r="M1291" i="2"/>
  <c r="M1292" i="2"/>
  <c r="M1293" i="2"/>
  <c r="M1294" i="2"/>
  <c r="M1295" i="2"/>
  <c r="M1296" i="2"/>
  <c r="M1297" i="2"/>
  <c r="M1298" i="2"/>
  <c r="M1299" i="2"/>
  <c r="M1300" i="2"/>
  <c r="M1301" i="2"/>
  <c r="M1302" i="2"/>
  <c r="M1303" i="2"/>
  <c r="M1304" i="2"/>
  <c r="M1305" i="2"/>
  <c r="M1306" i="2"/>
  <c r="M1307" i="2"/>
  <c r="M1308" i="2"/>
  <c r="M1309" i="2"/>
  <c r="M1310" i="2"/>
  <c r="M1311" i="2"/>
  <c r="M1312" i="2"/>
  <c r="M1313" i="2"/>
  <c r="M1314" i="2"/>
  <c r="M1315" i="2"/>
  <c r="M1316" i="2"/>
  <c r="M1317" i="2"/>
  <c r="M1318" i="2"/>
  <c r="M1319" i="2"/>
  <c r="M1320" i="2"/>
  <c r="M1321" i="2"/>
  <c r="M1322" i="2"/>
  <c r="M1323" i="2"/>
  <c r="M1324" i="2"/>
  <c r="M1325" i="2"/>
  <c r="M1326" i="2"/>
  <c r="M1327" i="2"/>
  <c r="M1328" i="2"/>
  <c r="M1329" i="2"/>
  <c r="M1330" i="2"/>
  <c r="M1331" i="2"/>
  <c r="M1332" i="2"/>
  <c r="M1333" i="2"/>
  <c r="M1334" i="2"/>
  <c r="M1335" i="2"/>
  <c r="M1336" i="2"/>
  <c r="M1337" i="2"/>
  <c r="M1338" i="2"/>
  <c r="M1339" i="2"/>
  <c r="M1340" i="2"/>
  <c r="M1341" i="2"/>
  <c r="M1342" i="2"/>
  <c r="M1343" i="2"/>
  <c r="M1344" i="2"/>
  <c r="M1345" i="2"/>
  <c r="M1346" i="2"/>
  <c r="M1347" i="2"/>
  <c r="M1348" i="2"/>
  <c r="M1349" i="2"/>
  <c r="M1350" i="2"/>
  <c r="M1351" i="2"/>
  <c r="M1352" i="2"/>
  <c r="M1353" i="2"/>
  <c r="M1354" i="2"/>
  <c r="M1355" i="2"/>
  <c r="M1356" i="2"/>
  <c r="M1357" i="2"/>
  <c r="M1358" i="2"/>
  <c r="M1359" i="2"/>
  <c r="M1360" i="2"/>
  <c r="M1361" i="2"/>
  <c r="M1362" i="2"/>
  <c r="M1363" i="2"/>
  <c r="M1364" i="2"/>
  <c r="M1365" i="2"/>
  <c r="M1366" i="2"/>
  <c r="M1367" i="2"/>
  <c r="M1368" i="2"/>
  <c r="M1369" i="2"/>
  <c r="M1370" i="2"/>
  <c r="M1371" i="2"/>
  <c r="M1372" i="2"/>
  <c r="M1373" i="2"/>
  <c r="M1374" i="2"/>
  <c r="M1375" i="2"/>
  <c r="M1376" i="2"/>
  <c r="M1377" i="2"/>
  <c r="M1378" i="2"/>
  <c r="M1379" i="2"/>
  <c r="M1380" i="2"/>
  <c r="M1381" i="2"/>
  <c r="M1382" i="2"/>
  <c r="M1383" i="2"/>
  <c r="M1384" i="2"/>
  <c r="M1385" i="2"/>
  <c r="M1386" i="2"/>
  <c r="M1387" i="2"/>
  <c r="M1388" i="2"/>
  <c r="M1389" i="2"/>
  <c r="M1390" i="2"/>
  <c r="M1391" i="2"/>
  <c r="M1392" i="2"/>
  <c r="M1393" i="2"/>
  <c r="M1394" i="2"/>
  <c r="M1395" i="2"/>
  <c r="M1396" i="2"/>
  <c r="M1397" i="2"/>
  <c r="M1398" i="2"/>
  <c r="M1399" i="2"/>
  <c r="M1400" i="2"/>
  <c r="M1401" i="2"/>
  <c r="M1402" i="2"/>
  <c r="M1403" i="2"/>
  <c r="M1404" i="2"/>
  <c r="M1405" i="2"/>
  <c r="M1406" i="2"/>
  <c r="M1407" i="2"/>
  <c r="M1408" i="2"/>
  <c r="M1409" i="2"/>
  <c r="M1410" i="2"/>
  <c r="M1411" i="2"/>
  <c r="M1412" i="2"/>
  <c r="M1413" i="2"/>
  <c r="M1414" i="2"/>
  <c r="M1415" i="2"/>
  <c r="M1416" i="2"/>
  <c r="M1417" i="2"/>
  <c r="M1418" i="2"/>
  <c r="M1419" i="2"/>
  <c r="M1420" i="2"/>
  <c r="M1421" i="2"/>
  <c r="M1422" i="2"/>
  <c r="M1423" i="2"/>
  <c r="M1424" i="2"/>
  <c r="M1425" i="2"/>
  <c r="M1426" i="2"/>
  <c r="M1427" i="2"/>
  <c r="M1428" i="2"/>
  <c r="M1429" i="2"/>
  <c r="M1430" i="2"/>
  <c r="M1431" i="2"/>
  <c r="M1432" i="2"/>
  <c r="M1433" i="2"/>
  <c r="M1434" i="2"/>
  <c r="M1435" i="2"/>
  <c r="M1436" i="2"/>
  <c r="M1437" i="2"/>
  <c r="M1438" i="2"/>
  <c r="M1439" i="2"/>
  <c r="M1440" i="2"/>
  <c r="M1441" i="2"/>
  <c r="M1442" i="2"/>
  <c r="M1443" i="2"/>
  <c r="M1444" i="2"/>
  <c r="M1445" i="2"/>
  <c r="M1446" i="2"/>
  <c r="M1447" i="2"/>
  <c r="M1448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K4" i="2" a="1"/>
  <c r="K5" i="2" a="1"/>
  <c r="K6" i="2" a="1"/>
  <c r="K7" i="2" a="1"/>
  <c r="K8" i="2" a="1"/>
  <c r="K9" i="2" a="1"/>
  <c r="K10" i="2" a="1"/>
  <c r="K11" i="2" a="1"/>
  <c r="K12" i="2" a="1"/>
  <c r="K13" i="2" a="1"/>
  <c r="K14" i="2" a="1"/>
  <c r="K15" i="2" a="1"/>
  <c r="K16" i="2" a="1"/>
  <c r="K17" i="2" a="1"/>
  <c r="K18" i="2" a="1"/>
  <c r="K19" i="2" a="1"/>
  <c r="K20" i="2" a="1"/>
  <c r="K21" i="2" a="1"/>
  <c r="K22" i="2" a="1"/>
  <c r="K23" i="2" a="1"/>
  <c r="K24" i="2" a="1"/>
  <c r="K25" i="2" a="1"/>
  <c r="K26" i="2" a="1"/>
  <c r="K27" i="2" a="1"/>
  <c r="K28" i="2" a="1"/>
  <c r="K29" i="2" a="1"/>
  <c r="K30" i="2" a="1"/>
  <c r="K31" i="2" a="1"/>
  <c r="K32" i="2" a="1"/>
  <c r="K33" i="2" a="1"/>
  <c r="K34" i="2" a="1"/>
  <c r="K35" i="2" a="1"/>
  <c r="K36" i="2" a="1"/>
  <c r="K37" i="2" a="1"/>
  <c r="K38" i="2" a="1"/>
  <c r="K39" i="2" a="1"/>
  <c r="K40" i="2" a="1"/>
  <c r="K41" i="2" a="1"/>
  <c r="K42" i="2" a="1"/>
  <c r="K43" i="2" a="1"/>
  <c r="K44" i="2" a="1"/>
  <c r="K45" i="2" a="1"/>
  <c r="K46" i="2" a="1"/>
  <c r="K47" i="2" a="1"/>
  <c r="K48" i="2" a="1"/>
  <c r="K49" i="2" a="1"/>
  <c r="K50" i="2" a="1"/>
  <c r="K51" i="2" a="1"/>
  <c r="K52" i="2" a="1"/>
  <c r="K53" i="2" a="1"/>
  <c r="K54" i="2" a="1"/>
  <c r="K55" i="2" a="1"/>
  <c r="K56" i="2" a="1"/>
  <c r="K57" i="2" a="1"/>
  <c r="K58" i="2" a="1"/>
  <c r="K59" i="2" a="1"/>
  <c r="K60" i="2" a="1"/>
  <c r="K61" i="2" a="1"/>
  <c r="K62" i="2" a="1"/>
  <c r="K63" i="2" a="1"/>
  <c r="K64" i="2" a="1"/>
  <c r="K65" i="2" a="1"/>
  <c r="K66" i="2" a="1"/>
  <c r="K67" i="2" a="1"/>
  <c r="K68" i="2" a="1"/>
  <c r="K69" i="2" a="1"/>
  <c r="K70" i="2" a="1"/>
  <c r="K71" i="2" a="1"/>
  <c r="K72" i="2" a="1"/>
  <c r="K73" i="2" a="1"/>
  <c r="K74" i="2" a="1"/>
  <c r="K75" i="2" a="1"/>
  <c r="K76" i="2" a="1"/>
  <c r="K77" i="2" a="1"/>
  <c r="K78" i="2" a="1"/>
  <c r="K79" i="2" a="1"/>
  <c r="K80" i="2" a="1"/>
  <c r="K81" i="2" a="1"/>
  <c r="K82" i="2" a="1"/>
  <c r="K83" i="2" a="1"/>
  <c r="K84" i="2" a="1"/>
  <c r="K85" i="2" a="1"/>
  <c r="K86" i="2" a="1"/>
  <c r="K87" i="2" a="1"/>
  <c r="K88" i="2" a="1"/>
  <c r="K89" i="2" a="1"/>
  <c r="K90" i="2" a="1"/>
  <c r="K91" i="2" a="1"/>
  <c r="K92" i="2" a="1"/>
  <c r="K93" i="2" a="1"/>
  <c r="K94" i="2" a="1"/>
  <c r="K95" i="2" a="1"/>
  <c r="K96" i="2" a="1"/>
  <c r="K97" i="2" a="1"/>
  <c r="K98" i="2" a="1"/>
  <c r="K99" i="2" a="1"/>
  <c r="K100" i="2" a="1"/>
  <c r="K101" i="2" a="1"/>
  <c r="K102" i="2" a="1"/>
  <c r="K103" i="2" a="1"/>
  <c r="K104" i="2" a="1"/>
  <c r="K105" i="2" a="1"/>
  <c r="K106" i="2" a="1"/>
  <c r="K107" i="2" a="1"/>
  <c r="K108" i="2" a="1"/>
  <c r="K109" i="2" a="1"/>
  <c r="K110" i="2" a="1"/>
  <c r="K111" i="2" a="1"/>
  <c r="K112" i="2" a="1"/>
  <c r="K113" i="2" a="1"/>
  <c r="K114" i="2" a="1"/>
  <c r="K115" i="2" a="1"/>
  <c r="K116" i="2" a="1"/>
  <c r="K117" i="2" a="1"/>
  <c r="K118" i="2" a="1"/>
  <c r="K119" i="2" a="1"/>
  <c r="K120" i="2" a="1"/>
  <c r="K121" i="2" a="1"/>
  <c r="K122" i="2" a="1"/>
  <c r="K123" i="2" a="1"/>
  <c r="K124" i="2" a="1"/>
  <c r="K125" i="2" a="1"/>
  <c r="K126" i="2" a="1"/>
  <c r="K127" i="2" a="1"/>
  <c r="K128" i="2" a="1"/>
  <c r="K129" i="2" a="1"/>
  <c r="K130" i="2" a="1"/>
  <c r="K131" i="2" a="1"/>
  <c r="K132" i="2" a="1"/>
  <c r="K133" i="2" a="1"/>
  <c r="K134" i="2" a="1"/>
  <c r="K135" i="2" a="1"/>
  <c r="K136" i="2" a="1"/>
  <c r="K137" i="2" a="1"/>
  <c r="K138" i="2" a="1"/>
  <c r="K139" i="2" a="1"/>
  <c r="K140" i="2" a="1"/>
  <c r="K141" i="2" a="1"/>
  <c r="K142" i="2" a="1"/>
  <c r="K143" i="2" a="1"/>
  <c r="K144" i="2" a="1"/>
  <c r="K145" i="2" a="1"/>
  <c r="K146" i="2" a="1"/>
  <c r="K147" i="2" a="1"/>
  <c r="K148" i="2" a="1"/>
  <c r="K149" i="2" a="1"/>
  <c r="K150" i="2" a="1"/>
  <c r="K151" i="2" a="1"/>
  <c r="K152" i="2" a="1"/>
  <c r="K153" i="2" a="1"/>
  <c r="K154" i="2" a="1"/>
  <c r="K155" i="2" a="1"/>
  <c r="K156" i="2" a="1"/>
  <c r="K157" i="2" a="1"/>
  <c r="K158" i="2" a="1"/>
  <c r="K159" i="2" a="1"/>
  <c r="K160" i="2" a="1"/>
  <c r="K161" i="2" a="1"/>
  <c r="K162" i="2" a="1"/>
  <c r="K163" i="2" a="1"/>
  <c r="K164" i="2" a="1"/>
  <c r="K165" i="2" a="1"/>
  <c r="K166" i="2" a="1"/>
  <c r="K167" i="2" a="1"/>
  <c r="K168" i="2" a="1"/>
  <c r="K169" i="2" a="1"/>
  <c r="K170" i="2" a="1"/>
  <c r="K171" i="2" a="1"/>
  <c r="K172" i="2" a="1"/>
  <c r="K173" i="2" a="1"/>
  <c r="K174" i="2" a="1"/>
  <c r="K175" i="2" a="1"/>
  <c r="K176" i="2" a="1"/>
  <c r="K177" i="2" a="1"/>
  <c r="K178" i="2" a="1"/>
  <c r="K179" i="2" a="1"/>
  <c r="K180" i="2" a="1"/>
  <c r="K181" i="2" a="1"/>
  <c r="K182" i="2" a="1"/>
  <c r="K183" i="2" a="1"/>
  <c r="K184" i="2" a="1"/>
  <c r="K185" i="2" a="1"/>
  <c r="K186" i="2" a="1"/>
  <c r="K187" i="2" a="1"/>
  <c r="K188" i="2" a="1"/>
  <c r="K189" i="2" a="1"/>
  <c r="K190" i="2" a="1"/>
  <c r="K191" i="2" a="1"/>
  <c r="K192" i="2" a="1"/>
  <c r="K193" i="2" a="1"/>
  <c r="K194" i="2" a="1"/>
  <c r="K195" i="2" a="1"/>
  <c r="K196" i="2" a="1"/>
  <c r="K197" i="2" a="1"/>
  <c r="K198" i="2" a="1"/>
  <c r="K199" i="2" a="1"/>
  <c r="K200" i="2" a="1"/>
  <c r="K201" i="2" a="1"/>
  <c r="K202" i="2" a="1"/>
  <c r="K203" i="2" a="1"/>
  <c r="K204" i="2" a="1"/>
  <c r="K205" i="2" a="1"/>
  <c r="K206" i="2" a="1"/>
  <c r="K207" i="2" a="1"/>
  <c r="K208" i="2" a="1"/>
  <c r="K209" i="2" a="1"/>
  <c r="K210" i="2" a="1"/>
  <c r="K211" i="2" a="1"/>
  <c r="K212" i="2" a="1"/>
  <c r="K213" i="2" a="1"/>
  <c r="K214" i="2" a="1"/>
  <c r="K215" i="2" a="1"/>
  <c r="K216" i="2" a="1"/>
  <c r="K217" i="2" a="1"/>
  <c r="K218" i="2" a="1"/>
  <c r="K219" i="2" a="1"/>
  <c r="K220" i="2" a="1"/>
  <c r="K221" i="2" a="1"/>
  <c r="K222" i="2" a="1"/>
  <c r="K223" i="2" a="1"/>
  <c r="K224" i="2" a="1"/>
  <c r="K225" i="2" a="1"/>
  <c r="K226" i="2" a="1"/>
  <c r="K227" i="2" a="1"/>
  <c r="K228" i="2" a="1"/>
  <c r="K229" i="2" a="1"/>
  <c r="K230" i="2" a="1"/>
  <c r="K231" i="2" a="1"/>
  <c r="K232" i="2" a="1"/>
  <c r="K233" i="2" a="1"/>
  <c r="K234" i="2" a="1"/>
  <c r="K235" i="2" a="1"/>
  <c r="K236" i="2" a="1"/>
  <c r="K237" i="2" a="1"/>
  <c r="K238" i="2" a="1"/>
  <c r="K239" i="2" a="1"/>
  <c r="K240" i="2" a="1"/>
  <c r="K241" i="2" a="1"/>
  <c r="K242" i="2" a="1"/>
  <c r="K243" i="2" a="1"/>
  <c r="K244" i="2" a="1"/>
  <c r="K245" i="2" a="1"/>
  <c r="K246" i="2" a="1"/>
  <c r="K247" i="2" a="1"/>
  <c r="K248" i="2" a="1"/>
  <c r="K249" i="2" a="1"/>
  <c r="K250" i="2" a="1"/>
  <c r="K251" i="2" a="1"/>
  <c r="K252" i="2" a="1"/>
  <c r="K253" i="2" a="1"/>
  <c r="K254" i="2" a="1"/>
  <c r="K255" i="2" a="1"/>
  <c r="K256" i="2" a="1"/>
  <c r="K257" i="2" a="1"/>
  <c r="K258" i="2" a="1"/>
  <c r="K259" i="2" a="1"/>
  <c r="K260" i="2" a="1"/>
  <c r="K261" i="2" a="1"/>
  <c r="K262" i="2" a="1"/>
  <c r="K263" i="2" a="1"/>
  <c r="K264" i="2" a="1"/>
  <c r="K265" i="2" a="1"/>
  <c r="K266" i="2" a="1"/>
  <c r="K267" i="2" a="1"/>
  <c r="K268" i="2" a="1"/>
  <c r="K269" i="2" a="1"/>
  <c r="K270" i="2" a="1"/>
  <c r="K271" i="2" a="1"/>
  <c r="K272" i="2" a="1"/>
  <c r="K273" i="2" a="1"/>
  <c r="K274" i="2" a="1"/>
  <c r="K275" i="2" a="1"/>
  <c r="K276" i="2" a="1"/>
  <c r="K277" i="2" a="1"/>
  <c r="K278" i="2" a="1"/>
  <c r="K279" i="2" a="1"/>
  <c r="K280" i="2" a="1"/>
  <c r="K281" i="2" a="1"/>
  <c r="K282" i="2" a="1"/>
  <c r="K283" i="2" a="1"/>
  <c r="K284" i="2" a="1"/>
  <c r="K285" i="2" a="1"/>
  <c r="K286" i="2" a="1"/>
  <c r="K287" i="2" a="1"/>
  <c r="K288" i="2" a="1"/>
  <c r="K289" i="2" a="1"/>
  <c r="K290" i="2" a="1"/>
  <c r="K291" i="2" a="1"/>
  <c r="K292" i="2" a="1"/>
  <c r="K293" i="2" a="1"/>
  <c r="K294" i="2" a="1"/>
  <c r="K295" i="2" a="1"/>
  <c r="K296" i="2" a="1"/>
  <c r="K297" i="2" a="1"/>
  <c r="K298" i="2" a="1"/>
  <c r="K299" i="2" a="1"/>
  <c r="K300" i="2" a="1"/>
  <c r="K301" i="2" a="1"/>
  <c r="K302" i="2" a="1"/>
  <c r="K303" i="2" a="1"/>
  <c r="K304" i="2" a="1"/>
  <c r="K305" i="2" a="1"/>
  <c r="K306" i="2" a="1"/>
  <c r="K307" i="2" a="1"/>
  <c r="K308" i="2" a="1"/>
  <c r="K309" i="2" a="1"/>
  <c r="K310" i="2" a="1"/>
  <c r="K311" i="2" a="1"/>
  <c r="K312" i="2" a="1"/>
  <c r="K313" i="2" a="1"/>
  <c r="K314" i="2" a="1"/>
  <c r="K315" i="2" a="1"/>
  <c r="K316" i="2" a="1"/>
  <c r="K317" i="2" a="1"/>
  <c r="K318" i="2" a="1"/>
  <c r="K319" i="2" a="1"/>
  <c r="K320" i="2" a="1"/>
  <c r="K321" i="2" a="1"/>
  <c r="K322" i="2" a="1"/>
  <c r="K323" i="2" a="1"/>
  <c r="K324" i="2" a="1"/>
  <c r="K325" i="2" a="1"/>
  <c r="K326" i="2" a="1"/>
  <c r="K327" i="2" a="1"/>
  <c r="K328" i="2" a="1"/>
  <c r="K329" i="2" a="1"/>
  <c r="K330" i="2" a="1"/>
  <c r="K331" i="2" a="1"/>
  <c r="K332" i="2" a="1"/>
  <c r="K333" i="2" a="1"/>
  <c r="K334" i="2" a="1"/>
  <c r="K335" i="2" a="1"/>
  <c r="K336" i="2" a="1"/>
  <c r="K337" i="2" a="1"/>
  <c r="K338" i="2" a="1"/>
  <c r="K339" i="2" a="1"/>
  <c r="K340" i="2" a="1"/>
  <c r="K341" i="2" a="1"/>
  <c r="K342" i="2" a="1"/>
  <c r="K343" i="2" a="1"/>
  <c r="K344" i="2" a="1"/>
  <c r="K345" i="2" a="1"/>
  <c r="K346" i="2" a="1"/>
  <c r="K347" i="2" a="1"/>
  <c r="K348" i="2" a="1"/>
  <c r="K349" i="2" a="1"/>
  <c r="K350" i="2" a="1"/>
  <c r="K351" i="2" a="1"/>
  <c r="K352" i="2" a="1"/>
  <c r="K353" i="2" a="1"/>
  <c r="K354" i="2" a="1"/>
  <c r="K355" i="2" a="1"/>
  <c r="K356" i="2" a="1"/>
  <c r="K357" i="2" a="1"/>
  <c r="K358" i="2" a="1"/>
  <c r="K359" i="2" a="1"/>
  <c r="K360" i="2" a="1"/>
  <c r="K361" i="2" a="1"/>
  <c r="K362" i="2" a="1"/>
  <c r="K363" i="2" a="1"/>
  <c r="K364" i="2" a="1"/>
  <c r="K365" i="2" a="1"/>
  <c r="K366" i="2" a="1"/>
  <c r="K367" i="2" a="1"/>
  <c r="K368" i="2" a="1"/>
  <c r="K369" i="2" a="1"/>
  <c r="K370" i="2" a="1"/>
  <c r="K371" i="2" a="1"/>
  <c r="K372" i="2" a="1"/>
  <c r="K373" i="2" a="1"/>
  <c r="K374" i="2" a="1"/>
  <c r="K375" i="2" a="1"/>
  <c r="K376" i="2" a="1"/>
  <c r="K377" i="2" a="1"/>
  <c r="K378" i="2" a="1"/>
  <c r="K379" i="2" a="1"/>
  <c r="K380" i="2" a="1"/>
  <c r="K381" i="2" a="1"/>
  <c r="K382" i="2" a="1"/>
  <c r="K383" i="2" a="1"/>
  <c r="K384" i="2" a="1"/>
  <c r="K385" i="2" a="1"/>
  <c r="K386" i="2" a="1"/>
  <c r="K387" i="2" a="1"/>
  <c r="K388" i="2" a="1"/>
  <c r="K389" i="2" a="1"/>
  <c r="K390" i="2" a="1"/>
  <c r="K391" i="2" a="1"/>
  <c r="K392" i="2" a="1"/>
  <c r="K393" i="2" a="1"/>
  <c r="K394" i="2" a="1"/>
  <c r="K395" i="2" a="1"/>
  <c r="K396" i="2" a="1"/>
  <c r="K397" i="2" a="1"/>
  <c r="K398" i="2" a="1"/>
  <c r="K399" i="2" a="1"/>
  <c r="K400" i="2" a="1"/>
  <c r="K401" i="2" a="1"/>
  <c r="K402" i="2" a="1"/>
  <c r="K403" i="2" a="1"/>
  <c r="K404" i="2" a="1"/>
  <c r="K405" i="2" a="1"/>
  <c r="K406" i="2" a="1"/>
  <c r="K407" i="2" a="1"/>
  <c r="K408" i="2" a="1"/>
  <c r="K409" i="2" a="1"/>
  <c r="K410" i="2" a="1"/>
  <c r="K411" i="2" a="1"/>
  <c r="K412" i="2" a="1"/>
  <c r="K413" i="2" a="1"/>
  <c r="K414" i="2" a="1"/>
  <c r="K415" i="2" a="1"/>
  <c r="K416" i="2" a="1"/>
  <c r="K417" i="2" a="1"/>
  <c r="K418" i="2" a="1"/>
  <c r="K419" i="2" a="1"/>
  <c r="K420" i="2" a="1"/>
  <c r="K421" i="2" a="1"/>
  <c r="K422" i="2" a="1"/>
  <c r="K423" i="2" a="1"/>
  <c r="K424" i="2" a="1"/>
  <c r="K425" i="2" a="1"/>
  <c r="K426" i="2" a="1"/>
  <c r="K427" i="2" a="1"/>
  <c r="K428" i="2" a="1"/>
  <c r="K429" i="2" a="1"/>
  <c r="K430" i="2" a="1"/>
  <c r="K431" i="2" a="1"/>
  <c r="K432" i="2" a="1"/>
  <c r="K433" i="2" a="1"/>
  <c r="K434" i="2" a="1"/>
  <c r="K435" i="2" a="1"/>
  <c r="K436" i="2" a="1"/>
  <c r="K437" i="2" a="1"/>
  <c r="K438" i="2" a="1"/>
  <c r="K439" i="2" a="1"/>
  <c r="K440" i="2" a="1"/>
  <c r="K441" i="2" a="1"/>
  <c r="K442" i="2" a="1"/>
  <c r="K443" i="2" a="1"/>
  <c r="K444" i="2" a="1"/>
  <c r="K445" i="2" a="1"/>
  <c r="K446" i="2" a="1"/>
  <c r="K447" i="2" a="1"/>
  <c r="K448" i="2" a="1"/>
  <c r="K449" i="2" a="1"/>
  <c r="K450" i="2" a="1"/>
  <c r="K451" i="2" a="1"/>
  <c r="K452" i="2" a="1"/>
  <c r="K453" i="2" a="1"/>
  <c r="K454" i="2" a="1"/>
  <c r="K455" i="2" a="1"/>
  <c r="K456" i="2" a="1"/>
  <c r="K457" i="2" a="1"/>
  <c r="K458" i="2" a="1"/>
  <c r="K459" i="2" a="1"/>
  <c r="K460" i="2" a="1"/>
  <c r="K461" i="2" a="1"/>
  <c r="K462" i="2" a="1"/>
  <c r="K463" i="2" a="1"/>
  <c r="K464" i="2" a="1"/>
  <c r="K465" i="2" a="1"/>
  <c r="K466" i="2" a="1"/>
  <c r="K467" i="2" a="1"/>
  <c r="K468" i="2" a="1"/>
  <c r="K469" i="2" a="1"/>
  <c r="K470" i="2" a="1"/>
  <c r="K471" i="2" a="1"/>
  <c r="K472" i="2" a="1"/>
  <c r="K473" i="2" a="1"/>
  <c r="K474" i="2" a="1"/>
  <c r="K475" i="2" a="1"/>
  <c r="K476" i="2" a="1"/>
  <c r="K477" i="2" a="1"/>
  <c r="K478" i="2" a="1"/>
  <c r="K479" i="2" a="1"/>
  <c r="K480" i="2" a="1"/>
  <c r="K481" i="2" a="1"/>
  <c r="K482" i="2" a="1"/>
  <c r="K483" i="2" a="1"/>
  <c r="K484" i="2" a="1"/>
  <c r="K485" i="2" a="1"/>
  <c r="K486" i="2" a="1"/>
  <c r="K487" i="2" a="1"/>
  <c r="K488" i="2" a="1"/>
  <c r="K489" i="2" a="1"/>
  <c r="K490" i="2" a="1"/>
  <c r="K491" i="2" a="1"/>
  <c r="K492" i="2" a="1"/>
  <c r="K493" i="2" a="1"/>
  <c r="K494" i="2" a="1"/>
  <c r="K495" i="2" a="1"/>
  <c r="K496" i="2" a="1"/>
  <c r="K497" i="2" a="1"/>
  <c r="K498" i="2" a="1"/>
  <c r="K499" i="2" a="1"/>
  <c r="K500" i="2" a="1"/>
  <c r="K501" i="2" a="1"/>
  <c r="K502" i="2" a="1"/>
  <c r="K503" i="2" a="1"/>
  <c r="K504" i="2" a="1"/>
  <c r="K505" i="2" a="1"/>
  <c r="K506" i="2" a="1"/>
  <c r="K507" i="2" a="1"/>
  <c r="K508" i="2" a="1"/>
  <c r="K509" i="2" a="1"/>
  <c r="K510" i="2" a="1"/>
  <c r="K511" i="2" a="1"/>
  <c r="K512" i="2" a="1"/>
  <c r="K513" i="2" a="1"/>
  <c r="K514" i="2" a="1"/>
  <c r="K515" i="2" a="1"/>
  <c r="K516" i="2" a="1"/>
  <c r="K517" i="2" a="1"/>
  <c r="K518" i="2" a="1"/>
  <c r="K519" i="2" a="1"/>
  <c r="K520" i="2" a="1"/>
  <c r="K521" i="2" a="1"/>
  <c r="K522" i="2" a="1"/>
  <c r="K523" i="2" a="1"/>
  <c r="K524" i="2" a="1"/>
  <c r="K525" i="2" a="1"/>
  <c r="K526" i="2" a="1"/>
  <c r="K527" i="2" a="1"/>
  <c r="K528" i="2" a="1"/>
  <c r="K529" i="2" a="1"/>
  <c r="K530" i="2" a="1"/>
  <c r="K531" i="2" a="1"/>
  <c r="K532" i="2" a="1"/>
  <c r="K533" i="2" a="1"/>
  <c r="K534" i="2" a="1"/>
  <c r="K535" i="2" a="1"/>
  <c r="K536" i="2" a="1"/>
  <c r="K537" i="2" a="1"/>
  <c r="K538" i="2" a="1"/>
  <c r="K539" i="2" a="1"/>
  <c r="K540" i="2" a="1"/>
  <c r="K541" i="2" a="1"/>
  <c r="K542" i="2" a="1"/>
  <c r="K543" i="2" a="1"/>
  <c r="K544" i="2" a="1"/>
  <c r="K545" i="2" a="1"/>
  <c r="K546" i="2" a="1"/>
  <c r="K547" i="2" a="1"/>
  <c r="K548" i="2" a="1"/>
  <c r="K549" i="2" a="1"/>
  <c r="K550" i="2" a="1"/>
  <c r="K551" i="2" a="1"/>
  <c r="K552" i="2" a="1"/>
  <c r="K553" i="2" a="1"/>
  <c r="K554" i="2" a="1"/>
  <c r="K555" i="2" a="1"/>
  <c r="K556" i="2" a="1"/>
  <c r="K557" i="2" a="1"/>
  <c r="K558" i="2" a="1"/>
  <c r="K559" i="2" a="1"/>
  <c r="K560" i="2" a="1"/>
  <c r="K561" i="2" a="1"/>
  <c r="K562" i="2" a="1"/>
  <c r="K563" i="2" a="1"/>
  <c r="K564" i="2" a="1"/>
  <c r="K565" i="2" a="1"/>
  <c r="K566" i="2" a="1"/>
  <c r="K567" i="2" a="1"/>
  <c r="K568" i="2" a="1"/>
  <c r="K569" i="2" a="1"/>
  <c r="K570" i="2" a="1"/>
  <c r="K571" i="2" a="1"/>
  <c r="K572" i="2" a="1"/>
  <c r="K573" i="2" a="1"/>
  <c r="K574" i="2" a="1"/>
  <c r="K575" i="2" a="1"/>
  <c r="K576" i="2" a="1"/>
  <c r="K577" i="2" a="1"/>
  <c r="K578" i="2" a="1"/>
  <c r="K579" i="2" a="1"/>
  <c r="K580" i="2" a="1"/>
  <c r="K581" i="2" a="1"/>
  <c r="K582" i="2" a="1"/>
  <c r="K583" i="2" a="1"/>
  <c r="K584" i="2" a="1"/>
  <c r="K585" i="2" a="1"/>
  <c r="K586" i="2" a="1"/>
  <c r="K587" i="2" a="1"/>
  <c r="K588" i="2" a="1"/>
  <c r="K589" i="2" a="1"/>
  <c r="K590" i="2" a="1"/>
  <c r="K591" i="2" a="1"/>
  <c r="K592" i="2" a="1"/>
  <c r="K593" i="2" a="1"/>
  <c r="K594" i="2" a="1"/>
  <c r="K595" i="2" a="1"/>
  <c r="K596" i="2" a="1"/>
  <c r="K597" i="2" a="1"/>
  <c r="K598" i="2" a="1"/>
  <c r="K599" i="2" a="1"/>
  <c r="K600" i="2" a="1"/>
  <c r="K601" i="2" a="1"/>
  <c r="K602" i="2" a="1"/>
  <c r="K603" i="2" a="1"/>
  <c r="K604" i="2" a="1"/>
  <c r="K605" i="2" a="1"/>
  <c r="K606" i="2" a="1"/>
  <c r="K607" i="2" a="1"/>
  <c r="K608" i="2" a="1"/>
  <c r="K609" i="2" a="1"/>
  <c r="K610" i="2" a="1"/>
  <c r="K611" i="2" a="1"/>
  <c r="K612" i="2" a="1"/>
  <c r="K613" i="2" a="1"/>
  <c r="K614" i="2" a="1"/>
  <c r="K615" i="2" a="1"/>
  <c r="K616" i="2" a="1"/>
  <c r="K617" i="2" a="1"/>
  <c r="K618" i="2" a="1"/>
  <c r="K619" i="2" a="1"/>
  <c r="K620" i="2" a="1"/>
  <c r="K621" i="2" a="1"/>
  <c r="K622" i="2" a="1"/>
  <c r="K623" i="2" a="1"/>
  <c r="K624" i="2" a="1"/>
  <c r="K625" i="2" a="1"/>
  <c r="K626" i="2" a="1"/>
  <c r="K627" i="2" a="1"/>
  <c r="K628" i="2" a="1"/>
  <c r="K629" i="2" a="1"/>
  <c r="K630" i="2" a="1"/>
  <c r="K631" i="2" a="1"/>
  <c r="K632" i="2" a="1"/>
  <c r="K633" i="2" a="1"/>
  <c r="K634" i="2" a="1"/>
  <c r="K635" i="2" a="1"/>
  <c r="K636" i="2" a="1"/>
  <c r="K637" i="2" a="1"/>
  <c r="K638" i="2" a="1"/>
  <c r="K639" i="2" a="1"/>
  <c r="K640" i="2" a="1"/>
  <c r="K641" i="2" a="1"/>
  <c r="K642" i="2" a="1"/>
  <c r="K643" i="2" a="1"/>
  <c r="K644" i="2" a="1"/>
  <c r="K645" i="2" a="1"/>
  <c r="K646" i="2" a="1"/>
  <c r="K647" i="2" a="1"/>
  <c r="K648" i="2" a="1"/>
  <c r="K649" i="2" a="1"/>
  <c r="K650" i="2" a="1"/>
  <c r="K651" i="2" a="1"/>
  <c r="K652" i="2" a="1"/>
  <c r="K653" i="2" a="1"/>
  <c r="K654" i="2" a="1"/>
  <c r="K655" i="2" a="1"/>
  <c r="K656" i="2" a="1"/>
  <c r="K657" i="2" a="1"/>
  <c r="K658" i="2" a="1"/>
  <c r="K659" i="2" a="1"/>
  <c r="K660" i="2" a="1"/>
  <c r="K661" i="2" a="1"/>
  <c r="K662" i="2" a="1"/>
  <c r="K663" i="2" a="1"/>
  <c r="K664" i="2" a="1"/>
  <c r="K665" i="2" a="1"/>
  <c r="K666" i="2" a="1"/>
  <c r="K667" i="2" a="1"/>
  <c r="K668" i="2" a="1"/>
  <c r="K669" i="2" a="1"/>
  <c r="K670" i="2" a="1"/>
  <c r="K671" i="2" a="1"/>
  <c r="K672" i="2" a="1"/>
  <c r="K673" i="2" a="1"/>
  <c r="K674" i="2" a="1"/>
  <c r="K675" i="2" a="1"/>
  <c r="K676" i="2" a="1"/>
  <c r="K677" i="2" a="1"/>
  <c r="K678" i="2" a="1"/>
  <c r="K679" i="2" a="1"/>
  <c r="K680" i="2" a="1"/>
  <c r="K681" i="2" a="1"/>
  <c r="K682" i="2" a="1"/>
  <c r="K683" i="2" a="1"/>
  <c r="K684" i="2" a="1"/>
  <c r="K685" i="2" a="1"/>
  <c r="K686" i="2" a="1"/>
  <c r="K687" i="2" a="1"/>
  <c r="K688" i="2" a="1"/>
  <c r="K689" i="2" a="1"/>
  <c r="K690" i="2" a="1"/>
  <c r="K691" i="2" a="1"/>
  <c r="K692" i="2" a="1"/>
  <c r="K693" i="2" a="1"/>
  <c r="K694" i="2" a="1"/>
  <c r="K695" i="2" a="1"/>
  <c r="K696" i="2" a="1"/>
  <c r="K697" i="2" a="1"/>
  <c r="K698" i="2" a="1"/>
  <c r="K699" i="2" a="1"/>
  <c r="K700" i="2" a="1"/>
  <c r="K701" i="2" a="1"/>
  <c r="K702" i="2" a="1"/>
  <c r="K703" i="2" a="1"/>
  <c r="K704" i="2" a="1"/>
  <c r="K705" i="2" a="1"/>
  <c r="K706" i="2" a="1"/>
  <c r="K707" i="2" a="1"/>
  <c r="K708" i="2" a="1"/>
  <c r="K709" i="2" a="1"/>
  <c r="K710" i="2" a="1"/>
  <c r="K711" i="2" a="1"/>
  <c r="K712" i="2" a="1"/>
  <c r="K713" i="2" a="1"/>
  <c r="K714" i="2" a="1"/>
  <c r="K715" i="2" a="1"/>
  <c r="K716" i="2" a="1"/>
  <c r="K717" i="2" a="1"/>
  <c r="K718" i="2" a="1"/>
  <c r="K719" i="2" a="1"/>
  <c r="K720" i="2" a="1"/>
  <c r="K721" i="2" a="1"/>
  <c r="K722" i="2" a="1"/>
  <c r="K723" i="2" a="1"/>
  <c r="K724" i="2" a="1"/>
  <c r="K725" i="2" a="1"/>
  <c r="K726" i="2" a="1"/>
  <c r="K727" i="2" a="1"/>
  <c r="K728" i="2" a="1"/>
  <c r="K729" i="2" a="1"/>
  <c r="K730" i="2" a="1"/>
  <c r="K731" i="2" a="1"/>
  <c r="K732" i="2" a="1"/>
  <c r="K733" i="2" a="1"/>
  <c r="K734" i="2" a="1"/>
  <c r="K735" i="2" a="1"/>
  <c r="K736" i="2" a="1"/>
  <c r="K737" i="2" a="1"/>
  <c r="K738" i="2" a="1"/>
  <c r="K739" i="2" a="1"/>
  <c r="K740" i="2" a="1"/>
  <c r="K741" i="2" a="1"/>
  <c r="K742" i="2" a="1"/>
  <c r="K743" i="2" a="1"/>
  <c r="K744" i="2" a="1"/>
  <c r="K745" i="2" a="1"/>
  <c r="K746" i="2" a="1"/>
  <c r="K747" i="2" a="1"/>
  <c r="K748" i="2" a="1"/>
  <c r="K749" i="2" a="1"/>
  <c r="K750" i="2" a="1"/>
  <c r="K751" i="2" a="1"/>
  <c r="K752" i="2" a="1"/>
  <c r="K753" i="2" a="1"/>
  <c r="K754" i="2" a="1"/>
  <c r="K755" i="2" a="1"/>
  <c r="K756" i="2" a="1"/>
  <c r="K757" i="2" a="1"/>
  <c r="K758" i="2" a="1"/>
  <c r="K759" i="2" a="1"/>
  <c r="K760" i="2" a="1"/>
  <c r="K761" i="2" a="1"/>
  <c r="K762" i="2" a="1"/>
  <c r="K763" i="2" a="1"/>
  <c r="K764" i="2" a="1"/>
  <c r="K765" i="2" a="1"/>
  <c r="K766" i="2" a="1"/>
  <c r="K767" i="2" a="1"/>
  <c r="K768" i="2" a="1"/>
  <c r="K769" i="2" a="1"/>
  <c r="K770" i="2" a="1"/>
  <c r="K771" i="2" a="1"/>
  <c r="K772" i="2" a="1"/>
  <c r="K773" i="2" a="1"/>
  <c r="K774" i="2" a="1"/>
  <c r="K775" i="2" a="1"/>
  <c r="K776" i="2" a="1"/>
  <c r="K777" i="2" a="1"/>
  <c r="K778" i="2" a="1"/>
  <c r="K779" i="2" a="1"/>
  <c r="K780" i="2" a="1"/>
  <c r="K781" i="2" a="1"/>
  <c r="K782" i="2" a="1"/>
  <c r="K783" i="2" a="1"/>
  <c r="K784" i="2" a="1"/>
  <c r="K785" i="2" a="1"/>
  <c r="K786" i="2" a="1"/>
  <c r="K787" i="2" a="1"/>
  <c r="K788" i="2" a="1"/>
  <c r="K789" i="2" a="1"/>
  <c r="K790" i="2" a="1"/>
  <c r="K791" i="2" a="1"/>
  <c r="K792" i="2" a="1"/>
  <c r="K793" i="2" a="1"/>
  <c r="K794" i="2" a="1"/>
  <c r="K795" i="2" a="1"/>
  <c r="K796" i="2" a="1"/>
  <c r="K797" i="2" a="1"/>
  <c r="K798" i="2" a="1"/>
  <c r="K799" i="2" a="1"/>
  <c r="K800" i="2" a="1"/>
  <c r="K801" i="2" a="1"/>
  <c r="K802" i="2" a="1"/>
  <c r="K803" i="2" a="1"/>
  <c r="K804" i="2" a="1"/>
  <c r="K805" i="2" a="1"/>
  <c r="K806" i="2" a="1"/>
  <c r="K807" i="2" a="1"/>
  <c r="K808" i="2" a="1"/>
  <c r="K809" i="2" a="1"/>
  <c r="K810" i="2" a="1"/>
  <c r="K811" i="2" a="1"/>
  <c r="K812" i="2" a="1"/>
  <c r="K813" i="2" a="1"/>
  <c r="K814" i="2" a="1"/>
  <c r="K815" i="2" a="1"/>
  <c r="K816" i="2" a="1"/>
  <c r="K817" i="2" a="1"/>
  <c r="K818" i="2" a="1"/>
  <c r="K819" i="2" a="1"/>
  <c r="K820" i="2" a="1"/>
  <c r="K821" i="2" a="1"/>
  <c r="K822" i="2" a="1"/>
  <c r="K823" i="2" a="1"/>
  <c r="K824" i="2" a="1"/>
  <c r="K825" i="2" a="1"/>
  <c r="K826" i="2" a="1"/>
  <c r="K827" i="2" a="1"/>
  <c r="K828" i="2" a="1"/>
  <c r="K829" i="2" a="1"/>
  <c r="K830" i="2" a="1"/>
  <c r="K831" i="2" a="1"/>
  <c r="K832" i="2" a="1"/>
  <c r="K833" i="2" a="1"/>
  <c r="K834" i="2" a="1"/>
  <c r="K835" i="2" a="1"/>
  <c r="K836" i="2" a="1"/>
  <c r="K837" i="2" a="1"/>
  <c r="K838" i="2" a="1"/>
  <c r="K839" i="2" a="1"/>
  <c r="K840" i="2" a="1"/>
  <c r="K841" i="2" a="1"/>
  <c r="K842" i="2" a="1"/>
  <c r="K843" i="2" a="1"/>
  <c r="K844" i="2" a="1"/>
  <c r="K845" i="2" a="1"/>
  <c r="K846" i="2" a="1"/>
  <c r="K847" i="2" a="1"/>
  <c r="K848" i="2" a="1"/>
  <c r="K849" i="2" a="1"/>
  <c r="K850" i="2" a="1"/>
  <c r="K851" i="2" a="1"/>
  <c r="K852" i="2" a="1"/>
  <c r="K853" i="2" a="1"/>
  <c r="K854" i="2" a="1"/>
  <c r="K855" i="2" a="1"/>
  <c r="K856" i="2" a="1"/>
  <c r="K857" i="2" a="1"/>
  <c r="K858" i="2" a="1"/>
  <c r="K859" i="2" a="1"/>
  <c r="K860" i="2" a="1"/>
  <c r="K861" i="2" a="1"/>
  <c r="K862" i="2" a="1"/>
  <c r="K863" i="2" a="1"/>
  <c r="K864" i="2" a="1"/>
  <c r="K865" i="2" a="1"/>
  <c r="K866" i="2" a="1"/>
  <c r="K867" i="2" a="1"/>
  <c r="K868" i="2" a="1"/>
  <c r="K869" i="2" a="1"/>
  <c r="K870" i="2" a="1"/>
  <c r="K871" i="2" a="1"/>
  <c r="K872" i="2" a="1"/>
  <c r="K873" i="2" a="1"/>
  <c r="K874" i="2" a="1"/>
  <c r="K875" i="2" a="1"/>
  <c r="K876" i="2" a="1"/>
  <c r="K877" i="2" a="1"/>
  <c r="K878" i="2" a="1"/>
  <c r="K879" i="2" a="1"/>
  <c r="K880" i="2" a="1"/>
  <c r="K881" i="2" a="1"/>
  <c r="K882" i="2" a="1"/>
  <c r="K883" i="2" a="1"/>
  <c r="K884" i="2" a="1"/>
  <c r="K885" i="2" a="1"/>
  <c r="K886" i="2" a="1"/>
  <c r="K887" i="2" a="1"/>
  <c r="K888" i="2" a="1"/>
  <c r="K889" i="2" a="1"/>
  <c r="K890" i="2" a="1"/>
  <c r="K891" i="2" a="1"/>
  <c r="K892" i="2" a="1"/>
  <c r="K893" i="2" a="1"/>
  <c r="K894" i="2" a="1"/>
  <c r="K895" i="2" a="1"/>
  <c r="K896" i="2" a="1"/>
  <c r="K897" i="2" a="1"/>
  <c r="K898" i="2" a="1"/>
  <c r="K899" i="2" a="1"/>
  <c r="K900" i="2" a="1"/>
  <c r="K901" i="2" a="1"/>
  <c r="K902" i="2" a="1"/>
  <c r="K903" i="2" a="1"/>
  <c r="K904" i="2" a="1"/>
  <c r="K905" i="2" a="1"/>
  <c r="K906" i="2" a="1"/>
  <c r="K907" i="2" a="1"/>
  <c r="K908" i="2" a="1"/>
  <c r="K909" i="2" a="1"/>
  <c r="K910" i="2" a="1"/>
  <c r="K911" i="2" a="1"/>
  <c r="K912" i="2" a="1"/>
  <c r="K913" i="2" a="1"/>
  <c r="K914" i="2" a="1"/>
  <c r="K915" i="2" a="1"/>
  <c r="K916" i="2" a="1"/>
  <c r="K917" i="2" a="1"/>
  <c r="K918" i="2" a="1"/>
  <c r="K919" i="2" a="1"/>
  <c r="K920" i="2" a="1"/>
  <c r="K921" i="2" a="1"/>
  <c r="K922" i="2" a="1"/>
  <c r="K923" i="2" a="1"/>
  <c r="K924" i="2" a="1"/>
  <c r="K925" i="2" a="1"/>
  <c r="K926" i="2" a="1"/>
  <c r="K927" i="2" a="1"/>
  <c r="K928" i="2" a="1"/>
  <c r="K929" i="2" a="1"/>
  <c r="K930" i="2" a="1"/>
  <c r="K931" i="2" a="1"/>
  <c r="K932" i="2" a="1"/>
  <c r="K933" i="2" a="1"/>
  <c r="K934" i="2" a="1"/>
  <c r="K935" i="2" a="1"/>
  <c r="K936" i="2" a="1"/>
  <c r="K937" i="2" a="1"/>
  <c r="K938" i="2" a="1"/>
  <c r="K939" i="2" a="1"/>
  <c r="K940" i="2" a="1"/>
  <c r="K941" i="2" a="1"/>
  <c r="K942" i="2" a="1"/>
  <c r="K943" i="2" a="1"/>
  <c r="K944" i="2" a="1"/>
  <c r="K945" i="2" a="1"/>
  <c r="K946" i="2" a="1"/>
  <c r="K947" i="2" a="1"/>
  <c r="K948" i="2" a="1"/>
  <c r="K949" i="2" a="1"/>
  <c r="K950" i="2" a="1"/>
  <c r="K951" i="2" a="1"/>
  <c r="K952" i="2" a="1"/>
  <c r="K953" i="2" a="1"/>
  <c r="K954" i="2" a="1"/>
  <c r="K955" i="2" a="1"/>
  <c r="K956" i="2" a="1"/>
  <c r="K957" i="2" a="1"/>
  <c r="K958" i="2" a="1"/>
  <c r="K959" i="2" a="1"/>
  <c r="K960" i="2" a="1"/>
  <c r="K961" i="2" a="1"/>
  <c r="K962" i="2" a="1"/>
  <c r="K963" i="2" a="1"/>
  <c r="K964" i="2" a="1"/>
  <c r="K965" i="2" a="1"/>
  <c r="K966" i="2" a="1"/>
  <c r="K967" i="2" a="1"/>
  <c r="K968" i="2" a="1"/>
  <c r="K969" i="2" a="1"/>
  <c r="K970" i="2" a="1"/>
  <c r="K971" i="2" a="1"/>
  <c r="K972" i="2" a="1"/>
  <c r="K973" i="2" a="1"/>
  <c r="K974" i="2" a="1"/>
  <c r="K975" i="2" a="1"/>
  <c r="K976" i="2" a="1"/>
  <c r="K977" i="2" a="1"/>
  <c r="K978" i="2" a="1"/>
  <c r="K979" i="2" a="1"/>
  <c r="K980" i="2" a="1"/>
  <c r="K981" i="2" a="1"/>
  <c r="K982" i="2" a="1"/>
  <c r="K983" i="2" a="1"/>
  <c r="K984" i="2" a="1"/>
  <c r="K985" i="2" a="1"/>
  <c r="K986" i="2" a="1"/>
  <c r="K987" i="2" a="1"/>
  <c r="K988" i="2" a="1"/>
  <c r="K989" i="2" a="1"/>
  <c r="K990" i="2" a="1"/>
  <c r="K991" i="2" a="1"/>
  <c r="K992" i="2" a="1"/>
  <c r="K993" i="2" a="1"/>
  <c r="K994" i="2" a="1"/>
  <c r="K995" i="2" a="1"/>
  <c r="K996" i="2" a="1"/>
  <c r="K997" i="2" a="1"/>
  <c r="K998" i="2" a="1"/>
  <c r="K999" i="2" a="1"/>
  <c r="K1000" i="2" a="1"/>
  <c r="K1001" i="2" a="1"/>
  <c r="K1002" i="2" a="1"/>
  <c r="K1003" i="2" a="1"/>
  <c r="K1004" i="2" a="1"/>
  <c r="K1005" i="2" a="1"/>
  <c r="K1006" i="2" a="1"/>
  <c r="K1007" i="2" a="1"/>
  <c r="K1008" i="2" a="1"/>
  <c r="K1009" i="2" a="1"/>
  <c r="K1010" i="2" a="1"/>
  <c r="K1011" i="2" a="1"/>
  <c r="K1012" i="2" a="1"/>
  <c r="K1013" i="2" a="1"/>
  <c r="K1014" i="2" a="1"/>
  <c r="K1015" i="2" a="1"/>
  <c r="K1016" i="2" a="1"/>
  <c r="K1017" i="2" a="1"/>
  <c r="K1018" i="2" a="1"/>
  <c r="K1019" i="2" a="1"/>
  <c r="K1020" i="2" a="1"/>
  <c r="K1021" i="2" a="1"/>
  <c r="K1022" i="2" a="1"/>
  <c r="K1023" i="2" a="1"/>
  <c r="K1024" i="2" a="1"/>
  <c r="K1025" i="2" a="1"/>
  <c r="K1026" i="2" a="1"/>
  <c r="K1027" i="2" a="1"/>
  <c r="K1028" i="2" a="1"/>
  <c r="K1029" i="2" a="1"/>
  <c r="K1030" i="2" a="1"/>
  <c r="K1031" i="2" a="1"/>
  <c r="K1032" i="2" a="1"/>
  <c r="K1033" i="2" a="1"/>
  <c r="K1034" i="2" a="1"/>
  <c r="K1035" i="2" a="1"/>
  <c r="K1036" i="2" a="1"/>
  <c r="K1037" i="2" a="1"/>
  <c r="K1038" i="2" a="1"/>
  <c r="K1039" i="2" a="1"/>
  <c r="K1040" i="2" a="1"/>
  <c r="K1041" i="2" a="1"/>
  <c r="K1042" i="2" a="1"/>
  <c r="K1043" i="2" a="1"/>
  <c r="K1044" i="2" a="1"/>
  <c r="K1045" i="2" a="1"/>
  <c r="K1046" i="2" a="1"/>
  <c r="K1047" i="2" a="1"/>
  <c r="K1048" i="2" a="1"/>
  <c r="K1049" i="2" a="1"/>
  <c r="K1050" i="2" a="1"/>
  <c r="K1051" i="2" a="1"/>
  <c r="K1052" i="2" a="1"/>
  <c r="K1053" i="2" a="1"/>
  <c r="K1054" i="2" a="1"/>
  <c r="K1055" i="2" a="1"/>
  <c r="K1056" i="2" a="1"/>
  <c r="K1057" i="2" a="1"/>
  <c r="K1058" i="2" a="1"/>
  <c r="K1059" i="2" a="1"/>
  <c r="K1060" i="2" a="1"/>
  <c r="K1061" i="2" a="1"/>
  <c r="K1062" i="2" a="1"/>
  <c r="K1063" i="2" a="1"/>
  <c r="K1064" i="2" a="1"/>
  <c r="K1065" i="2" a="1"/>
  <c r="K1066" i="2" a="1"/>
  <c r="K1067" i="2" a="1"/>
  <c r="K1068" i="2" a="1"/>
  <c r="K1069" i="2" a="1"/>
  <c r="K1070" i="2" a="1"/>
  <c r="K1071" i="2" a="1"/>
  <c r="K1072" i="2" a="1"/>
  <c r="K1073" i="2" a="1"/>
  <c r="K1074" i="2" a="1"/>
  <c r="K1075" i="2" a="1"/>
  <c r="K1076" i="2" a="1"/>
  <c r="K1077" i="2" a="1"/>
  <c r="K1078" i="2" a="1"/>
  <c r="K1079" i="2" a="1"/>
  <c r="K1080" i="2" a="1"/>
  <c r="K1081" i="2" a="1"/>
  <c r="K1082" i="2" a="1"/>
  <c r="K1083" i="2" a="1"/>
  <c r="K1084" i="2" a="1"/>
  <c r="K1085" i="2" a="1"/>
  <c r="K1086" i="2" a="1"/>
  <c r="K1087" i="2" a="1"/>
  <c r="K1088" i="2" a="1"/>
  <c r="K1089" i="2" a="1"/>
  <c r="K1090" i="2" a="1"/>
  <c r="K1091" i="2" a="1"/>
  <c r="K1092" i="2" a="1"/>
  <c r="K1093" i="2" a="1"/>
  <c r="K1094" i="2" a="1"/>
  <c r="K1095" i="2" a="1"/>
  <c r="K1096" i="2" a="1"/>
  <c r="K1097" i="2" a="1"/>
  <c r="K1098" i="2" a="1"/>
  <c r="K1099" i="2" a="1"/>
  <c r="K1100" i="2" a="1"/>
  <c r="K1101" i="2" a="1"/>
  <c r="K1102" i="2" a="1"/>
  <c r="K1103" i="2" a="1"/>
  <c r="K1104" i="2" a="1"/>
  <c r="K1105" i="2" a="1"/>
  <c r="K1106" i="2" a="1"/>
  <c r="K1107" i="2" a="1"/>
  <c r="K1108" i="2" a="1"/>
  <c r="K1109" i="2" a="1"/>
  <c r="K1110" i="2" a="1"/>
  <c r="K1111" i="2" a="1"/>
  <c r="K1112" i="2" a="1"/>
  <c r="K1113" i="2" a="1"/>
  <c r="K1114" i="2" a="1"/>
  <c r="K1115" i="2" a="1"/>
  <c r="K1116" i="2" a="1"/>
  <c r="K1117" i="2" a="1"/>
  <c r="K1118" i="2" a="1"/>
  <c r="K1119" i="2" a="1"/>
  <c r="K1120" i="2" a="1"/>
  <c r="K1121" i="2" a="1"/>
  <c r="K1122" i="2" a="1"/>
  <c r="K1123" i="2" a="1"/>
  <c r="K1124" i="2" a="1"/>
  <c r="K1125" i="2" a="1"/>
  <c r="K1126" i="2" a="1"/>
  <c r="K1127" i="2" a="1"/>
  <c r="K1128" i="2" a="1"/>
  <c r="K1129" i="2" a="1"/>
  <c r="K1130" i="2" a="1"/>
  <c r="K1131" i="2" a="1"/>
  <c r="K1132" i="2" a="1"/>
  <c r="K1133" i="2" a="1"/>
  <c r="K1134" i="2" a="1"/>
  <c r="K1135" i="2" a="1"/>
  <c r="K1136" i="2" a="1"/>
  <c r="K1137" i="2" a="1"/>
  <c r="K1138" i="2" a="1"/>
  <c r="K1139" i="2" a="1"/>
  <c r="K1140" i="2" a="1"/>
  <c r="K1141" i="2" a="1"/>
  <c r="K1142" i="2" a="1"/>
  <c r="K1143" i="2" a="1"/>
  <c r="K1144" i="2" a="1"/>
  <c r="K1145" i="2" a="1"/>
  <c r="K1146" i="2" a="1"/>
  <c r="K1147" i="2" a="1"/>
  <c r="K1148" i="2" a="1"/>
  <c r="K1149" i="2" a="1"/>
  <c r="K1150" i="2" a="1"/>
  <c r="K1151" i="2" a="1"/>
  <c r="K1152" i="2" a="1"/>
  <c r="K1153" i="2" a="1"/>
  <c r="K1154" i="2" a="1"/>
  <c r="K1155" i="2" a="1"/>
  <c r="K1156" i="2" a="1"/>
  <c r="K1157" i="2" a="1"/>
  <c r="K1158" i="2" a="1"/>
  <c r="K1159" i="2" a="1"/>
  <c r="K1160" i="2" a="1"/>
  <c r="K1161" i="2" a="1"/>
  <c r="K1162" i="2" a="1"/>
  <c r="K1163" i="2" a="1"/>
  <c r="K1164" i="2" a="1"/>
  <c r="K1165" i="2" a="1"/>
  <c r="K1166" i="2" a="1"/>
  <c r="K1167" i="2" a="1"/>
  <c r="K1168" i="2" a="1"/>
  <c r="K1169" i="2" a="1"/>
  <c r="K1170" i="2" a="1"/>
  <c r="K1171" i="2" a="1"/>
  <c r="K1172" i="2" a="1"/>
  <c r="K1173" i="2" a="1"/>
  <c r="K1174" i="2" a="1"/>
  <c r="K1175" i="2" a="1"/>
  <c r="K1176" i="2" a="1"/>
  <c r="K1177" i="2" a="1"/>
  <c r="K1178" i="2" a="1"/>
  <c r="K1179" i="2" a="1"/>
  <c r="K1180" i="2" a="1"/>
  <c r="K1181" i="2" a="1"/>
  <c r="K1182" i="2" a="1"/>
  <c r="K1183" i="2" a="1"/>
  <c r="K1184" i="2" a="1"/>
  <c r="K1185" i="2" a="1"/>
  <c r="K1186" i="2" a="1"/>
  <c r="K1187" i="2" a="1"/>
  <c r="K1188" i="2" a="1"/>
  <c r="K1189" i="2" a="1"/>
  <c r="K1190" i="2" a="1"/>
  <c r="K1191" i="2" a="1"/>
  <c r="K1192" i="2" a="1"/>
  <c r="K1193" i="2" a="1"/>
  <c r="K1194" i="2" a="1"/>
  <c r="K1195" i="2" a="1"/>
  <c r="K1196" i="2" a="1"/>
  <c r="K1197" i="2" a="1"/>
  <c r="K1198" i="2" a="1"/>
  <c r="K1199" i="2" a="1"/>
  <c r="K1200" i="2" a="1"/>
  <c r="K1201" i="2" a="1"/>
  <c r="K1202" i="2" a="1"/>
  <c r="K1203" i="2" a="1"/>
  <c r="K1204" i="2" a="1"/>
  <c r="K1205" i="2" a="1"/>
  <c r="K1206" i="2" a="1"/>
  <c r="K1207" i="2" a="1"/>
  <c r="K1208" i="2" a="1"/>
  <c r="K1209" i="2" a="1"/>
  <c r="K1210" i="2" a="1"/>
  <c r="K1211" i="2" a="1"/>
  <c r="K1212" i="2" a="1"/>
  <c r="K1213" i="2" a="1"/>
  <c r="K1214" i="2" a="1"/>
  <c r="K1215" i="2" a="1"/>
  <c r="K1216" i="2" a="1"/>
  <c r="K1217" i="2" a="1"/>
  <c r="K1218" i="2" a="1"/>
  <c r="K1219" i="2" a="1"/>
  <c r="K1220" i="2" a="1"/>
  <c r="K1221" i="2" a="1"/>
  <c r="K1222" i="2" a="1"/>
  <c r="K1223" i="2" a="1"/>
  <c r="K1224" i="2" a="1"/>
  <c r="K1225" i="2" a="1"/>
  <c r="K1226" i="2" a="1"/>
  <c r="K1227" i="2" a="1"/>
  <c r="K1228" i="2" a="1"/>
  <c r="K1229" i="2" a="1"/>
  <c r="K1230" i="2" a="1"/>
  <c r="K1231" i="2" a="1"/>
  <c r="K1232" i="2" a="1"/>
  <c r="K1233" i="2" a="1"/>
  <c r="K1234" i="2" a="1"/>
  <c r="K1235" i="2" a="1"/>
  <c r="K1236" i="2" a="1"/>
  <c r="K1237" i="2" a="1"/>
  <c r="K1238" i="2" a="1"/>
  <c r="K1239" i="2" a="1"/>
  <c r="K1240" i="2" a="1"/>
  <c r="K1241" i="2" a="1"/>
  <c r="K1242" i="2" a="1"/>
  <c r="K1243" i="2" a="1"/>
  <c r="K1244" i="2" a="1"/>
  <c r="K1245" i="2" a="1"/>
  <c r="K1246" i="2" a="1"/>
  <c r="K1247" i="2" a="1"/>
  <c r="K1248" i="2" a="1"/>
  <c r="K1249" i="2" a="1"/>
  <c r="K1250" i="2" a="1"/>
  <c r="K1251" i="2" a="1"/>
  <c r="K1252" i="2" a="1"/>
  <c r="K1253" i="2" a="1"/>
  <c r="K1254" i="2" a="1"/>
  <c r="K1255" i="2" a="1"/>
  <c r="K1256" i="2" a="1"/>
  <c r="K1257" i="2" a="1"/>
  <c r="K1258" i="2" a="1"/>
  <c r="K1259" i="2" a="1"/>
  <c r="K1260" i="2" a="1"/>
  <c r="K1261" i="2" a="1"/>
  <c r="K1262" i="2" a="1"/>
  <c r="K1263" i="2" a="1"/>
  <c r="K1264" i="2" a="1"/>
  <c r="K1265" i="2" a="1"/>
  <c r="K1266" i="2" a="1"/>
  <c r="K1267" i="2" a="1"/>
  <c r="K1268" i="2" a="1"/>
  <c r="K1269" i="2" a="1"/>
  <c r="K1270" i="2" a="1"/>
  <c r="K1271" i="2" a="1"/>
  <c r="K1272" i="2" a="1"/>
  <c r="K1273" i="2" a="1"/>
  <c r="K1274" i="2" a="1"/>
  <c r="K1275" i="2" a="1"/>
  <c r="K1276" i="2" a="1"/>
  <c r="K1277" i="2" a="1"/>
  <c r="K1278" i="2" a="1"/>
  <c r="K1279" i="2" a="1"/>
  <c r="K1280" i="2" a="1"/>
  <c r="K1281" i="2" a="1"/>
  <c r="K1282" i="2" a="1"/>
  <c r="K1283" i="2" a="1"/>
  <c r="K1284" i="2" a="1"/>
  <c r="K1285" i="2" a="1"/>
  <c r="K1286" i="2" a="1"/>
  <c r="K1287" i="2" a="1"/>
  <c r="K1288" i="2" a="1"/>
  <c r="K1289" i="2" a="1"/>
  <c r="K1290" i="2" a="1"/>
  <c r="K1291" i="2" a="1"/>
  <c r="K1292" i="2" a="1"/>
  <c r="K1293" i="2" a="1"/>
  <c r="K1294" i="2" a="1"/>
  <c r="K1295" i="2" a="1"/>
  <c r="K1296" i="2" a="1"/>
  <c r="K1297" i="2" a="1"/>
  <c r="K1298" i="2" a="1"/>
  <c r="K1299" i="2" a="1"/>
  <c r="K1300" i="2" a="1"/>
  <c r="K1301" i="2" a="1"/>
  <c r="K1302" i="2" a="1"/>
  <c r="K1303" i="2" a="1"/>
  <c r="K1304" i="2" a="1"/>
  <c r="K1305" i="2" a="1"/>
  <c r="K1306" i="2" a="1"/>
  <c r="K1307" i="2" a="1"/>
  <c r="K1308" i="2" a="1"/>
  <c r="K1309" i="2" a="1"/>
  <c r="K1310" i="2" a="1"/>
  <c r="K1311" i="2" a="1"/>
  <c r="K1312" i="2" a="1"/>
  <c r="K1313" i="2" a="1"/>
  <c r="K1314" i="2" a="1"/>
  <c r="K1315" i="2" a="1"/>
  <c r="K1316" i="2" a="1"/>
  <c r="K1317" i="2" a="1"/>
  <c r="K1318" i="2" a="1"/>
  <c r="K1319" i="2" a="1"/>
  <c r="K1320" i="2" a="1"/>
  <c r="K1321" i="2" a="1"/>
  <c r="K1322" i="2" a="1"/>
  <c r="K1323" i="2" a="1"/>
  <c r="K1324" i="2" a="1"/>
  <c r="K1325" i="2" a="1"/>
  <c r="K1326" i="2" a="1"/>
  <c r="K1327" i="2" a="1"/>
  <c r="K1328" i="2" a="1"/>
  <c r="K1329" i="2" a="1"/>
  <c r="K1330" i="2" a="1"/>
  <c r="K1331" i="2" a="1"/>
  <c r="K1332" i="2" a="1"/>
  <c r="K1333" i="2" a="1"/>
  <c r="K1334" i="2" a="1"/>
  <c r="K1335" i="2" a="1"/>
  <c r="K1336" i="2" a="1"/>
  <c r="K1337" i="2" a="1"/>
  <c r="K1338" i="2" a="1"/>
  <c r="K1339" i="2" a="1"/>
  <c r="K1340" i="2" a="1"/>
  <c r="K1341" i="2" a="1"/>
  <c r="K1342" i="2" a="1"/>
  <c r="K1343" i="2" a="1"/>
  <c r="K1344" i="2" a="1"/>
  <c r="K1345" i="2" a="1"/>
  <c r="K1346" i="2" a="1"/>
  <c r="K1347" i="2" a="1"/>
  <c r="K1348" i="2" a="1"/>
  <c r="K1349" i="2" a="1"/>
  <c r="K1350" i="2" a="1"/>
  <c r="K1351" i="2" a="1"/>
  <c r="K1352" i="2" a="1"/>
  <c r="K1353" i="2" a="1"/>
  <c r="K1354" i="2" a="1"/>
  <c r="K1355" i="2" a="1"/>
  <c r="K1356" i="2" a="1"/>
  <c r="K1357" i="2" a="1"/>
  <c r="K1358" i="2" a="1"/>
  <c r="K1359" i="2" a="1"/>
  <c r="K1360" i="2" a="1"/>
  <c r="K1361" i="2" a="1"/>
  <c r="K1362" i="2" a="1"/>
  <c r="K1363" i="2" a="1"/>
  <c r="K1364" i="2" a="1"/>
  <c r="K1365" i="2" a="1"/>
  <c r="K1366" i="2" a="1"/>
  <c r="K1367" i="2" a="1"/>
  <c r="K1368" i="2" a="1"/>
  <c r="K1369" i="2" a="1"/>
  <c r="K1370" i="2" a="1"/>
  <c r="K1371" i="2" a="1"/>
  <c r="K1372" i="2" a="1"/>
  <c r="K1373" i="2" a="1"/>
  <c r="K1374" i="2" a="1"/>
  <c r="K1375" i="2" a="1"/>
  <c r="K1376" i="2" a="1"/>
  <c r="K1377" i="2" a="1"/>
  <c r="K1378" i="2" a="1"/>
  <c r="K1379" i="2" a="1"/>
  <c r="K1380" i="2" a="1"/>
  <c r="K1381" i="2" a="1"/>
  <c r="K1382" i="2" a="1"/>
  <c r="K1383" i="2" a="1"/>
  <c r="K1384" i="2" a="1"/>
  <c r="K1385" i="2" a="1"/>
  <c r="K1386" i="2" a="1"/>
  <c r="K1387" i="2" a="1"/>
  <c r="K1388" i="2" a="1"/>
  <c r="K1389" i="2" a="1"/>
  <c r="K1390" i="2" a="1"/>
  <c r="K1391" i="2" a="1"/>
  <c r="K1392" i="2" a="1"/>
  <c r="K1393" i="2" a="1"/>
  <c r="K1394" i="2" a="1"/>
  <c r="K1395" i="2" a="1"/>
  <c r="K1396" i="2" a="1"/>
  <c r="K1397" i="2" a="1"/>
  <c r="K1398" i="2" a="1"/>
  <c r="K1399" i="2" a="1"/>
  <c r="K1400" i="2" a="1"/>
  <c r="K1401" i="2" a="1"/>
  <c r="K1402" i="2" a="1"/>
  <c r="K1403" i="2" a="1"/>
  <c r="K1404" i="2" a="1"/>
  <c r="K1405" i="2" a="1"/>
  <c r="K1406" i="2" a="1"/>
  <c r="K1407" i="2" a="1"/>
  <c r="K1408" i="2" a="1"/>
  <c r="K1409" i="2" a="1"/>
  <c r="K1410" i="2" a="1"/>
  <c r="K1411" i="2" a="1"/>
  <c r="K1412" i="2" a="1"/>
  <c r="K1413" i="2" a="1"/>
  <c r="K1414" i="2" a="1"/>
  <c r="K1415" i="2" a="1"/>
  <c r="K1416" i="2" a="1"/>
  <c r="K1417" i="2" a="1"/>
  <c r="K1418" i="2" a="1"/>
  <c r="K1419" i="2" a="1"/>
  <c r="K1420" i="2" a="1"/>
  <c r="K1421" i="2" a="1"/>
  <c r="K1422" i="2" a="1"/>
  <c r="K1423" i="2" a="1"/>
  <c r="K1424" i="2" a="1"/>
  <c r="K1425" i="2" a="1"/>
  <c r="K1426" i="2" a="1"/>
  <c r="K1427" i="2" a="1"/>
  <c r="K1428" i="2" a="1"/>
  <c r="K1429" i="2" a="1"/>
  <c r="K1430" i="2" a="1"/>
  <c r="K1431" i="2" a="1"/>
  <c r="K1432" i="2" a="1"/>
  <c r="K1433" i="2" a="1"/>
  <c r="K1434" i="2" a="1"/>
  <c r="K1435" i="2" a="1"/>
  <c r="K1436" i="2" a="1"/>
  <c r="K1437" i="2" a="1"/>
  <c r="K1438" i="2" a="1"/>
  <c r="K1439" i="2" a="1"/>
  <c r="K1440" i="2" a="1"/>
  <c r="K1441" i="2" a="1"/>
  <c r="K1442" i="2" a="1"/>
  <c r="K1443" i="2" a="1"/>
  <c r="K1444" i="2" a="1"/>
  <c r="K1445" i="2" a="1"/>
  <c r="K1446" i="2" a="1"/>
  <c r="K1447" i="2" a="1"/>
  <c r="K1448" i="2" a="1"/>
  <c r="J5" i="2" a="1"/>
  <c r="J4" i="2" a="1"/>
  <c r="J6" i="2" a="1"/>
  <c r="J7" i="2" a="1"/>
  <c r="J8" i="2" a="1"/>
  <c r="J9" i="2" a="1"/>
  <c r="J10" i="2" a="1"/>
  <c r="J11" i="2" a="1"/>
  <c r="J12" i="2" a="1"/>
  <c r="J13" i="2" a="1"/>
  <c r="J14" i="2" a="1"/>
  <c r="J15" i="2" a="1"/>
  <c r="J16" i="2" a="1"/>
  <c r="J17" i="2" a="1"/>
  <c r="J18" i="2" a="1"/>
  <c r="J19" i="2" a="1"/>
  <c r="J20" i="2" a="1"/>
  <c r="J21" i="2" a="1"/>
  <c r="J22" i="2" a="1"/>
  <c r="J23" i="2" a="1"/>
  <c r="J24" i="2" a="1"/>
  <c r="J25" i="2" a="1"/>
  <c r="J26" i="2" a="1"/>
  <c r="J27" i="2" a="1"/>
  <c r="J28" i="2" a="1"/>
  <c r="J29" i="2" a="1"/>
  <c r="J30" i="2" a="1"/>
  <c r="J31" i="2" a="1"/>
  <c r="J32" i="2" a="1"/>
  <c r="J33" i="2" a="1"/>
  <c r="J34" i="2" a="1"/>
  <c r="J35" i="2" a="1"/>
  <c r="J36" i="2" a="1"/>
  <c r="J37" i="2" a="1"/>
  <c r="J38" i="2" a="1"/>
  <c r="J39" i="2" a="1"/>
  <c r="J40" i="2" a="1"/>
  <c r="J41" i="2" a="1"/>
  <c r="J42" i="2" a="1"/>
  <c r="J43" i="2" a="1"/>
  <c r="J44" i="2" a="1"/>
  <c r="J45" i="2" a="1"/>
  <c r="J46" i="2" a="1"/>
  <c r="J47" i="2" a="1"/>
  <c r="J48" i="2" a="1"/>
  <c r="J49" i="2" a="1"/>
  <c r="J50" i="2" a="1"/>
  <c r="J51" i="2" a="1"/>
  <c r="J52" i="2" a="1"/>
  <c r="J53" i="2" a="1"/>
  <c r="J54" i="2" a="1"/>
  <c r="J55" i="2" a="1"/>
  <c r="J56" i="2" a="1"/>
  <c r="J57" i="2" a="1"/>
  <c r="J58" i="2" a="1"/>
  <c r="J59" i="2" a="1"/>
  <c r="J60" i="2" a="1"/>
  <c r="J61" i="2" a="1"/>
  <c r="J62" i="2" a="1"/>
  <c r="J63" i="2" a="1"/>
  <c r="J64" i="2" a="1"/>
  <c r="J65" i="2" a="1"/>
  <c r="J66" i="2" a="1"/>
  <c r="J67" i="2" a="1"/>
  <c r="J68" i="2" a="1"/>
  <c r="J69" i="2" a="1"/>
  <c r="J70" i="2" a="1"/>
  <c r="J71" i="2" a="1"/>
  <c r="J72" i="2" a="1"/>
  <c r="J73" i="2" a="1"/>
  <c r="J74" i="2" a="1"/>
  <c r="J75" i="2" a="1"/>
  <c r="J76" i="2" a="1"/>
  <c r="J77" i="2" a="1"/>
  <c r="J78" i="2" a="1"/>
  <c r="J79" i="2" a="1"/>
  <c r="J80" i="2" a="1"/>
  <c r="J81" i="2" a="1"/>
  <c r="J82" i="2" a="1"/>
  <c r="J83" i="2" a="1"/>
  <c r="J84" i="2" a="1"/>
  <c r="J85" i="2" a="1"/>
  <c r="J86" i="2" a="1"/>
  <c r="J87" i="2" a="1"/>
  <c r="J88" i="2" a="1"/>
  <c r="J89" i="2" a="1"/>
  <c r="J90" i="2" a="1"/>
  <c r="J91" i="2" a="1"/>
  <c r="J92" i="2" a="1"/>
  <c r="J93" i="2" a="1"/>
  <c r="J94" i="2" a="1"/>
  <c r="J95" i="2" a="1"/>
  <c r="J96" i="2" a="1"/>
  <c r="J97" i="2" a="1"/>
  <c r="J98" i="2" a="1"/>
  <c r="J99" i="2" a="1"/>
  <c r="J100" i="2" a="1"/>
  <c r="J101" i="2" a="1"/>
  <c r="J102" i="2" a="1"/>
  <c r="J103" i="2" a="1"/>
  <c r="J104" i="2" a="1"/>
  <c r="J105" i="2" a="1"/>
  <c r="J106" i="2" a="1"/>
  <c r="J107" i="2" a="1"/>
  <c r="J108" i="2" a="1"/>
  <c r="J109" i="2" a="1"/>
  <c r="J110" i="2" a="1"/>
  <c r="J111" i="2" a="1"/>
  <c r="J112" i="2" a="1"/>
  <c r="J113" i="2" a="1"/>
  <c r="J114" i="2" a="1"/>
  <c r="J115" i="2" a="1"/>
  <c r="J116" i="2" a="1"/>
  <c r="J117" i="2" a="1"/>
  <c r="J118" i="2" a="1"/>
  <c r="J119" i="2" a="1"/>
  <c r="J120" i="2" a="1"/>
  <c r="J121" i="2" a="1"/>
  <c r="J122" i="2" a="1"/>
  <c r="J123" i="2" a="1"/>
  <c r="J124" i="2" a="1"/>
  <c r="J125" i="2" a="1"/>
  <c r="J126" i="2" a="1"/>
  <c r="J127" i="2" a="1"/>
  <c r="J128" i="2" a="1"/>
  <c r="J129" i="2" a="1"/>
  <c r="J130" i="2" a="1"/>
  <c r="J131" i="2" a="1"/>
  <c r="J132" i="2" a="1"/>
  <c r="J133" i="2" a="1"/>
  <c r="J134" i="2" a="1"/>
  <c r="J135" i="2" a="1"/>
  <c r="J136" i="2" a="1"/>
  <c r="J137" i="2" a="1"/>
  <c r="J138" i="2" a="1"/>
  <c r="J139" i="2" a="1"/>
  <c r="J140" i="2" a="1"/>
  <c r="J141" i="2" a="1"/>
  <c r="J142" i="2" a="1"/>
  <c r="J143" i="2" a="1"/>
  <c r="J144" i="2" a="1"/>
  <c r="J145" i="2" a="1"/>
  <c r="J146" i="2" a="1"/>
  <c r="J147" i="2" a="1"/>
  <c r="J148" i="2" a="1"/>
  <c r="J149" i="2" a="1"/>
  <c r="J150" i="2" a="1"/>
  <c r="J151" i="2" a="1"/>
  <c r="J152" i="2" a="1"/>
  <c r="J153" i="2" a="1"/>
  <c r="J154" i="2" a="1"/>
  <c r="J155" i="2" a="1"/>
  <c r="J156" i="2" a="1"/>
  <c r="J157" i="2" a="1"/>
  <c r="J158" i="2" a="1"/>
  <c r="J159" i="2" a="1"/>
  <c r="J160" i="2" a="1"/>
  <c r="J161" i="2" a="1"/>
  <c r="J162" i="2" a="1"/>
  <c r="J163" i="2" a="1"/>
  <c r="J164" i="2" a="1"/>
  <c r="J165" i="2" a="1"/>
  <c r="J166" i="2" a="1"/>
  <c r="J167" i="2" a="1"/>
  <c r="J168" i="2" a="1"/>
  <c r="J169" i="2" a="1"/>
  <c r="J170" i="2" a="1"/>
  <c r="J171" i="2" a="1"/>
  <c r="J172" i="2" a="1"/>
  <c r="J173" i="2" a="1"/>
  <c r="J174" i="2" a="1"/>
  <c r="J175" i="2" a="1"/>
  <c r="J176" i="2" a="1"/>
  <c r="J177" i="2" a="1"/>
  <c r="J178" i="2" a="1"/>
  <c r="J179" i="2" a="1"/>
  <c r="J180" i="2" a="1"/>
  <c r="J181" i="2" a="1"/>
  <c r="J182" i="2" a="1"/>
  <c r="J183" i="2" a="1"/>
  <c r="J184" i="2" a="1"/>
  <c r="J185" i="2" a="1"/>
  <c r="J186" i="2" a="1"/>
  <c r="J187" i="2" a="1"/>
  <c r="J188" i="2" a="1"/>
  <c r="J189" i="2" a="1"/>
  <c r="J190" i="2" a="1"/>
  <c r="J191" i="2" a="1"/>
  <c r="J192" i="2" a="1"/>
  <c r="J193" i="2" a="1"/>
  <c r="J194" i="2" a="1"/>
  <c r="J195" i="2" a="1"/>
  <c r="J196" i="2" a="1"/>
  <c r="J197" i="2" a="1"/>
  <c r="J198" i="2" a="1"/>
  <c r="J199" i="2" a="1"/>
  <c r="J200" i="2" a="1"/>
  <c r="J201" i="2" a="1"/>
  <c r="J202" i="2" a="1"/>
  <c r="J203" i="2" a="1"/>
  <c r="J204" i="2" a="1"/>
  <c r="J205" i="2" a="1"/>
  <c r="J206" i="2" a="1"/>
  <c r="J207" i="2" a="1"/>
  <c r="J208" i="2" a="1"/>
  <c r="J209" i="2" a="1"/>
  <c r="J210" i="2" a="1"/>
  <c r="J211" i="2" a="1"/>
  <c r="J212" i="2" a="1"/>
  <c r="J213" i="2" a="1"/>
  <c r="J214" i="2" a="1"/>
  <c r="J215" i="2" a="1"/>
  <c r="J216" i="2" a="1"/>
  <c r="J217" i="2" a="1"/>
  <c r="J218" i="2" a="1"/>
  <c r="J219" i="2" a="1"/>
  <c r="J220" i="2" a="1"/>
  <c r="J221" i="2" a="1"/>
  <c r="J222" i="2" a="1"/>
  <c r="J223" i="2" a="1"/>
  <c r="J224" i="2" a="1"/>
  <c r="J225" i="2" a="1"/>
  <c r="J226" i="2" a="1"/>
  <c r="J227" i="2" a="1"/>
  <c r="J228" i="2" a="1"/>
  <c r="J229" i="2" a="1"/>
  <c r="J230" i="2" a="1"/>
  <c r="J231" i="2" a="1"/>
  <c r="J232" i="2" a="1"/>
  <c r="J233" i="2" a="1"/>
  <c r="J234" i="2" a="1"/>
  <c r="J235" i="2" a="1"/>
  <c r="J236" i="2" a="1"/>
  <c r="J237" i="2" a="1"/>
  <c r="J238" i="2" a="1"/>
  <c r="J239" i="2" a="1"/>
  <c r="J240" i="2" a="1"/>
  <c r="J241" i="2" a="1"/>
  <c r="J242" i="2" a="1"/>
  <c r="J243" i="2" a="1"/>
  <c r="J244" i="2" a="1"/>
  <c r="J245" i="2" a="1"/>
  <c r="J246" i="2" a="1"/>
  <c r="J247" i="2" a="1"/>
  <c r="J248" i="2" a="1"/>
  <c r="J249" i="2" a="1"/>
  <c r="J250" i="2" a="1"/>
  <c r="J251" i="2" a="1"/>
  <c r="J252" i="2" a="1"/>
  <c r="J253" i="2" a="1"/>
  <c r="J254" i="2" a="1"/>
  <c r="J255" i="2" a="1"/>
  <c r="J256" i="2" a="1"/>
  <c r="J257" i="2" a="1"/>
  <c r="J258" i="2" a="1"/>
  <c r="J259" i="2" a="1"/>
  <c r="J260" i="2" a="1"/>
  <c r="J261" i="2" a="1"/>
  <c r="J262" i="2" a="1"/>
  <c r="J263" i="2" a="1"/>
  <c r="J264" i="2" a="1"/>
  <c r="J265" i="2" a="1"/>
  <c r="J266" i="2" a="1"/>
  <c r="J267" i="2" a="1"/>
  <c r="J268" i="2" a="1"/>
  <c r="J269" i="2" a="1"/>
  <c r="J270" i="2" a="1"/>
  <c r="J271" i="2" a="1"/>
  <c r="J272" i="2" a="1"/>
  <c r="J273" i="2" a="1"/>
  <c r="J274" i="2" a="1"/>
  <c r="J275" i="2" a="1"/>
  <c r="J276" i="2" a="1"/>
  <c r="J277" i="2" a="1"/>
  <c r="J278" i="2" a="1"/>
  <c r="J279" i="2" a="1"/>
  <c r="J280" i="2" a="1"/>
  <c r="J281" i="2" a="1"/>
  <c r="J282" i="2" a="1"/>
  <c r="J283" i="2" a="1"/>
  <c r="J284" i="2" a="1"/>
  <c r="J285" i="2" a="1"/>
  <c r="J286" i="2" a="1"/>
  <c r="J287" i="2" a="1"/>
  <c r="J288" i="2" a="1"/>
  <c r="J289" i="2" a="1"/>
  <c r="J290" i="2" a="1"/>
  <c r="J291" i="2" a="1"/>
  <c r="J292" i="2" a="1"/>
  <c r="J293" i="2" a="1"/>
  <c r="J294" i="2" a="1"/>
  <c r="J295" i="2" a="1"/>
  <c r="J296" i="2" a="1"/>
  <c r="J297" i="2" a="1"/>
  <c r="J298" i="2" a="1"/>
  <c r="J299" i="2" a="1"/>
  <c r="J300" i="2" a="1"/>
  <c r="J301" i="2" a="1"/>
  <c r="J302" i="2" a="1"/>
  <c r="J303" i="2" a="1"/>
  <c r="J304" i="2" a="1"/>
  <c r="J305" i="2" a="1"/>
  <c r="J306" i="2" a="1"/>
  <c r="J307" i="2" a="1"/>
  <c r="J308" i="2" a="1"/>
  <c r="J309" i="2" a="1"/>
  <c r="J310" i="2" a="1"/>
  <c r="J311" i="2" a="1"/>
  <c r="J312" i="2" a="1"/>
  <c r="J313" i="2" a="1"/>
  <c r="J314" i="2" a="1"/>
  <c r="J315" i="2" a="1"/>
  <c r="J316" i="2" a="1"/>
  <c r="J317" i="2" a="1"/>
  <c r="J318" i="2" a="1"/>
  <c r="J319" i="2" a="1"/>
  <c r="J320" i="2" a="1"/>
  <c r="J321" i="2" a="1"/>
  <c r="J322" i="2" a="1"/>
  <c r="J323" i="2" a="1"/>
  <c r="J324" i="2" a="1"/>
  <c r="J325" i="2" a="1"/>
  <c r="J326" i="2" a="1"/>
  <c r="J327" i="2" a="1"/>
  <c r="J328" i="2" a="1"/>
  <c r="J329" i="2" a="1"/>
  <c r="J330" i="2" a="1"/>
  <c r="J331" i="2" a="1"/>
  <c r="J332" i="2" a="1"/>
  <c r="J333" i="2" a="1"/>
  <c r="J334" i="2" a="1"/>
  <c r="J335" i="2" a="1"/>
  <c r="J336" i="2" a="1"/>
  <c r="J337" i="2" a="1"/>
  <c r="J338" i="2" a="1"/>
  <c r="J339" i="2" a="1"/>
  <c r="J340" i="2" a="1"/>
  <c r="J341" i="2" a="1"/>
  <c r="J342" i="2" a="1"/>
  <c r="J343" i="2" a="1"/>
  <c r="J344" i="2" a="1"/>
  <c r="J345" i="2" a="1"/>
  <c r="J346" i="2" a="1"/>
  <c r="J347" i="2" a="1"/>
  <c r="J348" i="2" a="1"/>
  <c r="J349" i="2" a="1"/>
  <c r="J350" i="2" a="1"/>
  <c r="J351" i="2" a="1"/>
  <c r="J352" i="2" a="1"/>
  <c r="J353" i="2" a="1"/>
  <c r="J354" i="2" a="1"/>
  <c r="J355" i="2" a="1"/>
  <c r="J356" i="2" a="1"/>
  <c r="J357" i="2" a="1"/>
  <c r="J358" i="2" a="1"/>
  <c r="J359" i="2" a="1"/>
  <c r="J360" i="2" a="1"/>
  <c r="J361" i="2" a="1"/>
  <c r="J362" i="2" a="1"/>
  <c r="J363" i="2" a="1"/>
  <c r="J364" i="2" a="1"/>
  <c r="J365" i="2" a="1"/>
  <c r="J366" i="2" a="1"/>
  <c r="J367" i="2" a="1"/>
  <c r="J368" i="2" a="1"/>
  <c r="J369" i="2" a="1"/>
  <c r="J370" i="2" a="1"/>
  <c r="J371" i="2" a="1"/>
  <c r="J372" i="2" a="1"/>
  <c r="J373" i="2" a="1"/>
  <c r="J374" i="2" a="1"/>
  <c r="J375" i="2" a="1"/>
  <c r="J376" i="2" a="1"/>
  <c r="J377" i="2" a="1"/>
  <c r="J378" i="2" a="1"/>
  <c r="J379" i="2" a="1"/>
  <c r="J380" i="2" a="1"/>
  <c r="J381" i="2" a="1"/>
  <c r="J382" i="2" a="1"/>
  <c r="J383" i="2" a="1"/>
  <c r="J384" i="2" a="1"/>
  <c r="J385" i="2" a="1"/>
  <c r="J386" i="2" a="1"/>
  <c r="J387" i="2" a="1"/>
  <c r="J388" i="2" a="1"/>
  <c r="J389" i="2" a="1"/>
  <c r="J390" i="2" a="1"/>
  <c r="J391" i="2" a="1"/>
  <c r="J392" i="2" a="1"/>
  <c r="J393" i="2" a="1"/>
  <c r="J394" i="2" a="1"/>
  <c r="J395" i="2" a="1"/>
  <c r="J396" i="2" a="1"/>
  <c r="J397" i="2" a="1"/>
  <c r="J398" i="2" a="1"/>
  <c r="J399" i="2" a="1"/>
  <c r="J400" i="2" a="1"/>
  <c r="J401" i="2" a="1"/>
  <c r="J402" i="2" a="1"/>
  <c r="J403" i="2" a="1"/>
  <c r="J404" i="2" a="1"/>
  <c r="J405" i="2" a="1"/>
  <c r="J406" i="2" a="1"/>
  <c r="J407" i="2" a="1"/>
  <c r="J408" i="2" a="1"/>
  <c r="J409" i="2" a="1"/>
  <c r="J410" i="2" a="1"/>
  <c r="J411" i="2" a="1"/>
  <c r="J412" i="2" a="1"/>
  <c r="J413" i="2" a="1"/>
  <c r="J414" i="2" a="1"/>
  <c r="J415" i="2" a="1"/>
  <c r="J416" i="2" a="1"/>
  <c r="J417" i="2" a="1"/>
  <c r="J418" i="2" a="1"/>
  <c r="J419" i="2" a="1"/>
  <c r="J420" i="2" a="1"/>
  <c r="J421" i="2" a="1"/>
  <c r="J422" i="2" a="1"/>
  <c r="J423" i="2" a="1"/>
  <c r="J424" i="2" a="1"/>
  <c r="J425" i="2" a="1"/>
  <c r="J426" i="2" a="1"/>
  <c r="J427" i="2" a="1"/>
  <c r="J428" i="2" a="1"/>
  <c r="J429" i="2" a="1"/>
  <c r="J430" i="2" a="1"/>
  <c r="J431" i="2" a="1"/>
  <c r="J432" i="2" a="1"/>
  <c r="J433" i="2" a="1"/>
  <c r="J434" i="2" a="1"/>
  <c r="J435" i="2" a="1"/>
  <c r="J436" i="2" a="1"/>
  <c r="J437" i="2" a="1"/>
  <c r="J438" i="2" a="1"/>
  <c r="J439" i="2" a="1"/>
  <c r="J440" i="2" a="1"/>
  <c r="J441" i="2" a="1"/>
  <c r="J442" i="2" a="1"/>
  <c r="J443" i="2" a="1"/>
  <c r="J444" i="2" a="1"/>
  <c r="J445" i="2" a="1"/>
  <c r="J446" i="2" a="1"/>
  <c r="J447" i="2" a="1"/>
  <c r="J448" i="2" a="1"/>
  <c r="J449" i="2" a="1"/>
  <c r="J450" i="2" a="1"/>
  <c r="J451" i="2" a="1"/>
  <c r="J452" i="2" a="1"/>
  <c r="J453" i="2" a="1"/>
  <c r="J454" i="2" a="1"/>
  <c r="J455" i="2" a="1"/>
  <c r="J456" i="2" a="1"/>
  <c r="J457" i="2" a="1"/>
  <c r="J458" i="2" a="1"/>
  <c r="J459" i="2" a="1"/>
  <c r="J460" i="2" a="1"/>
  <c r="J461" i="2" a="1"/>
  <c r="J462" i="2" a="1"/>
  <c r="J463" i="2" a="1"/>
  <c r="J464" i="2" a="1"/>
  <c r="J465" i="2" a="1"/>
  <c r="J466" i="2" a="1"/>
  <c r="J467" i="2" a="1"/>
  <c r="J468" i="2" a="1"/>
  <c r="J469" i="2" a="1"/>
  <c r="J470" i="2" a="1"/>
  <c r="J471" i="2" a="1"/>
  <c r="J472" i="2" a="1"/>
  <c r="J473" i="2" a="1"/>
  <c r="J474" i="2" a="1"/>
  <c r="J475" i="2" a="1"/>
  <c r="J476" i="2" a="1"/>
  <c r="J477" i="2" a="1"/>
  <c r="J478" i="2" a="1"/>
  <c r="J479" i="2" a="1"/>
  <c r="J480" i="2" a="1"/>
  <c r="J481" i="2" a="1"/>
  <c r="J482" i="2" a="1"/>
  <c r="J483" i="2" a="1"/>
  <c r="J484" i="2" a="1"/>
  <c r="J485" i="2" a="1"/>
  <c r="J486" i="2" a="1"/>
  <c r="J487" i="2" a="1"/>
  <c r="J488" i="2" a="1"/>
  <c r="J489" i="2" a="1"/>
  <c r="J490" i="2" a="1"/>
  <c r="J491" i="2" a="1"/>
  <c r="J492" i="2" a="1"/>
  <c r="J493" i="2" a="1"/>
  <c r="J494" i="2" a="1"/>
  <c r="J495" i="2" a="1"/>
  <c r="J496" i="2" a="1"/>
  <c r="J497" i="2" a="1"/>
  <c r="J498" i="2" a="1"/>
  <c r="J499" i="2" a="1"/>
  <c r="J500" i="2" a="1"/>
  <c r="J501" i="2" a="1"/>
  <c r="J502" i="2" a="1"/>
  <c r="J503" i="2" a="1"/>
  <c r="J504" i="2" a="1"/>
  <c r="J505" i="2" a="1"/>
  <c r="J506" i="2" a="1"/>
  <c r="J507" i="2" a="1"/>
  <c r="J508" i="2" a="1"/>
  <c r="J509" i="2" a="1"/>
  <c r="J510" i="2" a="1"/>
  <c r="J511" i="2" a="1"/>
  <c r="J512" i="2" a="1"/>
  <c r="J513" i="2" a="1"/>
  <c r="J514" i="2" a="1"/>
  <c r="J515" i="2" a="1"/>
  <c r="J516" i="2" a="1"/>
  <c r="J517" i="2" a="1"/>
  <c r="J518" i="2" a="1"/>
  <c r="J519" i="2" a="1"/>
  <c r="J520" i="2" a="1"/>
  <c r="J521" i="2" a="1"/>
  <c r="J522" i="2" a="1"/>
  <c r="J523" i="2" a="1"/>
  <c r="J524" i="2" a="1"/>
  <c r="J525" i="2" a="1"/>
  <c r="J526" i="2" a="1"/>
  <c r="J527" i="2" a="1"/>
  <c r="J528" i="2" a="1"/>
  <c r="J529" i="2" a="1"/>
  <c r="J530" i="2" a="1"/>
  <c r="J531" i="2" a="1"/>
  <c r="J532" i="2" a="1"/>
  <c r="J533" i="2" a="1"/>
  <c r="J534" i="2" a="1"/>
  <c r="J535" i="2" a="1"/>
  <c r="J536" i="2" a="1"/>
  <c r="J537" i="2" a="1"/>
  <c r="J538" i="2" a="1"/>
  <c r="J539" i="2" a="1"/>
  <c r="J540" i="2" a="1"/>
  <c r="J541" i="2" a="1"/>
  <c r="J542" i="2" a="1"/>
  <c r="J543" i="2" a="1"/>
  <c r="J544" i="2" a="1"/>
  <c r="J545" i="2" a="1"/>
  <c r="J546" i="2" a="1"/>
  <c r="J547" i="2" a="1"/>
  <c r="J548" i="2" a="1"/>
  <c r="J549" i="2" a="1"/>
  <c r="J550" i="2" a="1"/>
  <c r="J551" i="2" a="1"/>
  <c r="J552" i="2" a="1"/>
  <c r="J553" i="2" a="1"/>
  <c r="J554" i="2" a="1"/>
  <c r="J555" i="2" a="1"/>
  <c r="J556" i="2" a="1"/>
  <c r="J557" i="2" a="1"/>
  <c r="J558" i="2" a="1"/>
  <c r="J559" i="2" a="1"/>
  <c r="J560" i="2" a="1"/>
  <c r="J561" i="2" a="1"/>
  <c r="J562" i="2" a="1"/>
  <c r="J563" i="2" a="1"/>
  <c r="J564" i="2" a="1"/>
  <c r="J565" i="2" a="1"/>
  <c r="J566" i="2" a="1"/>
  <c r="J567" i="2" a="1"/>
  <c r="J568" i="2" a="1"/>
  <c r="J569" i="2" a="1"/>
  <c r="J570" i="2" a="1"/>
  <c r="J571" i="2" a="1"/>
  <c r="J572" i="2" a="1"/>
  <c r="J573" i="2" a="1"/>
  <c r="J574" i="2" a="1"/>
  <c r="J575" i="2" a="1"/>
  <c r="J576" i="2" a="1"/>
  <c r="J577" i="2" a="1"/>
  <c r="J578" i="2" a="1"/>
  <c r="J579" i="2" a="1"/>
  <c r="J580" i="2" a="1"/>
  <c r="J581" i="2" a="1"/>
  <c r="J582" i="2" a="1"/>
  <c r="J583" i="2" a="1"/>
  <c r="J584" i="2" a="1"/>
  <c r="J585" i="2" a="1"/>
  <c r="J586" i="2" a="1"/>
  <c r="J587" i="2" a="1"/>
  <c r="J588" i="2" a="1"/>
  <c r="J589" i="2" a="1"/>
  <c r="J590" i="2" a="1"/>
  <c r="J591" i="2" a="1"/>
  <c r="J592" i="2" a="1"/>
  <c r="J593" i="2" a="1"/>
  <c r="J594" i="2" a="1"/>
  <c r="J595" i="2" a="1"/>
  <c r="J596" i="2" a="1"/>
  <c r="J597" i="2" a="1"/>
  <c r="J598" i="2" a="1"/>
  <c r="J599" i="2" a="1"/>
  <c r="J600" i="2" a="1"/>
  <c r="J601" i="2" a="1"/>
  <c r="J602" i="2" a="1"/>
  <c r="J603" i="2" a="1"/>
  <c r="J604" i="2" a="1"/>
  <c r="J605" i="2" a="1"/>
  <c r="J606" i="2" a="1"/>
  <c r="J607" i="2" a="1"/>
  <c r="J608" i="2" a="1"/>
  <c r="J609" i="2" a="1"/>
  <c r="J610" i="2" a="1"/>
  <c r="J611" i="2" a="1"/>
  <c r="J612" i="2" a="1"/>
  <c r="J613" i="2" a="1"/>
  <c r="J614" i="2" a="1"/>
  <c r="J615" i="2" a="1"/>
  <c r="J616" i="2" a="1"/>
  <c r="J617" i="2" a="1"/>
  <c r="J618" i="2" a="1"/>
  <c r="J619" i="2" a="1"/>
  <c r="J620" i="2" a="1"/>
  <c r="J621" i="2" a="1"/>
  <c r="J622" i="2" a="1"/>
  <c r="J623" i="2" a="1"/>
  <c r="J624" i="2" a="1"/>
  <c r="J625" i="2" a="1"/>
  <c r="J626" i="2" a="1"/>
  <c r="J627" i="2" a="1"/>
  <c r="J628" i="2" a="1"/>
  <c r="J629" i="2" a="1"/>
  <c r="J630" i="2" a="1"/>
  <c r="J631" i="2" a="1"/>
  <c r="J632" i="2" a="1"/>
  <c r="J633" i="2" a="1"/>
  <c r="J634" i="2" a="1"/>
  <c r="J635" i="2" a="1"/>
  <c r="J636" i="2" a="1"/>
  <c r="J637" i="2" a="1"/>
  <c r="J638" i="2" a="1"/>
  <c r="J639" i="2" a="1"/>
  <c r="J640" i="2" a="1"/>
  <c r="J641" i="2" a="1"/>
  <c r="J642" i="2" a="1"/>
  <c r="J643" i="2" a="1"/>
  <c r="J644" i="2" a="1"/>
  <c r="J645" i="2" a="1"/>
  <c r="J646" i="2" a="1"/>
  <c r="J647" i="2" a="1"/>
  <c r="J648" i="2" a="1"/>
  <c r="J649" i="2" a="1"/>
  <c r="J650" i="2" a="1"/>
  <c r="J651" i="2" a="1"/>
  <c r="J652" i="2" a="1"/>
  <c r="J653" i="2" a="1"/>
  <c r="J654" i="2" a="1"/>
  <c r="J655" i="2" a="1"/>
  <c r="J656" i="2" a="1"/>
  <c r="J657" i="2" a="1"/>
  <c r="J658" i="2" a="1"/>
  <c r="J659" i="2" a="1"/>
  <c r="J660" i="2" a="1"/>
  <c r="J661" i="2" a="1"/>
  <c r="J662" i="2" a="1"/>
  <c r="J663" i="2" a="1"/>
  <c r="J664" i="2" a="1"/>
  <c r="J665" i="2" a="1"/>
  <c r="J666" i="2" a="1"/>
  <c r="J667" i="2" a="1"/>
  <c r="J668" i="2" a="1"/>
  <c r="J669" i="2" a="1"/>
  <c r="J670" i="2" a="1"/>
  <c r="J671" i="2" a="1"/>
  <c r="J672" i="2" a="1"/>
  <c r="J673" i="2" a="1"/>
  <c r="J674" i="2" a="1"/>
  <c r="J675" i="2" a="1"/>
  <c r="J676" i="2" a="1"/>
  <c r="J677" i="2" a="1"/>
  <c r="J678" i="2" a="1"/>
  <c r="J679" i="2" a="1"/>
  <c r="J680" i="2" a="1"/>
  <c r="J681" i="2" a="1"/>
  <c r="J682" i="2" a="1"/>
  <c r="J683" i="2" a="1"/>
  <c r="J684" i="2" a="1"/>
  <c r="J685" i="2" a="1"/>
  <c r="J686" i="2" a="1"/>
  <c r="J687" i="2" a="1"/>
  <c r="J688" i="2" a="1"/>
  <c r="J689" i="2" a="1"/>
  <c r="J690" i="2" a="1"/>
  <c r="J691" i="2" a="1"/>
  <c r="J692" i="2" a="1"/>
  <c r="J693" i="2" a="1"/>
  <c r="J694" i="2" a="1"/>
  <c r="J695" i="2" a="1"/>
  <c r="J696" i="2" a="1"/>
  <c r="J697" i="2" a="1"/>
  <c r="J698" i="2" a="1"/>
  <c r="J699" i="2" a="1"/>
  <c r="J700" i="2" a="1"/>
  <c r="J701" i="2" a="1"/>
  <c r="J702" i="2" a="1"/>
  <c r="J703" i="2" a="1"/>
  <c r="J704" i="2" a="1"/>
  <c r="J705" i="2" a="1"/>
  <c r="J706" i="2" a="1"/>
  <c r="J707" i="2" a="1"/>
  <c r="J708" i="2" a="1"/>
  <c r="J709" i="2" a="1"/>
  <c r="J710" i="2" a="1"/>
  <c r="J711" i="2" a="1"/>
  <c r="J712" i="2" a="1"/>
  <c r="J713" i="2" a="1"/>
  <c r="J714" i="2" a="1"/>
  <c r="J715" i="2" a="1"/>
  <c r="J716" i="2" a="1"/>
  <c r="J717" i="2" a="1"/>
  <c r="J718" i="2" a="1"/>
  <c r="J719" i="2" a="1"/>
  <c r="J720" i="2" a="1"/>
  <c r="J721" i="2" a="1"/>
  <c r="J722" i="2" a="1"/>
  <c r="J723" i="2" a="1"/>
  <c r="J724" i="2" a="1"/>
  <c r="J725" i="2" a="1"/>
  <c r="J726" i="2" a="1"/>
  <c r="J727" i="2" a="1"/>
  <c r="J728" i="2" a="1"/>
  <c r="J729" i="2" a="1"/>
  <c r="J730" i="2" a="1"/>
  <c r="J731" i="2" a="1"/>
  <c r="J732" i="2" a="1"/>
  <c r="J733" i="2" a="1"/>
  <c r="J734" i="2" a="1"/>
  <c r="J735" i="2" a="1"/>
  <c r="J736" i="2" a="1"/>
  <c r="J737" i="2" a="1"/>
  <c r="J738" i="2" a="1"/>
  <c r="J739" i="2" a="1"/>
  <c r="J740" i="2" a="1"/>
  <c r="J741" i="2" a="1"/>
  <c r="J742" i="2" a="1"/>
  <c r="J743" i="2" a="1"/>
  <c r="J744" i="2" a="1"/>
  <c r="J745" i="2" a="1"/>
  <c r="J746" i="2" a="1"/>
  <c r="J747" i="2" a="1"/>
  <c r="J748" i="2" a="1"/>
  <c r="J749" i="2" a="1"/>
  <c r="J750" i="2" a="1"/>
  <c r="J751" i="2" a="1"/>
  <c r="J752" i="2" a="1"/>
  <c r="J753" i="2" a="1"/>
  <c r="J754" i="2" a="1"/>
  <c r="J755" i="2" a="1"/>
  <c r="J756" i="2" a="1"/>
  <c r="J757" i="2" a="1"/>
  <c r="J758" i="2" a="1"/>
  <c r="J759" i="2" a="1"/>
  <c r="J760" i="2" a="1"/>
  <c r="J761" i="2" a="1"/>
  <c r="J762" i="2" a="1"/>
  <c r="J763" i="2" a="1"/>
  <c r="J764" i="2" a="1"/>
  <c r="J765" i="2" a="1"/>
  <c r="J766" i="2" a="1"/>
  <c r="J767" i="2" a="1"/>
  <c r="J768" i="2" a="1"/>
  <c r="J769" i="2" a="1"/>
  <c r="J770" i="2" a="1"/>
  <c r="J771" i="2" a="1"/>
  <c r="J772" i="2" a="1"/>
  <c r="J773" i="2" a="1"/>
  <c r="J774" i="2" a="1"/>
  <c r="J775" i="2" a="1"/>
  <c r="J776" i="2" a="1"/>
  <c r="J777" i="2" a="1"/>
  <c r="J778" i="2" a="1"/>
  <c r="J779" i="2" a="1"/>
  <c r="J780" i="2" a="1"/>
  <c r="J781" i="2" a="1"/>
  <c r="J782" i="2" a="1"/>
  <c r="J783" i="2" a="1"/>
  <c r="J784" i="2" a="1"/>
  <c r="J785" i="2" a="1"/>
  <c r="J786" i="2" a="1"/>
  <c r="J787" i="2" a="1"/>
  <c r="J788" i="2" a="1"/>
  <c r="J789" i="2" a="1"/>
  <c r="J790" i="2" a="1"/>
  <c r="J791" i="2" a="1"/>
  <c r="J792" i="2" a="1"/>
  <c r="J793" i="2" a="1"/>
  <c r="J794" i="2" a="1"/>
  <c r="J795" i="2" a="1"/>
  <c r="J796" i="2" a="1"/>
  <c r="J797" i="2" a="1"/>
  <c r="J798" i="2" a="1"/>
  <c r="J799" i="2" a="1"/>
  <c r="J800" i="2" a="1"/>
  <c r="J801" i="2" a="1"/>
  <c r="J802" i="2" a="1"/>
  <c r="J803" i="2" a="1"/>
  <c r="J804" i="2" a="1"/>
  <c r="J805" i="2" a="1"/>
  <c r="J806" i="2" a="1"/>
  <c r="J807" i="2" a="1"/>
  <c r="J808" i="2" a="1"/>
  <c r="J809" i="2" a="1"/>
  <c r="J810" i="2" a="1"/>
  <c r="J811" i="2" a="1"/>
  <c r="J812" i="2" a="1"/>
  <c r="J813" i="2" a="1"/>
  <c r="J814" i="2" a="1"/>
  <c r="J815" i="2" a="1"/>
  <c r="J816" i="2" a="1"/>
  <c r="J817" i="2" a="1"/>
  <c r="J818" i="2" a="1"/>
  <c r="J819" i="2" a="1"/>
  <c r="J820" i="2" a="1"/>
  <c r="J821" i="2" a="1"/>
  <c r="J822" i="2" a="1"/>
  <c r="J823" i="2" a="1"/>
  <c r="J824" i="2" a="1"/>
  <c r="J825" i="2" a="1"/>
  <c r="J826" i="2" a="1"/>
  <c r="J827" i="2" a="1"/>
  <c r="J828" i="2" a="1"/>
  <c r="J829" i="2" a="1"/>
  <c r="J830" i="2" a="1"/>
  <c r="J831" i="2" a="1"/>
  <c r="J832" i="2" a="1"/>
  <c r="J833" i="2" a="1"/>
  <c r="J834" i="2" a="1"/>
  <c r="J835" i="2" a="1"/>
  <c r="J836" i="2" a="1"/>
  <c r="J837" i="2" a="1"/>
  <c r="J838" i="2" a="1"/>
  <c r="J839" i="2" a="1"/>
  <c r="J840" i="2" a="1"/>
  <c r="J841" i="2" a="1"/>
  <c r="J842" i="2" a="1"/>
  <c r="J843" i="2" a="1"/>
  <c r="J844" i="2" a="1"/>
  <c r="J845" i="2" a="1"/>
  <c r="J846" i="2" a="1"/>
  <c r="J847" i="2" a="1"/>
  <c r="J848" i="2" a="1"/>
  <c r="J849" i="2" a="1"/>
  <c r="J850" i="2" a="1"/>
  <c r="J851" i="2" a="1"/>
  <c r="J852" i="2" a="1"/>
  <c r="J853" i="2" a="1"/>
  <c r="J854" i="2" a="1"/>
  <c r="J855" i="2" a="1"/>
  <c r="J856" i="2" a="1"/>
  <c r="J857" i="2" a="1"/>
  <c r="J858" i="2" a="1"/>
  <c r="J859" i="2" a="1"/>
  <c r="J860" i="2" a="1"/>
  <c r="J861" i="2" a="1"/>
  <c r="J862" i="2" a="1"/>
  <c r="J863" i="2" a="1"/>
  <c r="J864" i="2" a="1"/>
  <c r="J865" i="2" a="1"/>
  <c r="J866" i="2" a="1"/>
  <c r="J867" i="2" a="1"/>
  <c r="J868" i="2" a="1"/>
  <c r="J869" i="2" a="1"/>
  <c r="J870" i="2" a="1"/>
  <c r="J871" i="2" a="1"/>
  <c r="J872" i="2" a="1"/>
  <c r="J873" i="2" a="1"/>
  <c r="J874" i="2" a="1"/>
  <c r="J875" i="2" a="1"/>
  <c r="J876" i="2" a="1"/>
  <c r="J877" i="2" a="1"/>
  <c r="J878" i="2" a="1"/>
  <c r="J879" i="2" a="1"/>
  <c r="J880" i="2" a="1"/>
  <c r="J881" i="2" a="1"/>
  <c r="J882" i="2" a="1"/>
  <c r="J883" i="2" a="1"/>
  <c r="J884" i="2" a="1"/>
  <c r="J885" i="2" a="1"/>
  <c r="J886" i="2" a="1"/>
  <c r="J887" i="2" a="1"/>
  <c r="J888" i="2" a="1"/>
  <c r="J889" i="2" a="1"/>
  <c r="J890" i="2" a="1"/>
  <c r="J891" i="2" a="1"/>
  <c r="J892" i="2" a="1"/>
  <c r="J893" i="2" a="1"/>
  <c r="J894" i="2" a="1"/>
  <c r="J895" i="2" a="1"/>
  <c r="J896" i="2" a="1"/>
  <c r="J897" i="2" a="1"/>
  <c r="J898" i="2" a="1"/>
  <c r="J899" i="2" a="1"/>
  <c r="J900" i="2" a="1"/>
  <c r="J901" i="2" a="1"/>
  <c r="J902" i="2" a="1"/>
  <c r="J903" i="2" a="1"/>
  <c r="J904" i="2" a="1"/>
  <c r="J905" i="2" a="1"/>
  <c r="J906" i="2" a="1"/>
  <c r="J907" i="2" a="1"/>
  <c r="J908" i="2" a="1"/>
  <c r="J909" i="2" a="1"/>
  <c r="J910" i="2" a="1"/>
  <c r="J911" i="2" a="1"/>
  <c r="J912" i="2" a="1"/>
  <c r="J913" i="2" a="1"/>
  <c r="J914" i="2" a="1"/>
  <c r="J915" i="2" a="1"/>
  <c r="J916" i="2" a="1"/>
  <c r="J917" i="2" a="1"/>
  <c r="J918" i="2" a="1"/>
  <c r="J919" i="2" a="1"/>
  <c r="J920" i="2" a="1"/>
  <c r="J921" i="2" a="1"/>
  <c r="J922" i="2" a="1"/>
  <c r="J923" i="2" a="1"/>
  <c r="J924" i="2" a="1"/>
  <c r="J925" i="2" a="1"/>
  <c r="J926" i="2" a="1"/>
  <c r="J927" i="2" a="1"/>
  <c r="J928" i="2" a="1"/>
  <c r="J929" i="2" a="1"/>
  <c r="J930" i="2" a="1"/>
  <c r="J931" i="2" a="1"/>
  <c r="J932" i="2" a="1"/>
  <c r="J933" i="2" a="1"/>
  <c r="J934" i="2" a="1"/>
  <c r="J935" i="2" a="1"/>
  <c r="J936" i="2" a="1"/>
  <c r="J937" i="2" a="1"/>
  <c r="J938" i="2" a="1"/>
  <c r="J939" i="2" a="1"/>
  <c r="J940" i="2" a="1"/>
  <c r="J941" i="2" a="1"/>
  <c r="J942" i="2" a="1"/>
  <c r="J943" i="2" a="1"/>
  <c r="J944" i="2" a="1"/>
  <c r="J945" i="2" a="1"/>
  <c r="J946" i="2" a="1"/>
  <c r="J947" i="2" a="1"/>
  <c r="J948" i="2" a="1"/>
  <c r="J949" i="2" a="1"/>
  <c r="J950" i="2" a="1"/>
  <c r="J951" i="2" a="1"/>
  <c r="J952" i="2" a="1"/>
  <c r="J953" i="2" a="1"/>
  <c r="J954" i="2" a="1"/>
  <c r="J955" i="2" a="1"/>
  <c r="J956" i="2" a="1"/>
  <c r="J957" i="2" a="1"/>
  <c r="J958" i="2" a="1"/>
  <c r="J959" i="2" a="1"/>
  <c r="J960" i="2" a="1"/>
  <c r="J961" i="2" a="1"/>
  <c r="J962" i="2" a="1"/>
  <c r="J963" i="2" a="1"/>
  <c r="J964" i="2" a="1"/>
  <c r="J965" i="2" a="1"/>
  <c r="J966" i="2" a="1"/>
  <c r="J967" i="2" a="1"/>
  <c r="J968" i="2" a="1"/>
  <c r="J969" i="2" a="1"/>
  <c r="J970" i="2" a="1"/>
  <c r="J971" i="2" a="1"/>
  <c r="J972" i="2" a="1"/>
  <c r="J973" i="2" a="1"/>
  <c r="J974" i="2" a="1"/>
  <c r="J975" i="2" a="1"/>
  <c r="J976" i="2" a="1"/>
  <c r="J977" i="2" a="1"/>
  <c r="J978" i="2" a="1"/>
  <c r="J979" i="2" a="1"/>
  <c r="J980" i="2" a="1"/>
  <c r="J981" i="2" a="1"/>
  <c r="J982" i="2" a="1"/>
  <c r="J983" i="2" a="1"/>
  <c r="J984" i="2" a="1"/>
  <c r="J985" i="2" a="1"/>
  <c r="J986" i="2" a="1"/>
  <c r="J987" i="2" a="1"/>
  <c r="J988" i="2" a="1"/>
  <c r="J989" i="2" a="1"/>
  <c r="J990" i="2" a="1"/>
  <c r="J991" i="2" a="1"/>
  <c r="J992" i="2" a="1"/>
  <c r="J993" i="2" a="1"/>
  <c r="J994" i="2" a="1"/>
  <c r="J995" i="2" a="1"/>
  <c r="J996" i="2" a="1"/>
  <c r="J997" i="2" a="1"/>
  <c r="J998" i="2" a="1"/>
  <c r="J999" i="2" a="1"/>
  <c r="J1000" i="2" a="1"/>
  <c r="J1001" i="2" a="1"/>
  <c r="J1002" i="2" a="1"/>
  <c r="J1003" i="2" a="1"/>
  <c r="J1004" i="2" a="1"/>
  <c r="J1005" i="2" a="1"/>
  <c r="J1006" i="2" a="1"/>
  <c r="J1007" i="2" a="1"/>
  <c r="J1008" i="2" a="1"/>
  <c r="J1009" i="2" a="1"/>
  <c r="J1010" i="2" a="1"/>
  <c r="J1011" i="2" a="1"/>
  <c r="J1012" i="2" a="1"/>
  <c r="J1013" i="2" a="1"/>
  <c r="J1014" i="2" a="1"/>
  <c r="J1015" i="2" a="1"/>
  <c r="J1016" i="2" a="1"/>
  <c r="J1017" i="2" a="1"/>
  <c r="J1018" i="2" a="1"/>
  <c r="J1019" i="2" a="1"/>
  <c r="J1020" i="2" a="1"/>
  <c r="J1021" i="2" a="1"/>
  <c r="J1022" i="2" a="1"/>
  <c r="J1023" i="2" a="1"/>
  <c r="J1024" i="2" a="1"/>
  <c r="J1025" i="2" a="1"/>
  <c r="J1026" i="2" a="1"/>
  <c r="J1027" i="2" a="1"/>
  <c r="J1028" i="2" a="1"/>
  <c r="J1029" i="2" a="1"/>
  <c r="J1030" i="2" a="1"/>
  <c r="J1031" i="2" a="1"/>
  <c r="J1032" i="2" a="1"/>
  <c r="J1033" i="2" a="1"/>
  <c r="J1034" i="2" a="1"/>
  <c r="J1035" i="2" a="1"/>
  <c r="J1036" i="2" a="1"/>
  <c r="J1037" i="2" a="1"/>
  <c r="J1038" i="2" a="1"/>
  <c r="J1039" i="2" a="1"/>
  <c r="J1040" i="2" a="1"/>
  <c r="J1041" i="2" a="1"/>
  <c r="J1042" i="2" a="1"/>
  <c r="J1043" i="2" a="1"/>
  <c r="J1044" i="2" a="1"/>
  <c r="J1045" i="2" a="1"/>
  <c r="J1046" i="2" a="1"/>
  <c r="J1047" i="2" a="1"/>
  <c r="J1048" i="2" a="1"/>
  <c r="J1049" i="2" a="1"/>
  <c r="J1050" i="2" a="1"/>
  <c r="J1051" i="2" a="1"/>
  <c r="J1052" i="2" a="1"/>
  <c r="J1053" i="2" a="1"/>
  <c r="J1054" i="2" a="1"/>
  <c r="J1055" i="2" a="1"/>
  <c r="J1056" i="2" a="1"/>
  <c r="J1057" i="2" a="1"/>
  <c r="J1058" i="2" a="1"/>
  <c r="J1059" i="2" a="1"/>
  <c r="J1060" i="2" a="1"/>
  <c r="J1061" i="2" a="1"/>
  <c r="J1062" i="2" a="1"/>
  <c r="J1063" i="2" a="1"/>
  <c r="J1064" i="2" a="1"/>
  <c r="J1065" i="2" a="1"/>
  <c r="J1066" i="2" a="1"/>
  <c r="J1067" i="2" a="1"/>
  <c r="J1068" i="2" a="1"/>
  <c r="J1069" i="2" a="1"/>
  <c r="J1070" i="2" a="1"/>
  <c r="J1071" i="2" a="1"/>
  <c r="J1072" i="2" a="1"/>
  <c r="J1073" i="2" a="1"/>
  <c r="J1074" i="2" a="1"/>
  <c r="J1075" i="2" a="1"/>
  <c r="J1076" i="2" a="1"/>
  <c r="J1077" i="2" a="1"/>
  <c r="J1078" i="2" a="1"/>
  <c r="J1079" i="2" a="1"/>
  <c r="J1080" i="2" a="1"/>
  <c r="J1081" i="2" a="1"/>
  <c r="J1082" i="2" a="1"/>
  <c r="J1083" i="2" a="1"/>
  <c r="J1084" i="2" a="1"/>
  <c r="J1085" i="2" a="1"/>
  <c r="J1086" i="2" a="1"/>
  <c r="J1087" i="2" a="1"/>
  <c r="J1088" i="2" a="1"/>
  <c r="J1089" i="2" a="1"/>
  <c r="J1090" i="2" a="1"/>
  <c r="J1091" i="2" a="1"/>
  <c r="J1092" i="2" a="1"/>
  <c r="J1093" i="2" a="1"/>
  <c r="J1094" i="2" a="1"/>
  <c r="J1095" i="2" a="1"/>
  <c r="J1096" i="2" a="1"/>
  <c r="J1097" i="2" a="1"/>
  <c r="J1098" i="2" a="1"/>
  <c r="J1099" i="2" a="1"/>
  <c r="J1100" i="2" a="1"/>
  <c r="J1101" i="2" a="1"/>
  <c r="J1102" i="2" a="1"/>
  <c r="J1103" i="2" a="1"/>
  <c r="J1104" i="2" a="1"/>
  <c r="J1105" i="2" a="1"/>
  <c r="J1106" i="2" a="1"/>
  <c r="J1107" i="2" a="1"/>
  <c r="J1108" i="2" a="1"/>
  <c r="J1109" i="2" a="1"/>
  <c r="J1110" i="2" a="1"/>
  <c r="J1111" i="2" a="1"/>
  <c r="J1112" i="2" a="1"/>
  <c r="J1113" i="2" a="1"/>
  <c r="J1114" i="2" a="1"/>
  <c r="J1115" i="2" a="1"/>
  <c r="J1116" i="2" a="1"/>
  <c r="J1117" i="2" a="1"/>
  <c r="J1118" i="2" a="1"/>
  <c r="J1119" i="2" a="1"/>
  <c r="J1120" i="2" a="1"/>
  <c r="J1121" i="2" a="1"/>
  <c r="J1122" i="2" a="1"/>
  <c r="J1123" i="2" a="1"/>
  <c r="J1124" i="2" a="1"/>
  <c r="J1125" i="2" a="1"/>
  <c r="J1126" i="2" a="1"/>
  <c r="J1127" i="2" a="1"/>
  <c r="J1128" i="2" a="1"/>
  <c r="J1129" i="2" a="1"/>
  <c r="J1130" i="2" a="1"/>
  <c r="J1131" i="2" a="1"/>
  <c r="J1132" i="2" a="1"/>
  <c r="J1133" i="2" a="1"/>
  <c r="J1134" i="2" a="1"/>
  <c r="J1135" i="2" a="1"/>
  <c r="J1136" i="2" a="1"/>
  <c r="J1137" i="2" a="1"/>
  <c r="J1138" i="2" a="1"/>
  <c r="J1139" i="2" a="1"/>
  <c r="J1140" i="2" a="1"/>
  <c r="J1141" i="2" a="1"/>
  <c r="J1142" i="2" a="1"/>
  <c r="J1143" i="2" a="1"/>
  <c r="J1144" i="2" a="1"/>
  <c r="J1145" i="2" a="1"/>
  <c r="J1146" i="2" a="1"/>
  <c r="J1147" i="2" a="1"/>
  <c r="J1148" i="2" a="1"/>
  <c r="J1149" i="2" a="1"/>
  <c r="J1150" i="2" a="1"/>
  <c r="J1151" i="2" a="1"/>
  <c r="J1152" i="2" a="1"/>
  <c r="J1153" i="2" a="1"/>
  <c r="J1154" i="2" a="1"/>
  <c r="J1155" i="2" a="1"/>
  <c r="J1156" i="2" a="1"/>
  <c r="J1157" i="2" a="1"/>
  <c r="J1158" i="2" a="1"/>
  <c r="J1159" i="2" a="1"/>
  <c r="J1160" i="2" a="1"/>
  <c r="J1161" i="2" a="1"/>
  <c r="J1162" i="2" a="1"/>
  <c r="J1163" i="2" a="1"/>
  <c r="J1164" i="2" a="1"/>
  <c r="J1165" i="2" a="1"/>
  <c r="J1166" i="2" a="1"/>
  <c r="J1167" i="2" a="1"/>
  <c r="J1168" i="2" a="1"/>
  <c r="J1169" i="2" a="1"/>
  <c r="J1170" i="2" a="1"/>
  <c r="J1171" i="2" a="1"/>
  <c r="J1172" i="2" a="1"/>
  <c r="J1173" i="2" a="1"/>
  <c r="J1174" i="2" a="1"/>
  <c r="J1175" i="2" a="1"/>
  <c r="J1176" i="2" a="1"/>
  <c r="J1177" i="2" a="1"/>
  <c r="J1178" i="2" a="1"/>
  <c r="J1179" i="2" a="1"/>
  <c r="J1180" i="2" a="1"/>
  <c r="J1181" i="2" a="1"/>
  <c r="J1182" i="2" a="1"/>
  <c r="J1183" i="2" a="1"/>
  <c r="J1184" i="2" a="1"/>
  <c r="J1185" i="2" a="1"/>
  <c r="J1186" i="2" a="1"/>
  <c r="J1187" i="2" a="1"/>
  <c r="J1188" i="2" a="1"/>
  <c r="J1189" i="2" a="1"/>
  <c r="J1190" i="2" a="1"/>
  <c r="J1191" i="2" a="1"/>
  <c r="J1192" i="2" a="1"/>
  <c r="J1193" i="2" a="1"/>
  <c r="J1194" i="2" a="1"/>
  <c r="J1195" i="2" a="1"/>
  <c r="J1196" i="2" a="1"/>
  <c r="J1197" i="2" a="1"/>
  <c r="J1198" i="2" a="1"/>
  <c r="J1199" i="2" a="1"/>
  <c r="J1200" i="2" a="1"/>
  <c r="J1201" i="2" a="1"/>
  <c r="J1202" i="2" a="1"/>
  <c r="J1203" i="2" a="1"/>
  <c r="J1204" i="2" a="1"/>
  <c r="J1205" i="2" a="1"/>
  <c r="J1206" i="2" a="1"/>
  <c r="J1207" i="2" a="1"/>
  <c r="J1208" i="2" a="1"/>
  <c r="J1209" i="2" a="1"/>
  <c r="J1210" i="2" a="1"/>
  <c r="J1211" i="2" a="1"/>
  <c r="J1212" i="2" a="1"/>
  <c r="J1213" i="2" a="1"/>
  <c r="J1214" i="2" a="1"/>
  <c r="J1215" i="2" a="1"/>
  <c r="J1216" i="2" a="1"/>
  <c r="J1217" i="2" a="1"/>
  <c r="J1218" i="2" a="1"/>
  <c r="J1219" i="2" a="1"/>
  <c r="J1220" i="2" a="1"/>
  <c r="J1221" i="2" a="1"/>
  <c r="J1222" i="2" a="1"/>
  <c r="J1223" i="2" a="1"/>
  <c r="J1224" i="2" a="1"/>
  <c r="J1225" i="2" a="1"/>
  <c r="J1226" i="2" a="1"/>
  <c r="J1227" i="2" a="1"/>
  <c r="J1228" i="2" a="1"/>
  <c r="J1229" i="2" a="1"/>
  <c r="J1230" i="2" a="1"/>
  <c r="J1231" i="2" a="1"/>
  <c r="J1232" i="2" a="1"/>
  <c r="J1233" i="2" a="1"/>
  <c r="J1234" i="2" a="1"/>
  <c r="J1235" i="2" a="1"/>
  <c r="J1236" i="2" a="1"/>
  <c r="J1237" i="2" a="1"/>
  <c r="J1238" i="2" a="1"/>
  <c r="J1239" i="2" a="1"/>
  <c r="J1240" i="2" a="1"/>
  <c r="J1241" i="2" a="1"/>
  <c r="J1242" i="2" a="1"/>
  <c r="J1243" i="2" a="1"/>
  <c r="J1244" i="2" a="1"/>
  <c r="J1245" i="2" a="1"/>
  <c r="J1246" i="2" a="1"/>
  <c r="J1247" i="2" a="1"/>
  <c r="J1248" i="2" a="1"/>
  <c r="J1249" i="2" a="1"/>
  <c r="J1250" i="2" a="1"/>
  <c r="J1251" i="2" a="1"/>
  <c r="J1252" i="2" a="1"/>
  <c r="J1253" i="2" a="1"/>
  <c r="J1254" i="2" a="1"/>
  <c r="J1255" i="2" a="1"/>
  <c r="J1256" i="2" a="1"/>
  <c r="J1257" i="2" a="1"/>
  <c r="J1258" i="2" a="1"/>
  <c r="J1259" i="2" a="1"/>
  <c r="J1260" i="2" a="1"/>
  <c r="J1261" i="2" a="1"/>
  <c r="J1262" i="2" a="1"/>
  <c r="J1263" i="2" a="1"/>
  <c r="J1264" i="2" a="1"/>
  <c r="J1265" i="2" a="1"/>
  <c r="J1266" i="2" a="1"/>
  <c r="J1267" i="2" a="1"/>
  <c r="J1268" i="2" a="1"/>
  <c r="J1269" i="2" a="1"/>
  <c r="J1270" i="2" a="1"/>
  <c r="J1271" i="2" a="1"/>
  <c r="J1272" i="2" a="1"/>
  <c r="J1273" i="2" a="1"/>
  <c r="J1274" i="2" a="1"/>
  <c r="J1275" i="2" a="1"/>
  <c r="J1276" i="2" a="1"/>
  <c r="J1277" i="2" a="1"/>
  <c r="J1278" i="2" a="1"/>
  <c r="J1279" i="2" a="1"/>
  <c r="J1280" i="2" a="1"/>
  <c r="J1281" i="2" a="1"/>
  <c r="J1282" i="2" a="1"/>
  <c r="J1283" i="2" a="1"/>
  <c r="J1284" i="2" a="1"/>
  <c r="J1285" i="2" a="1"/>
  <c r="J1286" i="2" a="1"/>
  <c r="J1287" i="2" a="1"/>
  <c r="J1288" i="2" a="1"/>
  <c r="J1289" i="2" a="1"/>
  <c r="J1290" i="2" a="1"/>
  <c r="J1291" i="2" a="1"/>
  <c r="J1292" i="2" a="1"/>
  <c r="J1293" i="2" a="1"/>
  <c r="J1294" i="2" a="1"/>
  <c r="J1295" i="2" a="1"/>
  <c r="J1296" i="2" a="1"/>
  <c r="J1297" i="2" a="1"/>
  <c r="J1298" i="2" a="1"/>
  <c r="J1299" i="2" a="1"/>
  <c r="J1300" i="2" a="1"/>
  <c r="J1301" i="2" a="1"/>
  <c r="J1302" i="2" a="1"/>
  <c r="J1303" i="2" a="1"/>
  <c r="J1304" i="2" a="1"/>
  <c r="J1305" i="2" a="1"/>
  <c r="J1306" i="2" a="1"/>
  <c r="J1307" i="2" a="1"/>
  <c r="J1308" i="2" a="1"/>
  <c r="J1309" i="2" a="1"/>
  <c r="J1310" i="2" a="1"/>
  <c r="J1311" i="2" a="1"/>
  <c r="J1312" i="2" a="1"/>
  <c r="J1313" i="2" a="1"/>
  <c r="J1314" i="2" a="1"/>
  <c r="J1315" i="2" a="1"/>
  <c r="J1316" i="2" a="1"/>
  <c r="J1317" i="2" a="1"/>
  <c r="J1318" i="2" a="1"/>
  <c r="J1319" i="2" a="1"/>
  <c r="J1320" i="2" a="1"/>
  <c r="J1321" i="2" a="1"/>
  <c r="J1322" i="2" a="1"/>
  <c r="J1323" i="2" a="1"/>
  <c r="J1324" i="2" a="1"/>
  <c r="J1325" i="2" a="1"/>
  <c r="J1326" i="2" a="1"/>
  <c r="J1327" i="2" a="1"/>
  <c r="J1328" i="2" a="1"/>
  <c r="J1329" i="2" a="1"/>
  <c r="J1330" i="2" a="1"/>
  <c r="J1331" i="2" a="1"/>
  <c r="J1332" i="2" a="1"/>
  <c r="J1333" i="2" a="1"/>
  <c r="J1334" i="2" a="1"/>
  <c r="J1335" i="2" a="1"/>
  <c r="J1336" i="2" a="1"/>
  <c r="J1337" i="2" a="1"/>
  <c r="J1338" i="2" a="1"/>
  <c r="J1339" i="2" a="1"/>
  <c r="J1340" i="2" a="1"/>
  <c r="J1341" i="2" a="1"/>
  <c r="J1342" i="2" a="1"/>
  <c r="J1343" i="2" a="1"/>
  <c r="J1344" i="2" a="1"/>
  <c r="J1345" i="2" a="1"/>
  <c r="J1346" i="2" a="1"/>
  <c r="J1347" i="2" a="1"/>
  <c r="J1348" i="2" a="1"/>
  <c r="J1349" i="2" a="1"/>
  <c r="J1350" i="2" a="1"/>
  <c r="J1351" i="2" a="1"/>
  <c r="J1352" i="2" a="1"/>
  <c r="J1353" i="2" a="1"/>
  <c r="J1354" i="2" a="1"/>
  <c r="J1355" i="2" a="1"/>
  <c r="J1356" i="2" a="1"/>
  <c r="J1357" i="2" a="1"/>
  <c r="J1358" i="2" a="1"/>
  <c r="J1359" i="2" a="1"/>
  <c r="J1360" i="2" a="1"/>
  <c r="J1361" i="2" a="1"/>
  <c r="J1362" i="2" a="1"/>
  <c r="J1363" i="2" a="1"/>
  <c r="J1364" i="2" a="1"/>
  <c r="J1365" i="2" a="1"/>
  <c r="J1366" i="2" a="1"/>
  <c r="J1367" i="2" a="1"/>
  <c r="J1368" i="2" a="1"/>
  <c r="J1369" i="2" a="1"/>
  <c r="J1370" i="2" a="1"/>
  <c r="J1371" i="2" a="1"/>
  <c r="J1372" i="2" a="1"/>
  <c r="J1373" i="2" a="1"/>
  <c r="J1374" i="2" a="1"/>
  <c r="J1375" i="2" a="1"/>
  <c r="J1376" i="2" a="1"/>
  <c r="J1377" i="2" a="1"/>
  <c r="J1378" i="2" a="1"/>
  <c r="J1379" i="2" a="1"/>
  <c r="J1380" i="2" a="1"/>
  <c r="J1381" i="2" a="1"/>
  <c r="J1382" i="2" a="1"/>
  <c r="J1383" i="2" a="1"/>
  <c r="J1384" i="2" a="1"/>
  <c r="J1385" i="2" a="1"/>
  <c r="J1386" i="2" a="1"/>
  <c r="J1387" i="2" a="1"/>
  <c r="J1388" i="2" a="1"/>
  <c r="J1389" i="2" a="1"/>
  <c r="J1390" i="2" a="1"/>
  <c r="J1391" i="2" a="1"/>
  <c r="J1392" i="2" a="1"/>
  <c r="J1393" i="2" a="1"/>
  <c r="J1394" i="2" a="1"/>
  <c r="J1395" i="2" a="1"/>
  <c r="J1396" i="2" a="1"/>
  <c r="J1397" i="2" a="1"/>
  <c r="J1398" i="2" a="1"/>
  <c r="J1399" i="2" a="1"/>
  <c r="J1400" i="2" a="1"/>
  <c r="J1401" i="2" a="1"/>
  <c r="J1402" i="2" a="1"/>
  <c r="J1403" i="2" a="1"/>
  <c r="J1404" i="2" a="1"/>
  <c r="J1405" i="2" a="1"/>
  <c r="J1406" i="2" a="1"/>
  <c r="J1407" i="2" a="1"/>
  <c r="J1408" i="2" a="1"/>
  <c r="J1409" i="2" a="1"/>
  <c r="J1410" i="2" a="1"/>
  <c r="J1411" i="2" a="1"/>
  <c r="J1412" i="2" a="1"/>
  <c r="J1413" i="2" a="1"/>
  <c r="J1414" i="2" a="1"/>
  <c r="J1415" i="2" a="1"/>
  <c r="J1416" i="2" a="1"/>
  <c r="J1417" i="2" a="1"/>
  <c r="J1418" i="2" a="1"/>
  <c r="J1419" i="2" a="1"/>
  <c r="J1420" i="2" a="1"/>
  <c r="J1421" i="2" a="1"/>
  <c r="J1422" i="2" a="1"/>
  <c r="J1423" i="2" a="1"/>
  <c r="J1424" i="2" a="1"/>
  <c r="J1425" i="2" a="1"/>
  <c r="J1426" i="2" a="1"/>
  <c r="J1427" i="2" a="1"/>
  <c r="J1428" i="2" a="1"/>
  <c r="J1429" i="2" a="1"/>
  <c r="J1430" i="2" a="1"/>
  <c r="J1431" i="2" a="1"/>
  <c r="J1432" i="2" a="1"/>
  <c r="J1433" i="2" a="1"/>
  <c r="J1434" i="2" a="1"/>
  <c r="J1435" i="2" a="1"/>
  <c r="J1436" i="2" a="1"/>
  <c r="J1437" i="2" a="1"/>
  <c r="J1438" i="2" a="1"/>
  <c r="J1439" i="2" a="1"/>
  <c r="J1440" i="2" a="1"/>
  <c r="J1441" i="2" a="1"/>
  <c r="J1442" i="2" a="1"/>
  <c r="J1443" i="2" a="1"/>
  <c r="J1444" i="2" a="1"/>
  <c r="J1445" i="2" a="1"/>
  <c r="J1446" i="2" a="1"/>
  <c r="J1447" i="2" a="1"/>
  <c r="J1448" i="2" a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<sst xmlns="http://schemas.openxmlformats.org/spreadsheetml/2006/main" count="2920" uniqueCount="22">
  <si>
    <t>Conditions</t>
  </si>
  <si>
    <t>GHCND:USW00014739</t>
  </si>
  <si>
    <t>BOSTON LOGAN AIRPORT</t>
  </si>
  <si>
    <t>Freeze</t>
  </si>
  <si>
    <t>Climate</t>
  </si>
  <si>
    <t>Missing Data?</t>
  </si>
  <si>
    <t>Station_ID</t>
  </si>
  <si>
    <t>Station_Name</t>
  </si>
  <si>
    <t>Latitude</t>
  </si>
  <si>
    <t>Longitude</t>
  </si>
  <si>
    <t>Date</t>
  </si>
  <si>
    <t>Month</t>
  </si>
  <si>
    <t>Temperature_F</t>
  </si>
  <si>
    <t>Precipitation_mm</t>
  </si>
  <si>
    <t>Precipitation Type</t>
  </si>
  <si>
    <t>January</t>
  </si>
  <si>
    <t>Wet</t>
  </si>
  <si>
    <t>No</t>
  </si>
  <si>
    <t>Cold</t>
  </si>
  <si>
    <t>No Rain</t>
  </si>
  <si>
    <t>Dry</t>
  </si>
  <si>
    <t>Weather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</si>
</sst>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;@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left" vertical="center"/>
    </xf>
    <xf numFmtId="0" fontId="1" fillId="0" borderId="0" xfId="0" applyFont="1" applyAlignment="1">
      <alignment horizontal="left"/>
    </xf>
    <xf numFmtId="169" fontId="1" fillId="0" borderId="0" xfId="0" applyNumberFormat="1" applyFont="1" applyAlignment="1">
      <alignment horizontal="left"/>
    </xf>
    <xf numFmtId="169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169" fontId="3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25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[$-409]d\-mmm\-yy;@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9" formatCode="[$-409]d\-mmm\-yy;@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663C71-C1B4-42DB-A6D8-06FD1FCDAE8B}" name="Table1" displayName="Table1" ref="A3:M1448" totalsRowShown="0" headerRowDxfId="15" dataDxfId="16">
  <autoFilter ref="A3:M1448" xr:uid="{00000000-0009-0000-0000-000000000000}">
    <filterColumn colId="9">
      <filters>
        <filter val="Cold"/>
      </filters>
    </filterColumn>
  </autoFilter>
  <tableColumns count="13">
    <tableColumn id="1" xr3:uid="{46999563-07AB-4C17-B95D-7A36A7A71144}" name="Station_ID" dataDxfId="24"/>
    <tableColumn id="2" xr3:uid="{24B1CD72-599E-4D80-9B91-14AB55DB2D01}" name="Station_Name" dataDxfId="23"/>
    <tableColumn id="3" xr3:uid="{5E6CC03C-FAA7-40CE-89F8-2B6F3A82F3A4}" name="Latitude" dataDxfId="22"/>
    <tableColumn id="4" xr3:uid="{67CED28B-4C92-4FAC-87D5-9FD644139BB5}" name="Longitude" dataDxfId="21"/>
    <tableColumn id="5" xr3:uid="{0594B631-D8E7-4B4A-942D-690A5CD1C528}" name="Date" dataDxfId="20"/>
    <tableColumn id="6" xr3:uid="{1AD0A8FC-54ED-49C9-A700-A38597670AF2}" name="Month" dataDxfId="19">
      <calculatedColumnFormula>TEXT(E4,"mmmm")</calculatedColumnFormula>
    </tableColumn>
    <tableColumn id="7" xr3:uid="{3E6AC9B8-AE08-4802-B8E9-BB52A9CA8F98}" name="Temperature_F" dataDxfId="18"/>
    <tableColumn id="8" xr3:uid="{2844CD33-FE27-46DB-B295-A9BA81124E0A}" name="Precipitation_mm" dataDxfId="17"/>
    <tableColumn id="9" xr3:uid="{0FBCF19B-1701-491A-B9CC-558E3FA5EAC2}" name="Freeze" dataDxfId="14">
      <calculatedColumnFormula>IF(Table1[[#This Row],[Temperature_F]]&lt;32,"Yes","No")</calculatedColumnFormula>
    </tableColumn>
    <tableColumn id="10" xr3:uid="{732388D9-9A13-4AE3-A83D-3DDC62488D42}" name="Climate" dataDxfId="13">
      <calculatedColumnFormula array="1">_xlfn.IFS(Table1[[#This Row],[Temperature_F]]&lt;=32,"Freezing",
          Table1[[#This Row],[Temperature_F]]&lt;=50,"Cold",
          Table1[[#This Row],[Temperature_F]]&lt;=68,"Cool",
          Table1[[#This Row],[Temperature_F]]&lt;=86,"Warm",
          TRUE,"Hot")</calculatedColumnFormula>
    </tableColumn>
    <tableColumn id="11" xr3:uid="{19567855-01A0-42D9-B801-8AC541C81725}" name="Precipitation Type" dataDxfId="12">
      <calculatedColumnFormula array="1">_xlfn.IFS(
H4=0,"No Rain",
H4&lt;10,"Light",
H4&lt;50,"Moderate",
TRUE,"Heavy")</calculatedColumnFormula>
    </tableColumn>
    <tableColumn id="12" xr3:uid="{DAD9C68C-6918-46A8-9C79-B0EA1DA0CE7A}" name="Conditions" dataDxfId="11">
      <calculatedColumnFormula>IF(Table1[[#This Row],[Precipitation_mm]]&lt;&gt;0,"Wet","Dry")</calculatedColumnFormula>
    </tableColumn>
    <tableColumn id="13" xr3:uid="{1A2ED0AF-FD40-41AA-A064-95188530F45D}" name="Missing Data?" dataDxfId="10">
      <calculatedColumnFormula>OR(ISBLANK(Table1[[#This Row],[Temperature_F]]),ISERROR(Table1[[#This Row],[Temperature_F]]))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F6676D-E03B-4759-977E-C092B4EE6229}" name="Table2" displayName="Table2" ref="A1:I3" totalsRowShown="0" headerRowDxfId="3" dataDxfId="4">
  <autoFilter ref="A1:I3" xr:uid="{F0F6676D-E03B-4759-977E-C092B4EE6229}"/>
  <tableColumns count="9">
    <tableColumn id="5" xr3:uid="{4F3CE4D4-A6FC-4D4D-9247-9EACA46E387A}" name="Date" dataDxfId="9"/>
    <tableColumn id="6" xr3:uid="{42995004-7926-4EDB-918A-CBF3DA35801F}" name="Month" dataDxfId="8">
      <calculatedColumnFormula>TEXT(A2,"mmmm")</calculatedColumnFormula>
    </tableColumn>
    <tableColumn id="7" xr3:uid="{91B1BD12-07A3-4D3E-921B-E651FAB7E188}" name="Temperature_F" dataDxfId="7"/>
    <tableColumn id="8" xr3:uid="{F3ED96DC-32FC-450A-89D2-1E58435C2FEE}" name="Precipitation_mm" dataDxfId="6"/>
    <tableColumn id="9" xr3:uid="{456D12E4-015B-4F89-A589-4E9E42D36E68}" name="Freeze" dataDxfId="2">
      <calculatedColumnFormula>IF(Table2[[#This Row],[Temperature_F]]&lt;32,"Yes","No")</calculatedColumnFormula>
    </tableColumn>
    <tableColumn id="10" xr3:uid="{AC017DB1-257E-4550-8B5E-C8810752F202}" name="Climate" dataDxfId="1">
      <calculatedColumnFormula array="1">_xlfn.IFS(Table2[[#This Row],[Temperature_F]]&lt;=32,"Freezing",
          Table2[[#This Row],[Temperature_F]]&lt;=50,"Cold",
          Table2[[#This Row],[Temperature_F]]&lt;=68,"Cool",
          Table2[[#This Row],[Temperature_F]]&lt;=86,"Warm",
          TRUE,"Hot")</calculatedColumnFormula>
    </tableColumn>
    <tableColumn id="11" xr3:uid="{8CBAB308-082C-4727-B3D2-C1FFBBFACE9A}" name="Precipitation Type" dataDxfId="0">
      <calculatedColumnFormula array="1">_xlfn.IFS(
Table2[[#This Row],[Precipitation_mm]]=0,"No Rain",
Table2[[#This Row],[Precipitation_mm]]&lt;10,"Light",
Table2[[#This Row],[Precipitation_mm]]&lt;50,"Moderate",
TRUE,"Heavy"
)</calculatedColumnFormula>
    </tableColumn>
    <tableColumn id="12" xr3:uid="{5C26595D-ED2F-4674-838D-A3960F2D8165}" name="Conditions" dataDxfId="5">
      <calculatedColumnFormula>IF(Table1[[#This Row],[Precipitation_mm]]&lt;&gt;0,"Wet","Dry")</calculatedColumnFormula>
    </tableColumn>
    <tableColumn id="13" xr3:uid="{0BE69ECF-CD1B-480D-8855-C9C599583E35}" name="Missing Data?">
      <calculatedColumnFormula>OR(ISBLANK(Table1[[#This Row],[Temperature_F]]),ISERROR(Table1[[#This Row],[Temperature_F]]))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>
    <tabColor theme="0" tint="-0.14999847407452621"/>
  </sheetPr>
  <dimension ref="A1:P1448"/>
  <sheetViews>
    <sheetView tabSelected="1" topLeftCell="E1" zoomScaleNormal="100" workbookViewId="0">
      <selection activeCell="E1" sqref="E1:M42"/>
    </sheetView>
  </sheetViews>
  <sheetFormatPr defaultRowHeight="15" x14ac:dyDescent="0.25"/>
  <cols>
    <col min="1" max="1" width="24.140625" style="1" hidden="1" customWidth="1"/>
    <col min="2" max="2" width="26.5703125" style="1" hidden="1" customWidth="1"/>
    <col min="3" max="3" width="12" style="1" hidden="1" customWidth="1"/>
    <col min="4" max="4" width="13" style="1" hidden="1" customWidth="1"/>
    <col min="5" max="5" width="12.42578125" style="5" customWidth="1"/>
    <col min="6" max="6" width="11.7109375" style="1" customWidth="1"/>
    <col min="7" max="7" width="18.28515625" style="1" bestFit="1" customWidth="1"/>
    <col min="8" max="8" width="21.140625" style="1" bestFit="1" customWidth="1"/>
    <col min="9" max="9" width="14.140625" style="1" customWidth="1"/>
    <col min="10" max="10" width="14.7109375" style="1" customWidth="1"/>
    <col min="11" max="11" width="21.5703125" style="1" bestFit="1" customWidth="1"/>
    <col min="12" max="12" width="14.7109375" style="1" customWidth="1"/>
    <col min="13" max="13" width="17.28515625" customWidth="1"/>
    <col min="15" max="15" width="0" hidden="1" customWidth="1"/>
  </cols>
  <sheetData>
    <row r="1" spans="1:16" x14ac:dyDescent="0.25">
      <c r="E1" s="7" t="s">
        <v>21</v>
      </c>
      <c r="F1" s="7"/>
      <c r="G1" s="7"/>
      <c r="H1" s="7"/>
      <c r="I1" s="7"/>
      <c r="J1" s="7"/>
      <c r="K1" s="7"/>
      <c r="L1" s="7"/>
      <c r="M1" s="7"/>
    </row>
    <row r="2" spans="1:16" x14ac:dyDescent="0.25">
      <c r="E2" s="7"/>
      <c r="F2" s="7"/>
      <c r="G2" s="7"/>
      <c r="H2" s="7"/>
      <c r="I2" s="7"/>
      <c r="J2" s="7"/>
      <c r="K2" s="7"/>
      <c r="L2" s="7"/>
      <c r="M2" s="7"/>
    </row>
    <row r="3" spans="1:16" s="2" customFormat="1" ht="15.75" x14ac:dyDescent="0.25">
      <c r="A3" s="2" t="s">
        <v>6</v>
      </c>
      <c r="B3" s="3" t="s">
        <v>7</v>
      </c>
      <c r="C3" s="3" t="s">
        <v>8</v>
      </c>
      <c r="D3" s="3" t="s">
        <v>9</v>
      </c>
      <c r="E3" s="4" t="s">
        <v>10</v>
      </c>
      <c r="F3" s="3" t="s">
        <v>11</v>
      </c>
      <c r="G3" s="3" t="s">
        <v>12</v>
      </c>
      <c r="H3" s="3" t="s">
        <v>13</v>
      </c>
      <c r="I3" s="2" t="s">
        <v>3</v>
      </c>
      <c r="J3" s="2" t="s">
        <v>4</v>
      </c>
      <c r="K3" s="2" t="s">
        <v>14</v>
      </c>
      <c r="L3" s="2" t="s">
        <v>0</v>
      </c>
      <c r="M3" s="2" t="s">
        <v>5</v>
      </c>
    </row>
    <row r="4" spans="1:16" x14ac:dyDescent="0.25">
      <c r="A4" s="1" t="s">
        <v>1</v>
      </c>
      <c r="B4" s="1" t="s">
        <v>2</v>
      </c>
      <c r="C4" s="1">
        <v>42.360599999999998</v>
      </c>
      <c r="D4" s="1">
        <v>-71.010599999999997</v>
      </c>
      <c r="E4" s="5">
        <v>40179</v>
      </c>
      <c r="F4" s="1" t="str">
        <f>TEXT(E4,"mmmm")</f>
        <v>January</v>
      </c>
      <c r="G4" s="1">
        <v>37</v>
      </c>
      <c r="H4" s="1">
        <v>0</v>
      </c>
      <c r="I4" s="1" t="str">
        <f>IF(Table1[[#This Row],[Temperature_F]]&lt;32,"Yes","No")</f>
        <v>No</v>
      </c>
      <c r="J4" s="1" t="str" cm="1">
        <f t="array" ref="J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" s="1" t="str" cm="1">
        <f t="array" ref="K4">_xlfn.IFS(
H4=0,"No Rain",
H4&lt;10,"Light",
H4&lt;50,"Moderate",
TRUE,"Heavy")</f>
        <v>No Rain</v>
      </c>
      <c r="L4" s="1" t="str">
        <f>IF(Table1[[#This Row],[Precipitation_mm]]&lt;&gt;0,"Wet","Dry")</f>
        <v>Dry</v>
      </c>
      <c r="M4" t="b">
        <f>OR(ISBLANK(Table1[[#This Row],[Temperature_F]]),ISERROR(Table1[[#This Row],[Temperature_F]]))</f>
        <v>0</v>
      </c>
    </row>
    <row r="5" spans="1:16" hidden="1" x14ac:dyDescent="0.25">
      <c r="A5" s="1" t="s">
        <v>1</v>
      </c>
      <c r="B5" s="1" t="s">
        <v>2</v>
      </c>
      <c r="C5" s="1">
        <v>42.360599999999998</v>
      </c>
      <c r="D5" s="1">
        <v>-71.010599999999997</v>
      </c>
      <c r="E5" s="5">
        <v>40180</v>
      </c>
      <c r="F5" s="1" t="str">
        <f t="shared" ref="F5:F65" si="0">TEXT(E5,"mmmm")</f>
        <v>January</v>
      </c>
      <c r="G5" s="1">
        <v>12</v>
      </c>
      <c r="H5" s="1">
        <v>109</v>
      </c>
      <c r="I5" s="1" t="str">
        <f>IF(Table1[[#This Row],[Temperature_F]]&lt;32,"Yes","No")</f>
        <v>Yes</v>
      </c>
      <c r="J5" s="1" t="str" cm="1">
        <f t="array" ref="J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5" s="1" t="str" cm="1">
        <f t="array" ref="K5">_xlfn.IFS(
H5=0,"No Rain",
H5&lt;10,"Light",
H5&lt;50,"Moderate",
TRUE,"Heavy")</f>
        <v>Heavy</v>
      </c>
      <c r="L5" s="1" t="str">
        <f>IF(Table1[[#This Row],[Precipitation_mm]]&lt;&gt;0,"Wet","Dry")</f>
        <v>Wet</v>
      </c>
      <c r="M5" t="b">
        <f>OR(ISBLANK(Table1[[#This Row],[Temperature_F]]),ISERROR(Table1[[#This Row],[Temperature_F]]))</f>
        <v>0</v>
      </c>
    </row>
    <row r="6" spans="1:16" hidden="1" x14ac:dyDescent="0.25">
      <c r="A6" s="1" t="s">
        <v>1</v>
      </c>
      <c r="B6" s="1" t="s">
        <v>2</v>
      </c>
      <c r="C6" s="1">
        <v>42.360599999999998</v>
      </c>
      <c r="D6" s="1">
        <v>-71.010599999999997</v>
      </c>
      <c r="E6" s="5">
        <v>40181</v>
      </c>
      <c r="F6" s="1" t="str">
        <f t="shared" si="0"/>
        <v>January</v>
      </c>
      <c r="G6" s="1">
        <v>23</v>
      </c>
      <c r="H6" s="1">
        <v>51</v>
      </c>
      <c r="I6" s="1" t="str">
        <f>IF(Table1[[#This Row],[Temperature_F]]&lt;32,"Yes","No")</f>
        <v>Yes</v>
      </c>
      <c r="J6" s="1" t="str" cm="1">
        <f t="array" ref="J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" s="1" t="str" cm="1">
        <f t="array" ref="K6">_xlfn.IFS(
H6=0,"No Rain",
H6&lt;10,"Light",
H6&lt;50,"Moderate",
TRUE,"Heavy")</f>
        <v>Heavy</v>
      </c>
      <c r="L6" s="1" t="str">
        <f>IF(Table1[[#This Row],[Precipitation_mm]]&lt;&gt;0,"Wet","Dry")</f>
        <v>Wet</v>
      </c>
      <c r="M6" t="b">
        <f>OR(ISBLANK(Table1[[#This Row],[Temperature_F]]),ISERROR(Table1[[#This Row],[Temperature_F]]))</f>
        <v>0</v>
      </c>
    </row>
    <row r="7" spans="1:16" x14ac:dyDescent="0.25">
      <c r="A7" s="1" t="s">
        <v>1</v>
      </c>
      <c r="B7" s="1" t="s">
        <v>2</v>
      </c>
      <c r="C7" s="1">
        <v>42.360599999999998</v>
      </c>
      <c r="D7" s="1">
        <v>-71.010599999999997</v>
      </c>
      <c r="E7" s="5">
        <v>40182</v>
      </c>
      <c r="F7" s="1" t="str">
        <f t="shared" si="0"/>
        <v>January</v>
      </c>
      <c r="G7" s="1">
        <v>34</v>
      </c>
      <c r="H7" s="1">
        <v>0</v>
      </c>
      <c r="I7" s="1" t="str">
        <f>IF(Table1[[#This Row],[Temperature_F]]&lt;32,"Yes","No")</f>
        <v>No</v>
      </c>
      <c r="J7" s="1" t="str" cm="1">
        <f t="array" ref="J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" s="1" t="str" cm="1">
        <f t="array" ref="K7">_xlfn.IFS(
H7=0,"No Rain",
H7&lt;10,"Light",
H7&lt;50,"Moderate",
TRUE,"Heavy")</f>
        <v>No Rain</v>
      </c>
      <c r="L7" s="1" t="str">
        <f>IF(Table1[[#This Row],[Precipitation_mm]]&lt;&gt;0,"Wet","Dry")</f>
        <v>Dry</v>
      </c>
      <c r="M7" t="b">
        <f>OR(ISBLANK(Table1[[#This Row],[Temperature_F]]),ISERROR(Table1[[#This Row],[Temperature_F]]))</f>
        <v>0</v>
      </c>
    </row>
    <row r="8" spans="1:16" hidden="1" x14ac:dyDescent="0.25">
      <c r="A8" s="1" t="s">
        <v>1</v>
      </c>
      <c r="B8" s="1" t="s">
        <v>2</v>
      </c>
      <c r="C8" s="1">
        <v>42.360599999999998</v>
      </c>
      <c r="D8" s="1">
        <v>-71.010599999999997</v>
      </c>
      <c r="E8" s="5">
        <v>40184</v>
      </c>
      <c r="F8" s="1" t="str">
        <f t="shared" si="0"/>
        <v>January</v>
      </c>
      <c r="G8" s="1">
        <v>20</v>
      </c>
      <c r="H8" s="1">
        <v>0</v>
      </c>
      <c r="I8" s="1" t="str">
        <f>IF(Table1[[#This Row],[Temperature_F]]&lt;32,"Yes","No")</f>
        <v>Yes</v>
      </c>
      <c r="J8" s="1" t="str" cm="1">
        <f t="array" ref="J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" s="1" t="str" cm="1">
        <f t="array" ref="K8">_xlfn.IFS(
H8=0,"No Rain",
H8&lt;10,"Light",
H8&lt;50,"Moderate",
TRUE,"Heavy")</f>
        <v>No Rain</v>
      </c>
      <c r="L8" s="1" t="str">
        <f>IF(Table1[[#This Row],[Precipitation_mm]]&lt;&gt;0,"Wet","Dry")</f>
        <v>Dry</v>
      </c>
      <c r="M8" t="b">
        <f>OR(ISBLANK(Table1[[#This Row],[Temperature_F]]),ISERROR(Table1[[#This Row],[Temperature_F]]))</f>
        <v>0</v>
      </c>
    </row>
    <row r="9" spans="1:16" hidden="1" x14ac:dyDescent="0.25">
      <c r="A9" s="1" t="s">
        <v>1</v>
      </c>
      <c r="B9" s="1" t="s">
        <v>2</v>
      </c>
      <c r="C9" s="1">
        <v>42.360599999999998</v>
      </c>
      <c r="D9" s="1">
        <v>-71.010599999999997</v>
      </c>
      <c r="E9" s="5">
        <v>40185</v>
      </c>
      <c r="F9" s="1" t="str">
        <f t="shared" si="0"/>
        <v>January</v>
      </c>
      <c r="G9" s="1">
        <v>10</v>
      </c>
      <c r="H9" s="1">
        <v>0</v>
      </c>
      <c r="I9" s="1" t="str">
        <f>IF(Table1[[#This Row],[Temperature_F]]&lt;32,"Yes","No")</f>
        <v>Yes</v>
      </c>
      <c r="J9" s="1" t="str" cm="1">
        <f t="array" ref="J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9" s="1" t="str" cm="1">
        <f t="array" ref="K9">_xlfn.IFS(
H9=0,"No Rain",
H9&lt;10,"Light",
H9&lt;50,"Moderate",
TRUE,"Heavy")</f>
        <v>No Rain</v>
      </c>
      <c r="L9" s="1" t="str">
        <f>IF(Table1[[#This Row],[Precipitation_mm]]&lt;&gt;0,"Wet","Dry")</f>
        <v>Dry</v>
      </c>
      <c r="M9" t="b">
        <f>OR(ISBLANK(Table1[[#This Row],[Temperature_F]]),ISERROR(Table1[[#This Row],[Temperature_F]]))</f>
        <v>0</v>
      </c>
    </row>
    <row r="10" spans="1:16" hidden="1" x14ac:dyDescent="0.25">
      <c r="A10" s="1" t="s">
        <v>1</v>
      </c>
      <c r="B10" s="1" t="s">
        <v>2</v>
      </c>
      <c r="C10" s="1">
        <v>42.360599999999998</v>
      </c>
      <c r="D10" s="1">
        <v>-71.010599999999997</v>
      </c>
      <c r="E10" s="5">
        <v>40186</v>
      </c>
      <c r="F10" s="1" t="str">
        <f t="shared" si="0"/>
        <v>January</v>
      </c>
      <c r="G10" s="1">
        <v>31</v>
      </c>
      <c r="H10" s="1">
        <v>3</v>
      </c>
      <c r="I10" s="1" t="str">
        <f>IF(Table1[[#This Row],[Temperature_F]]&lt;32,"Yes","No")</f>
        <v>Yes</v>
      </c>
      <c r="J10" s="1" t="str" cm="1">
        <f t="array" ref="J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" s="1" t="str" cm="1">
        <f t="array" ref="K10">_xlfn.IFS(
H10=0,"No Rain",
H10&lt;10,"Light",
H10&lt;50,"Moderate",
TRUE,"Heavy")</f>
        <v>Light</v>
      </c>
      <c r="L10" s="1" t="str">
        <f>IF(Table1[[#This Row],[Precipitation_mm]]&lt;&gt;0,"Wet","Dry")</f>
        <v>Wet</v>
      </c>
      <c r="M10" t="b">
        <f>OR(ISBLANK(Table1[[#This Row],[Temperature_F]]),ISERROR(Table1[[#This Row],[Temperature_F]]))</f>
        <v>0</v>
      </c>
    </row>
    <row r="11" spans="1:16" hidden="1" x14ac:dyDescent="0.25">
      <c r="A11" s="1" t="s">
        <v>1</v>
      </c>
      <c r="B11" s="1" t="s">
        <v>2</v>
      </c>
      <c r="C11" s="1">
        <v>42.360599999999998</v>
      </c>
      <c r="D11" s="1">
        <v>-71.010599999999997</v>
      </c>
      <c r="E11" s="5">
        <v>40187</v>
      </c>
      <c r="F11" s="1" t="str">
        <f t="shared" si="0"/>
        <v>January</v>
      </c>
      <c r="G11" s="1">
        <v>17</v>
      </c>
      <c r="H11" s="1">
        <v>0</v>
      </c>
      <c r="I11" s="1" t="str">
        <f>IF(Table1[[#This Row],[Temperature_F]]&lt;32,"Yes","No")</f>
        <v>Yes</v>
      </c>
      <c r="J11" s="1" t="str" cm="1">
        <f t="array" ref="J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" s="1" t="str" cm="1">
        <f t="array" ref="K11">_xlfn.IFS(
H11=0,"No Rain",
H11&lt;10,"Light",
H11&lt;50,"Moderate",
TRUE,"Heavy")</f>
        <v>No Rain</v>
      </c>
      <c r="L11" s="1" t="str">
        <f>IF(Table1[[#This Row],[Precipitation_mm]]&lt;&gt;0,"Wet","Dry")</f>
        <v>Dry</v>
      </c>
      <c r="M11" t="b">
        <f>OR(ISBLANK(Table1[[#This Row],[Temperature_F]]),ISERROR(Table1[[#This Row],[Temperature_F]]))</f>
        <v>0</v>
      </c>
    </row>
    <row r="12" spans="1:16" hidden="1" x14ac:dyDescent="0.25">
      <c r="A12" s="1" t="s">
        <v>1</v>
      </c>
      <c r="B12" s="1" t="s">
        <v>2</v>
      </c>
      <c r="C12" s="1">
        <v>42.360599999999998</v>
      </c>
      <c r="D12" s="1">
        <v>-71.010599999999997</v>
      </c>
      <c r="E12" s="5">
        <v>40188</v>
      </c>
      <c r="F12" s="1" t="str">
        <f t="shared" si="0"/>
        <v>January</v>
      </c>
      <c r="G12" s="1">
        <v>12</v>
      </c>
      <c r="H12" s="1">
        <v>0</v>
      </c>
      <c r="I12" s="1" t="str">
        <f>IF(Table1[[#This Row],[Temperature_F]]&lt;32,"Yes","No")</f>
        <v>Yes</v>
      </c>
      <c r="J12" s="1" t="str" cm="1">
        <f t="array" ref="J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2" s="1" t="str" cm="1">
        <f t="array" ref="K12">_xlfn.IFS(
H12=0,"No Rain",
H12&lt;10,"Light",
H12&lt;50,"Moderate",
TRUE,"Heavy")</f>
        <v>No Rain</v>
      </c>
      <c r="L12" s="1" t="str">
        <f>IF(Table1[[#This Row],[Precipitation_mm]]&lt;&gt;0,"Wet","Dry")</f>
        <v>Dry</v>
      </c>
      <c r="M12" t="b">
        <f>OR(ISBLANK(Table1[[#This Row],[Temperature_F]]),ISERROR(Table1[[#This Row],[Temperature_F]]))</f>
        <v>0</v>
      </c>
    </row>
    <row r="13" spans="1:16" hidden="1" x14ac:dyDescent="0.25">
      <c r="A13" s="1" t="s">
        <v>1</v>
      </c>
      <c r="B13" s="1" t="s">
        <v>2</v>
      </c>
      <c r="C13" s="1">
        <v>42.360599999999998</v>
      </c>
      <c r="D13" s="1">
        <v>-71.010599999999997</v>
      </c>
      <c r="E13" s="5">
        <v>40190</v>
      </c>
      <c r="F13" s="1" t="str">
        <f t="shared" si="0"/>
        <v>January</v>
      </c>
      <c r="G13" s="1">
        <v>28</v>
      </c>
      <c r="H13" s="1">
        <v>0</v>
      </c>
      <c r="I13" s="1" t="str">
        <f>IF(Table1[[#This Row],[Temperature_F]]&lt;32,"Yes","No")</f>
        <v>Yes</v>
      </c>
      <c r="J13" s="1" t="str" cm="1">
        <f t="array" ref="J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3" s="1" t="str" cm="1">
        <f t="array" ref="K13">_xlfn.IFS(
H13=0,"No Rain",
H13&lt;10,"Light",
H13&lt;50,"Moderate",
TRUE,"Heavy")</f>
        <v>No Rain</v>
      </c>
      <c r="L13" s="1" t="str">
        <f>IF(Table1[[#This Row],[Precipitation_mm]]&lt;&gt;0,"Wet","Dry")</f>
        <v>Dry</v>
      </c>
      <c r="M13" t="b">
        <f>OR(ISBLANK(Table1[[#This Row],[Temperature_F]]),ISERROR(Table1[[#This Row],[Temperature_F]]))</f>
        <v>0</v>
      </c>
    </row>
    <row r="14" spans="1:16" x14ac:dyDescent="0.25">
      <c r="A14" s="1" t="s">
        <v>1</v>
      </c>
      <c r="B14" s="1" t="s">
        <v>2</v>
      </c>
      <c r="C14" s="1">
        <v>42.360599999999998</v>
      </c>
      <c r="D14" s="1">
        <v>-71.010599999999997</v>
      </c>
      <c r="E14" s="5">
        <v>40191</v>
      </c>
      <c r="F14" s="1" t="str">
        <f t="shared" si="0"/>
        <v>January</v>
      </c>
      <c r="G14" s="1">
        <v>43</v>
      </c>
      <c r="H14" s="1">
        <v>0</v>
      </c>
      <c r="I14" s="1" t="str">
        <f>IF(Table1[[#This Row],[Temperature_F]]&lt;32,"Yes","No")</f>
        <v>No</v>
      </c>
      <c r="J14" s="1" t="str" cm="1">
        <f t="array" ref="J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" s="1" t="str" cm="1">
        <f t="array" ref="K14">_xlfn.IFS(
H14=0,"No Rain",
H14&lt;10,"Light",
H14&lt;50,"Moderate",
TRUE,"Heavy")</f>
        <v>No Rain</v>
      </c>
      <c r="L14" s="1" t="str">
        <f>IF(Table1[[#This Row],[Precipitation_mm]]&lt;&gt;0,"Wet","Dry")</f>
        <v>Dry</v>
      </c>
      <c r="M14" t="b">
        <f>OR(ISBLANK(Table1[[#This Row],[Temperature_F]]),ISERROR(Table1[[#This Row],[Temperature_F]]))</f>
        <v>0</v>
      </c>
    </row>
    <row r="15" spans="1:16" x14ac:dyDescent="0.25">
      <c r="A15" s="1" t="s">
        <v>1</v>
      </c>
      <c r="B15" s="1" t="s">
        <v>2</v>
      </c>
      <c r="C15" s="1">
        <v>42.360599999999998</v>
      </c>
      <c r="D15" s="1">
        <v>-71.010599999999997</v>
      </c>
      <c r="E15" s="5">
        <v>40193</v>
      </c>
      <c r="F15" s="1" t="str">
        <f t="shared" si="0"/>
        <v>January</v>
      </c>
      <c r="G15" s="1">
        <v>43</v>
      </c>
      <c r="H15" s="1">
        <v>0</v>
      </c>
      <c r="I15" s="1" t="str">
        <f>IF(Table1[[#This Row],[Temperature_F]]&lt;32,"Yes","No")</f>
        <v>No</v>
      </c>
      <c r="J15" s="1" t="str" cm="1">
        <f t="array" ref="J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5" s="1" t="str" cm="1">
        <f t="array" ref="K15">_xlfn.IFS(
H15=0,"No Rain",
H15&lt;10,"Light",
H15&lt;50,"Moderate",
TRUE,"Heavy")</f>
        <v>No Rain</v>
      </c>
      <c r="L15" s="1" t="str">
        <f>IF(Table1[[#This Row],[Precipitation_mm]]&lt;&gt;0,"Wet","Dry")</f>
        <v>Dry</v>
      </c>
      <c r="M15" t="b">
        <f>OR(ISBLANK(Table1[[#This Row],[Temperature_F]]),ISERROR(Table1[[#This Row],[Temperature_F]]))</f>
        <v>0</v>
      </c>
    </row>
    <row r="16" spans="1:16" ht="15.75" x14ac:dyDescent="0.25">
      <c r="A16" s="1" t="s">
        <v>1</v>
      </c>
      <c r="B16" s="1" t="s">
        <v>2</v>
      </c>
      <c r="C16" s="1">
        <v>42.360599999999998</v>
      </c>
      <c r="D16" s="1">
        <v>-71.010599999999997</v>
      </c>
      <c r="E16" s="5">
        <v>40194</v>
      </c>
      <c r="F16" s="1" t="str">
        <f t="shared" si="0"/>
        <v>January</v>
      </c>
      <c r="G16" s="1">
        <v>38</v>
      </c>
      <c r="H16" s="1">
        <v>0</v>
      </c>
      <c r="I16" s="1" t="str">
        <f>IF(Table1[[#This Row],[Temperature_F]]&lt;32,"Yes","No")</f>
        <v>No</v>
      </c>
      <c r="J16" s="1" t="str" cm="1">
        <f t="array" ref="J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6" s="1" t="str" cm="1">
        <f t="array" ref="K16">_xlfn.IFS(
H16=0,"No Rain",
H16&lt;10,"Light",
H16&lt;50,"Moderate",
TRUE,"Heavy")</f>
        <v>No Rain</v>
      </c>
      <c r="L16" s="1" t="str">
        <f>IF(Table1[[#This Row],[Precipitation_mm]]&lt;&gt;0,"Wet","Dry")</f>
        <v>Dry</v>
      </c>
      <c r="M16" t="b">
        <f>OR(ISBLANK(Table1[[#This Row],[Temperature_F]]),ISERROR(Table1[[#This Row],[Temperature_F]]))</f>
        <v>0</v>
      </c>
      <c r="P16" s="6"/>
    </row>
    <row r="17" spans="1:13" hidden="1" x14ac:dyDescent="0.25">
      <c r="A17" s="1" t="s">
        <v>1</v>
      </c>
      <c r="B17" s="1" t="s">
        <v>2</v>
      </c>
      <c r="C17" s="1">
        <v>42.360599999999998</v>
      </c>
      <c r="D17" s="1">
        <v>-71.010599999999997</v>
      </c>
      <c r="E17" s="5">
        <v>40195</v>
      </c>
      <c r="F17" s="1" t="str">
        <f t="shared" si="0"/>
        <v>January</v>
      </c>
      <c r="G17" s="1">
        <v>11</v>
      </c>
      <c r="H17" s="1">
        <v>109</v>
      </c>
      <c r="I17" s="1" t="str">
        <f>IF(Table1[[#This Row],[Temperature_F]]&lt;32,"Yes","No")</f>
        <v>Yes</v>
      </c>
      <c r="J17" s="1" t="str" cm="1">
        <f t="array" ref="J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7" s="1" t="str" cm="1">
        <f t="array" ref="K17">_xlfn.IFS(
H17=0,"No Rain",
H17&lt;10,"Light",
H17&lt;50,"Moderate",
TRUE,"Heavy")</f>
        <v>Heavy</v>
      </c>
      <c r="L17" s="1" t="str">
        <f>IF(Table1[[#This Row],[Precipitation_mm]]&lt;&gt;0,"Wet","Dry")</f>
        <v>Wet</v>
      </c>
      <c r="M17" t="b">
        <f>OR(ISBLANK(Table1[[#This Row],[Temperature_F]]),ISERROR(Table1[[#This Row],[Temperature_F]]))</f>
        <v>0</v>
      </c>
    </row>
    <row r="18" spans="1:13" hidden="1" x14ac:dyDescent="0.25">
      <c r="A18" s="1" t="s">
        <v>1</v>
      </c>
      <c r="B18" s="1" t="s">
        <v>2</v>
      </c>
      <c r="C18" s="1">
        <v>42.360599999999998</v>
      </c>
      <c r="D18" s="1">
        <v>-71.010599999999997</v>
      </c>
      <c r="E18" s="5">
        <v>40196</v>
      </c>
      <c r="F18" s="1" t="str">
        <f t="shared" si="0"/>
        <v>January</v>
      </c>
      <c r="G18" s="1">
        <v>12</v>
      </c>
      <c r="H18" s="1">
        <v>180</v>
      </c>
      <c r="I18" s="1" t="str">
        <f>IF(Table1[[#This Row],[Temperature_F]]&lt;32,"Yes","No")</f>
        <v>Yes</v>
      </c>
      <c r="J18" s="1" t="str" cm="1">
        <f t="array" ref="J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8" s="1" t="str" cm="1">
        <f t="array" ref="K18">_xlfn.IFS(
H18=0,"No Rain",
H18&lt;10,"Light",
H18&lt;50,"Moderate",
TRUE,"Heavy")</f>
        <v>Heavy</v>
      </c>
      <c r="L18" s="1" t="str">
        <f>IF(Table1[[#This Row],[Precipitation_mm]]&lt;&gt;0,"Wet","Dry")</f>
        <v>Wet</v>
      </c>
      <c r="M18" t="b">
        <f>OR(ISBLANK(Table1[[#This Row],[Temperature_F]]),ISERROR(Table1[[#This Row],[Temperature_F]]))</f>
        <v>0</v>
      </c>
    </row>
    <row r="19" spans="1:13" x14ac:dyDescent="0.25">
      <c r="A19" s="1" t="s">
        <v>1</v>
      </c>
      <c r="B19" s="1" t="s">
        <v>2</v>
      </c>
      <c r="C19" s="1">
        <v>42.360599999999998</v>
      </c>
      <c r="D19" s="1">
        <v>-71.010599999999997</v>
      </c>
      <c r="E19" s="5">
        <v>40197</v>
      </c>
      <c r="F19" s="1" t="str">
        <f t="shared" si="0"/>
        <v>January</v>
      </c>
      <c r="G19" s="1">
        <v>37</v>
      </c>
      <c r="H19" s="1">
        <v>76</v>
      </c>
      <c r="I19" s="1" t="str">
        <f>IF(Table1[[#This Row],[Temperature_F]]&lt;32,"Yes","No")</f>
        <v>No</v>
      </c>
      <c r="J19" s="1" t="str" cm="1">
        <f t="array" ref="J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9" s="1" t="str" cm="1">
        <f t="array" ref="K19">_xlfn.IFS(
H19=0,"No Rain",
H19&lt;10,"Light",
H19&lt;50,"Moderate",
TRUE,"Heavy")</f>
        <v>Heavy</v>
      </c>
      <c r="L19" s="1" t="str">
        <f>IF(Table1[[#This Row],[Precipitation_mm]]&lt;&gt;0,"Wet","Dry")</f>
        <v>Wet</v>
      </c>
      <c r="M19" t="b">
        <f>OR(ISBLANK(Table1[[#This Row],[Temperature_F]]),ISERROR(Table1[[#This Row],[Temperature_F]]))</f>
        <v>0</v>
      </c>
    </row>
    <row r="20" spans="1:13" hidden="1" x14ac:dyDescent="0.25">
      <c r="A20" s="1" t="s">
        <v>1</v>
      </c>
      <c r="B20" s="1" t="s">
        <v>2</v>
      </c>
      <c r="C20" s="1">
        <v>42.360599999999998</v>
      </c>
      <c r="D20" s="1">
        <v>-71.010599999999997</v>
      </c>
      <c r="E20" s="5">
        <v>40198</v>
      </c>
      <c r="F20" s="1" t="str">
        <f t="shared" si="0"/>
        <v>January</v>
      </c>
      <c r="G20" s="1">
        <v>27</v>
      </c>
      <c r="H20" s="1">
        <v>0</v>
      </c>
      <c r="I20" s="1" t="str">
        <f>IF(Table1[[#This Row],[Temperature_F]]&lt;32,"Yes","No")</f>
        <v>Yes</v>
      </c>
      <c r="J20" s="1" t="str" cm="1">
        <f t="array" ref="J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20" s="1" t="str" cm="1">
        <f t="array" ref="K20">_xlfn.IFS(
H20=0,"No Rain",
H20&lt;10,"Light",
H20&lt;50,"Moderate",
TRUE,"Heavy")</f>
        <v>No Rain</v>
      </c>
      <c r="L20" s="1" t="str">
        <f>IF(Table1[[#This Row],[Precipitation_mm]]&lt;&gt;0,"Wet","Dry")</f>
        <v>Dry</v>
      </c>
      <c r="M20" t="b">
        <f>OR(ISBLANK(Table1[[#This Row],[Temperature_F]]),ISERROR(Table1[[#This Row],[Temperature_F]]))</f>
        <v>0</v>
      </c>
    </row>
    <row r="21" spans="1:13" x14ac:dyDescent="0.25">
      <c r="A21" s="1" t="s">
        <v>1</v>
      </c>
      <c r="B21" s="1" t="s">
        <v>2</v>
      </c>
      <c r="C21" s="1">
        <v>42.360599999999998</v>
      </c>
      <c r="D21" s="1">
        <v>-71.010599999999997</v>
      </c>
      <c r="E21" s="5">
        <v>40199</v>
      </c>
      <c r="F21" s="1" t="str">
        <f t="shared" si="0"/>
        <v>January</v>
      </c>
      <c r="G21" s="1">
        <v>41</v>
      </c>
      <c r="H21" s="1">
        <v>0</v>
      </c>
      <c r="I21" s="1" t="str">
        <f>IF(Table1[[#This Row],[Temperature_F]]&lt;32,"Yes","No")</f>
        <v>No</v>
      </c>
      <c r="J21" s="1" t="str" cm="1">
        <f t="array" ref="J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1" s="1" t="str" cm="1">
        <f t="array" ref="K21">_xlfn.IFS(
H21=0,"No Rain",
H21&lt;10,"Light",
H21&lt;50,"Moderate",
TRUE,"Heavy")</f>
        <v>No Rain</v>
      </c>
      <c r="L21" s="1" t="str">
        <f>IF(Table1[[#This Row],[Precipitation_mm]]&lt;&gt;0,"Wet","Dry")</f>
        <v>Dry</v>
      </c>
      <c r="M21" t="b">
        <f>OR(ISBLANK(Table1[[#This Row],[Temperature_F]]),ISERROR(Table1[[#This Row],[Temperature_F]]))</f>
        <v>0</v>
      </c>
    </row>
    <row r="22" spans="1:13" hidden="1" x14ac:dyDescent="0.25">
      <c r="A22" s="1" t="s">
        <v>1</v>
      </c>
      <c r="B22" s="1" t="s">
        <v>2</v>
      </c>
      <c r="C22" s="1">
        <v>42.360599999999998</v>
      </c>
      <c r="D22" s="1">
        <v>-71.010599999999997</v>
      </c>
      <c r="E22" s="5">
        <v>40200</v>
      </c>
      <c r="F22" s="1" t="str">
        <f t="shared" si="0"/>
        <v>January</v>
      </c>
      <c r="G22" s="1">
        <v>19</v>
      </c>
      <c r="H22" s="1">
        <v>0</v>
      </c>
      <c r="I22" s="1" t="str">
        <f>IF(Table1[[#This Row],[Temperature_F]]&lt;32,"Yes","No")</f>
        <v>Yes</v>
      </c>
      <c r="J22" s="1" t="str" cm="1">
        <f t="array" ref="J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22" s="1" t="str" cm="1">
        <f t="array" ref="K22">_xlfn.IFS(
H22=0,"No Rain",
H22&lt;10,"Light",
H22&lt;50,"Moderate",
TRUE,"Heavy")</f>
        <v>No Rain</v>
      </c>
      <c r="L22" s="1" t="str">
        <f>IF(Table1[[#This Row],[Precipitation_mm]]&lt;&gt;0,"Wet","Dry")</f>
        <v>Dry</v>
      </c>
      <c r="M22" t="b">
        <f>OR(ISBLANK(Table1[[#This Row],[Temperature_F]]),ISERROR(Table1[[#This Row],[Temperature_F]]))</f>
        <v>0</v>
      </c>
    </row>
    <row r="23" spans="1:13" x14ac:dyDescent="0.25">
      <c r="A23" s="1" t="s">
        <v>1</v>
      </c>
      <c r="B23" s="1" t="s">
        <v>2</v>
      </c>
      <c r="C23" s="1">
        <v>42.360599999999998</v>
      </c>
      <c r="D23" s="1">
        <v>-71.010599999999997</v>
      </c>
      <c r="E23" s="5">
        <v>40201</v>
      </c>
      <c r="F23" s="1" t="str">
        <f t="shared" si="0"/>
        <v>January</v>
      </c>
      <c r="G23" s="1">
        <v>39</v>
      </c>
      <c r="H23" s="1">
        <v>0</v>
      </c>
      <c r="I23" s="1" t="str">
        <f>IF(Table1[[#This Row],[Temperature_F]]&lt;32,"Yes","No")</f>
        <v>No</v>
      </c>
      <c r="J23" s="1" t="str" cm="1">
        <f t="array" ref="J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3" s="1" t="str" cm="1">
        <f t="array" ref="K23">_xlfn.IFS(
H23=0,"No Rain",
H23&lt;10,"Light",
H23&lt;50,"Moderate",
TRUE,"Heavy")</f>
        <v>No Rain</v>
      </c>
      <c r="L23" s="1" t="str">
        <f>IF(Table1[[#This Row],[Precipitation_mm]]&lt;&gt;0,"Wet","Dry")</f>
        <v>Dry</v>
      </c>
      <c r="M23" t="b">
        <f>OR(ISBLANK(Table1[[#This Row],[Temperature_F]]),ISERROR(Table1[[#This Row],[Temperature_F]]))</f>
        <v>0</v>
      </c>
    </row>
    <row r="24" spans="1:13" hidden="1" x14ac:dyDescent="0.25">
      <c r="A24" s="1" t="s">
        <v>1</v>
      </c>
      <c r="B24" s="1" t="s">
        <v>2</v>
      </c>
      <c r="C24" s="1">
        <v>42.360599999999998</v>
      </c>
      <c r="D24" s="1">
        <v>-71.010599999999997</v>
      </c>
      <c r="E24" s="5">
        <v>40202</v>
      </c>
      <c r="F24" s="1" t="str">
        <f t="shared" si="0"/>
        <v>January</v>
      </c>
      <c r="G24" s="1">
        <v>25</v>
      </c>
      <c r="H24" s="1">
        <v>0</v>
      </c>
      <c r="I24" s="1" t="str">
        <f>IF(Table1[[#This Row],[Temperature_F]]&lt;32,"Yes","No")</f>
        <v>Yes</v>
      </c>
      <c r="J24" s="1" t="str" cm="1">
        <f t="array" ref="J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24" s="1" t="str" cm="1">
        <f t="array" ref="K24">_xlfn.IFS(
H24=0,"No Rain",
H24&lt;10,"Light",
H24&lt;50,"Moderate",
TRUE,"Heavy")</f>
        <v>No Rain</v>
      </c>
      <c r="L24" s="1" t="str">
        <f>IF(Table1[[#This Row],[Precipitation_mm]]&lt;&gt;0,"Wet","Dry")</f>
        <v>Dry</v>
      </c>
      <c r="M24" t="b">
        <f>OR(ISBLANK(Table1[[#This Row],[Temperature_F]]),ISERROR(Table1[[#This Row],[Temperature_F]]))</f>
        <v>0</v>
      </c>
    </row>
    <row r="25" spans="1:13" x14ac:dyDescent="0.25">
      <c r="A25" s="1" t="s">
        <v>1</v>
      </c>
      <c r="B25" s="1" t="s">
        <v>2</v>
      </c>
      <c r="C25" s="1">
        <v>42.360599999999998</v>
      </c>
      <c r="D25" s="1">
        <v>-71.010599999999997</v>
      </c>
      <c r="E25" s="5">
        <v>40203</v>
      </c>
      <c r="F25" s="1" t="str">
        <f t="shared" si="0"/>
        <v>January</v>
      </c>
      <c r="G25" s="1">
        <v>40</v>
      </c>
      <c r="H25" s="1">
        <v>206</v>
      </c>
      <c r="I25" s="1" t="str">
        <f>IF(Table1[[#This Row],[Temperature_F]]&lt;32,"Yes","No")</f>
        <v>No</v>
      </c>
      <c r="J25" s="1" t="str" cm="1">
        <f t="array" ref="J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5" s="1" t="str" cm="1">
        <f t="array" ref="K25">_xlfn.IFS(
H25=0,"No Rain",
H25&lt;10,"Light",
H25&lt;50,"Moderate",
TRUE,"Heavy")</f>
        <v>Heavy</v>
      </c>
      <c r="L25" s="1" t="str">
        <f>IF(Table1[[#This Row],[Precipitation_mm]]&lt;&gt;0,"Wet","Dry")</f>
        <v>Wet</v>
      </c>
      <c r="M25" t="b">
        <f>OR(ISBLANK(Table1[[#This Row],[Temperature_F]]),ISERROR(Table1[[#This Row],[Temperature_F]]))</f>
        <v>0</v>
      </c>
    </row>
    <row r="26" spans="1:13" x14ac:dyDescent="0.25">
      <c r="A26" s="1" t="s">
        <v>1</v>
      </c>
      <c r="B26" s="1" t="s">
        <v>2</v>
      </c>
      <c r="C26" s="1">
        <v>42.360599999999998</v>
      </c>
      <c r="D26" s="1">
        <v>-71.010599999999997</v>
      </c>
      <c r="E26" s="5">
        <v>40204</v>
      </c>
      <c r="F26" s="1" t="str">
        <f t="shared" si="0"/>
        <v>January</v>
      </c>
      <c r="G26" s="1">
        <v>37</v>
      </c>
      <c r="H26" s="1">
        <v>0</v>
      </c>
      <c r="I26" s="1" t="str">
        <f>IF(Table1[[#This Row],[Temperature_F]]&lt;32,"Yes","No")</f>
        <v>No</v>
      </c>
      <c r="J26" s="1" t="str" cm="1">
        <f t="array" ref="J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6" s="1" t="str" cm="1">
        <f t="array" ref="K26">_xlfn.IFS(
H26=0,"No Rain",
H26&lt;10,"Light",
H26&lt;50,"Moderate",
TRUE,"Heavy")</f>
        <v>No Rain</v>
      </c>
      <c r="L26" s="1" t="str">
        <f>IF(Table1[[#This Row],[Precipitation_mm]]&lt;&gt;0,"Wet","Dry")</f>
        <v>Dry</v>
      </c>
      <c r="M26" t="b">
        <f>OR(ISBLANK(Table1[[#This Row],[Temperature_F]]),ISERROR(Table1[[#This Row],[Temperature_F]]))</f>
        <v>0</v>
      </c>
    </row>
    <row r="27" spans="1:13" hidden="1" x14ac:dyDescent="0.25">
      <c r="A27" s="1" t="s">
        <v>1</v>
      </c>
      <c r="B27" s="1" t="s">
        <v>2</v>
      </c>
      <c r="C27" s="1">
        <v>42.360599999999998</v>
      </c>
      <c r="D27" s="1">
        <v>-71.010599999999997</v>
      </c>
      <c r="E27" s="5">
        <v>40205</v>
      </c>
      <c r="F27" s="1" t="str">
        <f t="shared" si="0"/>
        <v>January</v>
      </c>
      <c r="G27" s="1">
        <v>18</v>
      </c>
      <c r="H27" s="1">
        <v>0</v>
      </c>
      <c r="I27" s="1" t="str">
        <f>IF(Table1[[#This Row],[Temperature_F]]&lt;32,"Yes","No")</f>
        <v>Yes</v>
      </c>
      <c r="J27" s="1" t="str" cm="1">
        <f t="array" ref="J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27" s="1" t="str" cm="1">
        <f t="array" ref="K27">_xlfn.IFS(
H27=0,"No Rain",
H27&lt;10,"Light",
H27&lt;50,"Moderate",
TRUE,"Heavy")</f>
        <v>No Rain</v>
      </c>
      <c r="L27" s="1" t="str">
        <f>IF(Table1[[#This Row],[Precipitation_mm]]&lt;&gt;0,"Wet","Dry")</f>
        <v>Dry</v>
      </c>
      <c r="M27" t="b">
        <f>OR(ISBLANK(Table1[[#This Row],[Temperature_F]]),ISERROR(Table1[[#This Row],[Temperature_F]]))</f>
        <v>0</v>
      </c>
    </row>
    <row r="28" spans="1:13" x14ac:dyDescent="0.25">
      <c r="A28" s="1" t="s">
        <v>1</v>
      </c>
      <c r="B28" s="1" t="s">
        <v>2</v>
      </c>
      <c r="C28" s="1">
        <v>42.360599999999998</v>
      </c>
      <c r="D28" s="1">
        <v>-71.010599999999997</v>
      </c>
      <c r="E28" s="5">
        <v>40206</v>
      </c>
      <c r="F28" s="1" t="str">
        <f t="shared" si="0"/>
        <v>January</v>
      </c>
      <c r="G28" s="1">
        <v>35</v>
      </c>
      <c r="H28" s="1">
        <v>5</v>
      </c>
      <c r="I28" s="1" t="str">
        <f>IF(Table1[[#This Row],[Temperature_F]]&lt;32,"Yes","No")</f>
        <v>No</v>
      </c>
      <c r="J28" s="1" t="str" cm="1">
        <f t="array" ref="J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8" s="1" t="str" cm="1">
        <f t="array" ref="K28">_xlfn.IFS(
H28=0,"No Rain",
H28&lt;10,"Light",
H28&lt;50,"Moderate",
TRUE,"Heavy")</f>
        <v>Light</v>
      </c>
      <c r="L28" s="1" t="str">
        <f>IF(Table1[[#This Row],[Precipitation_mm]]&lt;&gt;0,"Wet","Dry")</f>
        <v>Wet</v>
      </c>
      <c r="M28" t="b">
        <f>OR(ISBLANK(Table1[[#This Row],[Temperature_F]]),ISERROR(Table1[[#This Row],[Temperature_F]]))</f>
        <v>0</v>
      </c>
    </row>
    <row r="29" spans="1:13" hidden="1" x14ac:dyDescent="0.25">
      <c r="A29" s="1" t="s">
        <v>1</v>
      </c>
      <c r="B29" s="1" t="s">
        <v>2</v>
      </c>
      <c r="C29" s="1">
        <v>42.360599999999998</v>
      </c>
      <c r="D29" s="1">
        <v>-71.010599999999997</v>
      </c>
      <c r="E29" s="5">
        <v>40207</v>
      </c>
      <c r="F29" s="1" t="str">
        <f t="shared" si="0"/>
        <v>January</v>
      </c>
      <c r="G29" s="1">
        <v>30</v>
      </c>
      <c r="H29" s="1">
        <v>0</v>
      </c>
      <c r="I29" s="1" t="str">
        <f>IF(Table1[[#This Row],[Temperature_F]]&lt;32,"Yes","No")</f>
        <v>Yes</v>
      </c>
      <c r="J29" s="1" t="str" cm="1">
        <f t="array" ref="J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29" s="1" t="str" cm="1">
        <f t="array" ref="K29">_xlfn.IFS(
H29=0,"No Rain",
H29&lt;10,"Light",
H29&lt;50,"Moderate",
TRUE,"Heavy")</f>
        <v>No Rain</v>
      </c>
      <c r="L29" s="1" t="str">
        <f>IF(Table1[[#This Row],[Precipitation_mm]]&lt;&gt;0,"Wet","Dry")</f>
        <v>Dry</v>
      </c>
      <c r="M29" t="b">
        <f>OR(ISBLANK(Table1[[#This Row],[Temperature_F]]),ISERROR(Table1[[#This Row],[Temperature_F]]))</f>
        <v>0</v>
      </c>
    </row>
    <row r="30" spans="1:13" x14ac:dyDescent="0.25">
      <c r="A30" s="1" t="s">
        <v>1</v>
      </c>
      <c r="B30" s="1" t="s">
        <v>2</v>
      </c>
      <c r="C30" s="1">
        <v>42.360599999999998</v>
      </c>
      <c r="D30" s="1">
        <v>-71.010599999999997</v>
      </c>
      <c r="E30" s="5">
        <v>40208</v>
      </c>
      <c r="F30" s="1" t="str">
        <f t="shared" si="0"/>
        <v>January</v>
      </c>
      <c r="G30" s="1">
        <v>41</v>
      </c>
      <c r="H30" s="1">
        <v>0</v>
      </c>
      <c r="I30" s="1" t="str">
        <f>IF(Table1[[#This Row],[Temperature_F]]&lt;32,"Yes","No")</f>
        <v>No</v>
      </c>
      <c r="J30" s="1" t="str" cm="1">
        <f t="array" ref="J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0" s="1" t="str" cm="1">
        <f t="array" ref="K30">_xlfn.IFS(
H30=0,"No Rain",
H30&lt;10,"Light",
H30&lt;50,"Moderate",
TRUE,"Heavy")</f>
        <v>No Rain</v>
      </c>
      <c r="L30" s="1" t="str">
        <f>IF(Table1[[#This Row],[Precipitation_mm]]&lt;&gt;0,"Wet","Dry")</f>
        <v>Dry</v>
      </c>
      <c r="M30" t="b">
        <f>OR(ISBLANK(Table1[[#This Row],[Temperature_F]]),ISERROR(Table1[[#This Row],[Temperature_F]]))</f>
        <v>0</v>
      </c>
    </row>
    <row r="31" spans="1:13" x14ac:dyDescent="0.25">
      <c r="A31" s="1" t="s">
        <v>1</v>
      </c>
      <c r="B31" s="1" t="s">
        <v>2</v>
      </c>
      <c r="C31" s="1">
        <v>42.360599999999998</v>
      </c>
      <c r="D31" s="1">
        <v>-71.010599999999997</v>
      </c>
      <c r="E31" s="5">
        <v>40209</v>
      </c>
      <c r="F31" s="1" t="str">
        <f t="shared" si="0"/>
        <v>January</v>
      </c>
      <c r="G31" s="1">
        <v>38</v>
      </c>
      <c r="H31" s="1">
        <v>0</v>
      </c>
      <c r="I31" s="1" t="str">
        <f>IF(Table1[[#This Row],[Temperature_F]]&lt;32,"Yes","No")</f>
        <v>No</v>
      </c>
      <c r="J31" s="1" t="str" cm="1">
        <f t="array" ref="J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1" s="1" t="str" cm="1">
        <f t="array" ref="K31">_xlfn.IFS(
H31=0,"No Rain",
H31&lt;10,"Light",
H31&lt;50,"Moderate",
TRUE,"Heavy")</f>
        <v>No Rain</v>
      </c>
      <c r="L31" s="1" t="str">
        <f>IF(Table1[[#This Row],[Precipitation_mm]]&lt;&gt;0,"Wet","Dry")</f>
        <v>Dry</v>
      </c>
      <c r="M31" t="b">
        <f>OR(ISBLANK(Table1[[#This Row],[Temperature_F]]),ISERROR(Table1[[#This Row],[Temperature_F]]))</f>
        <v>0</v>
      </c>
    </row>
    <row r="32" spans="1:13" hidden="1" x14ac:dyDescent="0.25">
      <c r="A32" s="1" t="s">
        <v>1</v>
      </c>
      <c r="B32" s="1" t="s">
        <v>2</v>
      </c>
      <c r="C32" s="1">
        <v>42.360599999999998</v>
      </c>
      <c r="D32" s="1">
        <v>-71.010599999999997</v>
      </c>
      <c r="E32" s="5">
        <v>40210</v>
      </c>
      <c r="F32" s="1" t="str">
        <f t="shared" si="0"/>
        <v>February</v>
      </c>
      <c r="G32" s="1">
        <v>18</v>
      </c>
      <c r="H32" s="1">
        <v>0</v>
      </c>
      <c r="I32" s="1" t="str">
        <f>IF(Table1[[#This Row],[Temperature_F]]&lt;32,"Yes","No")</f>
        <v>Yes</v>
      </c>
      <c r="J32" s="1" t="str" cm="1">
        <f t="array" ref="J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2" s="1" t="str" cm="1">
        <f t="array" ref="K32">_xlfn.IFS(
H32=0,"No Rain",
H32&lt;10,"Light",
H32&lt;50,"Moderate",
TRUE,"Heavy")</f>
        <v>No Rain</v>
      </c>
      <c r="L32" s="1" t="str">
        <f>IF(Table1[[#This Row],[Precipitation_mm]]&lt;&gt;0,"Wet","Dry")</f>
        <v>Dry</v>
      </c>
      <c r="M32" t="b">
        <f>OR(ISBLANK(Table1[[#This Row],[Temperature_F]]),ISERROR(Table1[[#This Row],[Temperature_F]]))</f>
        <v>0</v>
      </c>
    </row>
    <row r="33" spans="1:13" x14ac:dyDescent="0.25">
      <c r="A33" s="1" t="s">
        <v>1</v>
      </c>
      <c r="B33" s="1" t="s">
        <v>2</v>
      </c>
      <c r="C33" s="1">
        <v>42.360599999999998</v>
      </c>
      <c r="D33" s="1">
        <v>-71.010599999999997</v>
      </c>
      <c r="E33" s="5">
        <v>40211</v>
      </c>
      <c r="F33" s="1" t="str">
        <f t="shared" si="0"/>
        <v>February</v>
      </c>
      <c r="G33" s="1">
        <v>37</v>
      </c>
      <c r="H33" s="1">
        <v>0</v>
      </c>
      <c r="I33" s="1" t="str">
        <f>IF(Table1[[#This Row],[Temperature_F]]&lt;32,"Yes","No")</f>
        <v>No</v>
      </c>
      <c r="J33" s="1" t="str" cm="1">
        <f t="array" ref="J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3" s="1" t="str" cm="1">
        <f t="array" ref="K33">_xlfn.IFS(
H33=0,"No Rain",
H33&lt;10,"Light",
H33&lt;50,"Moderate",
TRUE,"Heavy")</f>
        <v>No Rain</v>
      </c>
      <c r="L33" s="1" t="str">
        <f>IF(Table1[[#This Row],[Precipitation_mm]]&lt;&gt;0,"Wet","Dry")</f>
        <v>Dry</v>
      </c>
      <c r="M33" t="b">
        <f>OR(ISBLANK(Table1[[#This Row],[Temperature_F]]),ISERROR(Table1[[#This Row],[Temperature_F]]))</f>
        <v>0</v>
      </c>
    </row>
    <row r="34" spans="1:13" hidden="1" x14ac:dyDescent="0.25">
      <c r="A34" s="1" t="s">
        <v>1</v>
      </c>
      <c r="B34" s="1" t="s">
        <v>2</v>
      </c>
      <c r="C34" s="1">
        <v>42.360599999999998</v>
      </c>
      <c r="D34" s="1">
        <v>-71.010599999999997</v>
      </c>
      <c r="E34" s="5">
        <v>40212</v>
      </c>
      <c r="F34" s="1" t="str">
        <f t="shared" si="0"/>
        <v>February</v>
      </c>
      <c r="G34" s="1">
        <v>11</v>
      </c>
      <c r="H34" s="1">
        <v>5</v>
      </c>
      <c r="I34" s="1" t="str">
        <f>IF(Table1[[#This Row],[Temperature_F]]&lt;32,"Yes","No")</f>
        <v>Yes</v>
      </c>
      <c r="J34" s="1" t="str" cm="1">
        <f t="array" ref="J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4" s="1" t="str" cm="1">
        <f t="array" ref="K34">_xlfn.IFS(
H34=0,"No Rain",
H34&lt;10,"Light",
H34&lt;50,"Moderate",
TRUE,"Heavy")</f>
        <v>Light</v>
      </c>
      <c r="L34" s="1" t="str">
        <f>IF(Table1[[#This Row],[Precipitation_mm]]&lt;&gt;0,"Wet","Dry")</f>
        <v>Wet</v>
      </c>
      <c r="M34" t="b">
        <f>OR(ISBLANK(Table1[[#This Row],[Temperature_F]]),ISERROR(Table1[[#This Row],[Temperature_F]]))</f>
        <v>0</v>
      </c>
    </row>
    <row r="35" spans="1:13" hidden="1" x14ac:dyDescent="0.25">
      <c r="A35" s="1" t="s">
        <v>1</v>
      </c>
      <c r="B35" s="1" t="s">
        <v>2</v>
      </c>
      <c r="C35" s="1">
        <v>42.360599999999998</v>
      </c>
      <c r="D35" s="1">
        <v>-71.010599999999997</v>
      </c>
      <c r="E35" s="5">
        <v>40213</v>
      </c>
      <c r="F35" s="1" t="str">
        <f t="shared" si="0"/>
        <v>February</v>
      </c>
      <c r="G35" s="1">
        <v>18</v>
      </c>
      <c r="H35" s="1">
        <v>0</v>
      </c>
      <c r="I35" s="1" t="str">
        <f>IF(Table1[[#This Row],[Temperature_F]]&lt;32,"Yes","No")</f>
        <v>Yes</v>
      </c>
      <c r="J35" s="1" t="str" cm="1">
        <f t="array" ref="J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" s="1" t="str" cm="1">
        <f t="array" ref="K35">_xlfn.IFS(
H35=0,"No Rain",
H35&lt;10,"Light",
H35&lt;50,"Moderate",
TRUE,"Heavy")</f>
        <v>No Rain</v>
      </c>
      <c r="L35" s="1" t="str">
        <f>IF(Table1[[#This Row],[Precipitation_mm]]&lt;&gt;0,"Wet","Dry")</f>
        <v>Dry</v>
      </c>
      <c r="M35" t="b">
        <f>OR(ISBLANK(Table1[[#This Row],[Temperature_F]]),ISERROR(Table1[[#This Row],[Temperature_F]]))</f>
        <v>0</v>
      </c>
    </row>
    <row r="36" spans="1:13" hidden="1" x14ac:dyDescent="0.25">
      <c r="A36" s="1" t="s">
        <v>1</v>
      </c>
      <c r="B36" s="1" t="s">
        <v>2</v>
      </c>
      <c r="C36" s="1">
        <v>42.360599999999998</v>
      </c>
      <c r="D36" s="1">
        <v>-71.010599999999997</v>
      </c>
      <c r="E36" s="5">
        <v>40214</v>
      </c>
      <c r="F36" s="1" t="str">
        <f t="shared" si="0"/>
        <v>February</v>
      </c>
      <c r="G36" s="1">
        <v>21</v>
      </c>
      <c r="H36" s="1">
        <v>0</v>
      </c>
      <c r="I36" s="1" t="str">
        <f>IF(Table1[[#This Row],[Temperature_F]]&lt;32,"Yes","No")</f>
        <v>Yes</v>
      </c>
      <c r="J36" s="1" t="str" cm="1">
        <f t="array" ref="J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" s="1" t="str" cm="1">
        <f t="array" ref="K36">_xlfn.IFS(
H36=0,"No Rain",
H36&lt;10,"Light",
H36&lt;50,"Moderate",
TRUE,"Heavy")</f>
        <v>No Rain</v>
      </c>
      <c r="L36" s="1" t="str">
        <f>IF(Table1[[#This Row],[Precipitation_mm]]&lt;&gt;0,"Wet","Dry")</f>
        <v>Dry</v>
      </c>
      <c r="M36" t="b">
        <f>OR(ISBLANK(Table1[[#This Row],[Temperature_F]]),ISERROR(Table1[[#This Row],[Temperature_F]]))</f>
        <v>0</v>
      </c>
    </row>
    <row r="37" spans="1:13" x14ac:dyDescent="0.25">
      <c r="A37" s="1" t="s">
        <v>1</v>
      </c>
      <c r="B37" s="1" t="s">
        <v>2</v>
      </c>
      <c r="C37" s="1">
        <v>42.360599999999998</v>
      </c>
      <c r="D37" s="1">
        <v>-71.010599999999997</v>
      </c>
      <c r="E37" s="5">
        <v>40215</v>
      </c>
      <c r="F37" s="1" t="str">
        <f t="shared" si="0"/>
        <v>February</v>
      </c>
      <c r="G37" s="1">
        <v>37</v>
      </c>
      <c r="H37" s="1">
        <v>0</v>
      </c>
      <c r="I37" s="1" t="str">
        <f>IF(Table1[[#This Row],[Temperature_F]]&lt;32,"Yes","No")</f>
        <v>No</v>
      </c>
      <c r="J37" s="1" t="str" cm="1">
        <f t="array" ref="J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7" s="1" t="str" cm="1">
        <f t="array" ref="K37">_xlfn.IFS(
H37=0,"No Rain",
H37&lt;10,"Light",
H37&lt;50,"Moderate",
TRUE,"Heavy")</f>
        <v>No Rain</v>
      </c>
      <c r="L37" s="1" t="str">
        <f>IF(Table1[[#This Row],[Precipitation_mm]]&lt;&gt;0,"Wet","Dry")</f>
        <v>Dry</v>
      </c>
      <c r="M37" t="b">
        <f>OR(ISBLANK(Table1[[#This Row],[Temperature_F]]),ISERROR(Table1[[#This Row],[Temperature_F]]))</f>
        <v>0</v>
      </c>
    </row>
    <row r="38" spans="1:13" x14ac:dyDescent="0.25">
      <c r="A38" s="1" t="s">
        <v>1</v>
      </c>
      <c r="B38" s="1" t="s">
        <v>2</v>
      </c>
      <c r="C38" s="1">
        <v>42.360599999999998</v>
      </c>
      <c r="D38" s="1">
        <v>-71.010599999999997</v>
      </c>
      <c r="E38" s="5">
        <v>40216</v>
      </c>
      <c r="F38" s="1" t="str">
        <f t="shared" si="0"/>
        <v>February</v>
      </c>
      <c r="G38" s="1">
        <v>42</v>
      </c>
      <c r="H38" s="1">
        <v>0</v>
      </c>
      <c r="I38" s="1" t="str">
        <f>IF(Table1[[#This Row],[Temperature_F]]&lt;32,"Yes","No")</f>
        <v>No</v>
      </c>
      <c r="J38" s="1" t="str" cm="1">
        <f t="array" ref="J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8" s="1" t="str" cm="1">
        <f t="array" ref="K38">_xlfn.IFS(
H38=0,"No Rain",
H38&lt;10,"Light",
H38&lt;50,"Moderate",
TRUE,"Heavy")</f>
        <v>No Rain</v>
      </c>
      <c r="L38" s="1" t="str">
        <f>IF(Table1[[#This Row],[Precipitation_mm]]&lt;&gt;0,"Wet","Dry")</f>
        <v>Dry</v>
      </c>
      <c r="M38" t="b">
        <f>OR(ISBLANK(Table1[[#This Row],[Temperature_F]]),ISERROR(Table1[[#This Row],[Temperature_F]]))</f>
        <v>0</v>
      </c>
    </row>
    <row r="39" spans="1:13" hidden="1" x14ac:dyDescent="0.25">
      <c r="A39" s="1" t="s">
        <v>1</v>
      </c>
      <c r="B39" s="1" t="s">
        <v>2</v>
      </c>
      <c r="C39" s="1">
        <v>42.360599999999998</v>
      </c>
      <c r="D39" s="1">
        <v>-71.010599999999997</v>
      </c>
      <c r="E39" s="5">
        <v>40217</v>
      </c>
      <c r="F39" s="1" t="str">
        <f t="shared" si="0"/>
        <v>February</v>
      </c>
      <c r="G39" s="1">
        <v>28</v>
      </c>
      <c r="H39" s="1">
        <v>0</v>
      </c>
      <c r="I39" s="1" t="str">
        <f>IF(Table1[[#This Row],[Temperature_F]]&lt;32,"Yes","No")</f>
        <v>Yes</v>
      </c>
      <c r="J39" s="1" t="str" cm="1">
        <f t="array" ref="J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" s="1" t="str" cm="1">
        <f t="array" ref="K39">_xlfn.IFS(
H39=0,"No Rain",
H39&lt;10,"Light",
H39&lt;50,"Moderate",
TRUE,"Heavy")</f>
        <v>No Rain</v>
      </c>
      <c r="L39" s="1" t="str">
        <f>IF(Table1[[#This Row],[Precipitation_mm]]&lt;&gt;0,"Wet","Dry")</f>
        <v>Dry</v>
      </c>
      <c r="M39" t="b">
        <f>OR(ISBLANK(Table1[[#This Row],[Temperature_F]]),ISERROR(Table1[[#This Row],[Temperature_F]]))</f>
        <v>0</v>
      </c>
    </row>
    <row r="40" spans="1:13" hidden="1" x14ac:dyDescent="0.25">
      <c r="A40" s="1" t="s">
        <v>1</v>
      </c>
      <c r="B40" s="1" t="s">
        <v>2</v>
      </c>
      <c r="C40" s="1">
        <v>42.360599999999998</v>
      </c>
      <c r="D40" s="1">
        <v>-71.010599999999997</v>
      </c>
      <c r="E40" s="5">
        <v>40218</v>
      </c>
      <c r="F40" s="1" t="str">
        <f t="shared" si="0"/>
        <v>February</v>
      </c>
      <c r="G40" s="1">
        <v>10</v>
      </c>
      <c r="H40" s="1">
        <v>0</v>
      </c>
      <c r="I40" s="1" t="str">
        <f>IF(Table1[[#This Row],[Temperature_F]]&lt;32,"Yes","No")</f>
        <v>Yes</v>
      </c>
      <c r="J40" s="1" t="str" cm="1">
        <f t="array" ref="J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" s="1" t="str" cm="1">
        <f t="array" ref="K40">_xlfn.IFS(
H40=0,"No Rain",
H40&lt;10,"Light",
H40&lt;50,"Moderate",
TRUE,"Heavy")</f>
        <v>No Rain</v>
      </c>
      <c r="L40" s="1" t="str">
        <f>IF(Table1[[#This Row],[Precipitation_mm]]&lt;&gt;0,"Wet","Dry")</f>
        <v>Dry</v>
      </c>
      <c r="M40" t="b">
        <f>OR(ISBLANK(Table1[[#This Row],[Temperature_F]]),ISERROR(Table1[[#This Row],[Temperature_F]]))</f>
        <v>0</v>
      </c>
    </row>
    <row r="41" spans="1:13" hidden="1" x14ac:dyDescent="0.25">
      <c r="A41" s="1" t="s">
        <v>1</v>
      </c>
      <c r="B41" s="1" t="s">
        <v>2</v>
      </c>
      <c r="C41" s="1">
        <v>42.360599999999998</v>
      </c>
      <c r="D41" s="1">
        <v>-71.010599999999997</v>
      </c>
      <c r="E41" s="5">
        <v>40219</v>
      </c>
      <c r="F41" s="1" t="str">
        <f t="shared" si="0"/>
        <v>February</v>
      </c>
      <c r="G41" s="1">
        <v>30</v>
      </c>
      <c r="H41" s="1">
        <v>51</v>
      </c>
      <c r="I41" s="1" t="str">
        <f>IF(Table1[[#This Row],[Temperature_F]]&lt;32,"Yes","No")</f>
        <v>Yes</v>
      </c>
      <c r="J41" s="1" t="str" cm="1">
        <f t="array" ref="J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" s="1" t="str" cm="1">
        <f t="array" ref="K41">_xlfn.IFS(
H41=0,"No Rain",
H41&lt;10,"Light",
H41&lt;50,"Moderate",
TRUE,"Heavy")</f>
        <v>Heavy</v>
      </c>
      <c r="L41" s="1" t="str">
        <f>IF(Table1[[#This Row],[Precipitation_mm]]&lt;&gt;0,"Wet","Dry")</f>
        <v>Wet</v>
      </c>
      <c r="M41" t="b">
        <f>OR(ISBLANK(Table1[[#This Row],[Temperature_F]]),ISERROR(Table1[[#This Row],[Temperature_F]]))</f>
        <v>0</v>
      </c>
    </row>
    <row r="42" spans="1:13" x14ac:dyDescent="0.25">
      <c r="A42" s="1" t="s">
        <v>1</v>
      </c>
      <c r="B42" s="1" t="s">
        <v>2</v>
      </c>
      <c r="C42" s="1">
        <v>42.360599999999998</v>
      </c>
      <c r="D42" s="1">
        <v>-71.010599999999997</v>
      </c>
      <c r="E42" s="5">
        <v>40220</v>
      </c>
      <c r="F42" s="1" t="str">
        <f t="shared" si="0"/>
        <v>February</v>
      </c>
      <c r="G42" s="1">
        <v>34</v>
      </c>
      <c r="H42" s="1">
        <v>0</v>
      </c>
      <c r="I42" s="1" t="str">
        <f>IF(Table1[[#This Row],[Temperature_F]]&lt;32,"Yes","No")</f>
        <v>No</v>
      </c>
      <c r="J42" s="1" t="str" cm="1">
        <f t="array" ref="J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2" s="1" t="str" cm="1">
        <f t="array" ref="K42">_xlfn.IFS(
H42=0,"No Rain",
H42&lt;10,"Light",
H42&lt;50,"Moderate",
TRUE,"Heavy")</f>
        <v>No Rain</v>
      </c>
      <c r="L42" s="1" t="str">
        <f>IF(Table1[[#This Row],[Precipitation_mm]]&lt;&gt;0,"Wet","Dry")</f>
        <v>Dry</v>
      </c>
      <c r="M42" t="b">
        <f>OR(ISBLANK(Table1[[#This Row],[Temperature_F]]),ISERROR(Table1[[#This Row],[Temperature_F]]))</f>
        <v>0</v>
      </c>
    </row>
    <row r="43" spans="1:13" x14ac:dyDescent="0.25">
      <c r="A43" s="1" t="s">
        <v>1</v>
      </c>
      <c r="B43" s="1" t="s">
        <v>2</v>
      </c>
      <c r="C43" s="1">
        <v>42.360599999999998</v>
      </c>
      <c r="D43" s="1">
        <v>-71.010599999999997</v>
      </c>
      <c r="E43" s="5">
        <v>40221</v>
      </c>
      <c r="F43" s="1" t="str">
        <f t="shared" si="0"/>
        <v>February</v>
      </c>
      <c r="G43" s="1">
        <v>41</v>
      </c>
      <c r="H43" s="1">
        <v>0</v>
      </c>
      <c r="I43" s="1" t="str">
        <f>IF(Table1[[#This Row],[Temperature_F]]&lt;32,"Yes","No")</f>
        <v>No</v>
      </c>
      <c r="J43" s="1" t="str" cm="1">
        <f t="array" ref="J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3" s="1" t="str" cm="1">
        <f t="array" ref="K43">_xlfn.IFS(
H43=0,"No Rain",
H43&lt;10,"Light",
H43&lt;50,"Moderate",
TRUE,"Heavy")</f>
        <v>No Rain</v>
      </c>
      <c r="L43" s="1" t="str">
        <f>IF(Table1[[#This Row],[Precipitation_mm]]&lt;&gt;0,"Wet","Dry")</f>
        <v>Dry</v>
      </c>
      <c r="M43" t="b">
        <f>OR(ISBLANK(Table1[[#This Row],[Temperature_F]]),ISERROR(Table1[[#This Row],[Temperature_F]]))</f>
        <v>0</v>
      </c>
    </row>
    <row r="44" spans="1:13" x14ac:dyDescent="0.25">
      <c r="A44" s="1" t="s">
        <v>1</v>
      </c>
      <c r="B44" s="1" t="s">
        <v>2</v>
      </c>
      <c r="C44" s="1">
        <v>42.360599999999998</v>
      </c>
      <c r="D44" s="1">
        <v>-71.010599999999997</v>
      </c>
      <c r="E44" s="5">
        <v>40222</v>
      </c>
      <c r="F44" s="1" t="str">
        <f t="shared" si="0"/>
        <v>February</v>
      </c>
      <c r="G44" s="1">
        <v>45</v>
      </c>
      <c r="H44" s="1">
        <v>0</v>
      </c>
      <c r="I44" s="1" t="str">
        <f>IF(Table1[[#This Row],[Temperature_F]]&lt;32,"Yes","No")</f>
        <v>No</v>
      </c>
      <c r="J44" s="1" t="str" cm="1">
        <f t="array" ref="J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4" s="1" t="str" cm="1">
        <f t="array" ref="K44">_xlfn.IFS(
H44=0,"No Rain",
H44&lt;10,"Light",
H44&lt;50,"Moderate",
TRUE,"Heavy")</f>
        <v>No Rain</v>
      </c>
      <c r="L44" s="1" t="str">
        <f>IF(Table1[[#This Row],[Precipitation_mm]]&lt;&gt;0,"Wet","Dry")</f>
        <v>Dry</v>
      </c>
      <c r="M44" t="b">
        <f>OR(ISBLANK(Table1[[#This Row],[Temperature_F]]),ISERROR(Table1[[#This Row],[Temperature_F]]))</f>
        <v>0</v>
      </c>
    </row>
    <row r="45" spans="1:13" x14ac:dyDescent="0.25">
      <c r="A45" s="1" t="s">
        <v>1</v>
      </c>
      <c r="B45" s="1" t="s">
        <v>2</v>
      </c>
      <c r="C45" s="1">
        <v>42.360599999999998</v>
      </c>
      <c r="D45" s="1">
        <v>-71.010599999999997</v>
      </c>
      <c r="E45" s="5">
        <v>40223</v>
      </c>
      <c r="F45" s="1" t="str">
        <f t="shared" si="0"/>
        <v>February</v>
      </c>
      <c r="G45" s="1">
        <v>44</v>
      </c>
      <c r="H45" s="1">
        <v>0</v>
      </c>
      <c r="I45" s="1" t="str">
        <f>IF(Table1[[#This Row],[Temperature_F]]&lt;32,"Yes","No")</f>
        <v>No</v>
      </c>
      <c r="J45" s="1" t="str" cm="1">
        <f t="array" ref="J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5" s="1" t="str" cm="1">
        <f t="array" ref="K45">_xlfn.IFS(
H45=0,"No Rain",
H45&lt;10,"Light",
H45&lt;50,"Moderate",
TRUE,"Heavy")</f>
        <v>No Rain</v>
      </c>
      <c r="L45" s="1" t="str">
        <f>IF(Table1[[#This Row],[Precipitation_mm]]&lt;&gt;0,"Wet","Dry")</f>
        <v>Dry</v>
      </c>
      <c r="M45" t="b">
        <f>OR(ISBLANK(Table1[[#This Row],[Temperature_F]]),ISERROR(Table1[[#This Row],[Temperature_F]]))</f>
        <v>0</v>
      </c>
    </row>
    <row r="46" spans="1:13" hidden="1" x14ac:dyDescent="0.25">
      <c r="A46" s="1" t="s">
        <v>1</v>
      </c>
      <c r="B46" s="1" t="s">
        <v>2</v>
      </c>
      <c r="C46" s="1">
        <v>42.360599999999998</v>
      </c>
      <c r="D46" s="1">
        <v>-71.010599999999997</v>
      </c>
      <c r="E46" s="5">
        <v>40224</v>
      </c>
      <c r="F46" s="1" t="str">
        <f t="shared" si="0"/>
        <v>February</v>
      </c>
      <c r="G46" s="1">
        <v>30</v>
      </c>
      <c r="H46" s="1">
        <v>0</v>
      </c>
      <c r="I46" s="1" t="str">
        <f>IF(Table1[[#This Row],[Temperature_F]]&lt;32,"Yes","No")</f>
        <v>Yes</v>
      </c>
      <c r="J46" s="1" t="str" cm="1">
        <f t="array" ref="J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6" s="1" t="str" cm="1">
        <f t="array" ref="K46">_xlfn.IFS(
H46=0,"No Rain",
H46&lt;10,"Light",
H46&lt;50,"Moderate",
TRUE,"Heavy")</f>
        <v>No Rain</v>
      </c>
      <c r="L46" s="1" t="str">
        <f>IF(Table1[[#This Row],[Precipitation_mm]]&lt;&gt;0,"Wet","Dry")</f>
        <v>Dry</v>
      </c>
      <c r="M46" t="b">
        <f>OR(ISBLANK(Table1[[#This Row],[Temperature_F]]),ISERROR(Table1[[#This Row],[Temperature_F]]))</f>
        <v>0</v>
      </c>
    </row>
    <row r="47" spans="1:13" x14ac:dyDescent="0.25">
      <c r="A47" s="1" t="s">
        <v>1</v>
      </c>
      <c r="B47" s="1" t="s">
        <v>2</v>
      </c>
      <c r="C47" s="1">
        <v>42.360599999999998</v>
      </c>
      <c r="D47" s="1">
        <v>-71.010599999999997</v>
      </c>
      <c r="E47" s="5">
        <v>40225</v>
      </c>
      <c r="F47" s="1" t="str">
        <f t="shared" si="0"/>
        <v>February</v>
      </c>
      <c r="G47" s="1">
        <v>44</v>
      </c>
      <c r="H47" s="1">
        <v>165</v>
      </c>
      <c r="I47" s="1" t="str">
        <f>IF(Table1[[#This Row],[Temperature_F]]&lt;32,"Yes","No")</f>
        <v>No</v>
      </c>
      <c r="J47" s="1" t="str" cm="1">
        <f t="array" ref="J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" s="1" t="str" cm="1">
        <f t="array" ref="K47">_xlfn.IFS(
H47=0,"No Rain",
H47&lt;10,"Light",
H47&lt;50,"Moderate",
TRUE,"Heavy")</f>
        <v>Heavy</v>
      </c>
      <c r="L47" s="1" t="str">
        <f>IF(Table1[[#This Row],[Precipitation_mm]]&lt;&gt;0,"Wet","Dry")</f>
        <v>Wet</v>
      </c>
      <c r="M47" t="b">
        <f>OR(ISBLANK(Table1[[#This Row],[Temperature_F]]),ISERROR(Table1[[#This Row],[Temperature_F]]))</f>
        <v>0</v>
      </c>
    </row>
    <row r="48" spans="1:13" hidden="1" x14ac:dyDescent="0.25">
      <c r="A48" s="1" t="s">
        <v>1</v>
      </c>
      <c r="B48" s="1" t="s">
        <v>2</v>
      </c>
      <c r="C48" s="1">
        <v>42.360599999999998</v>
      </c>
      <c r="D48" s="1">
        <v>-71.010599999999997</v>
      </c>
      <c r="E48" s="5">
        <v>40226</v>
      </c>
      <c r="F48" s="1" t="str">
        <f t="shared" si="0"/>
        <v>February</v>
      </c>
      <c r="G48" s="1">
        <v>14</v>
      </c>
      <c r="H48" s="1">
        <v>0</v>
      </c>
      <c r="I48" s="1" t="str">
        <f>IF(Table1[[#This Row],[Temperature_F]]&lt;32,"Yes","No")</f>
        <v>Yes</v>
      </c>
      <c r="J48" s="1" t="str" cm="1">
        <f t="array" ref="J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8" s="1" t="str" cm="1">
        <f t="array" ref="K48">_xlfn.IFS(
H48=0,"No Rain",
H48&lt;10,"Light",
H48&lt;50,"Moderate",
TRUE,"Heavy")</f>
        <v>No Rain</v>
      </c>
      <c r="L48" s="1" t="str">
        <f>IF(Table1[[#This Row],[Precipitation_mm]]&lt;&gt;0,"Wet","Dry")</f>
        <v>Dry</v>
      </c>
      <c r="M48" t="b">
        <f>OR(ISBLANK(Table1[[#This Row],[Temperature_F]]),ISERROR(Table1[[#This Row],[Temperature_F]]))</f>
        <v>0</v>
      </c>
    </row>
    <row r="49" spans="1:13" hidden="1" x14ac:dyDescent="0.25">
      <c r="A49" s="1" t="s">
        <v>1</v>
      </c>
      <c r="B49" s="1" t="s">
        <v>2</v>
      </c>
      <c r="C49" s="1">
        <v>42.360599999999998</v>
      </c>
      <c r="D49" s="1">
        <v>-71.010599999999997</v>
      </c>
      <c r="E49" s="5">
        <v>40227</v>
      </c>
      <c r="F49" s="1" t="str">
        <f t="shared" si="0"/>
        <v>February</v>
      </c>
      <c r="G49" s="1">
        <v>18</v>
      </c>
      <c r="H49" s="1">
        <v>0</v>
      </c>
      <c r="I49" s="1" t="str">
        <f>IF(Table1[[#This Row],[Temperature_F]]&lt;32,"Yes","No")</f>
        <v>Yes</v>
      </c>
      <c r="J49" s="1" t="str" cm="1">
        <f t="array" ref="J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9" s="1" t="str" cm="1">
        <f t="array" ref="K49">_xlfn.IFS(
H49=0,"No Rain",
H49&lt;10,"Light",
H49&lt;50,"Moderate",
TRUE,"Heavy")</f>
        <v>No Rain</v>
      </c>
      <c r="L49" s="1" t="str">
        <f>IF(Table1[[#This Row],[Precipitation_mm]]&lt;&gt;0,"Wet","Dry")</f>
        <v>Dry</v>
      </c>
      <c r="M49" t="b">
        <f>OR(ISBLANK(Table1[[#This Row],[Temperature_F]]),ISERROR(Table1[[#This Row],[Temperature_F]]))</f>
        <v>0</v>
      </c>
    </row>
    <row r="50" spans="1:13" x14ac:dyDescent="0.25">
      <c r="A50" s="1" t="s">
        <v>1</v>
      </c>
      <c r="B50" s="1" t="s">
        <v>2</v>
      </c>
      <c r="C50" s="1">
        <v>42.360599999999998</v>
      </c>
      <c r="D50" s="1">
        <v>-71.010599999999997</v>
      </c>
      <c r="E50" s="5">
        <v>40228</v>
      </c>
      <c r="F50" s="1" t="str">
        <f t="shared" si="0"/>
        <v>February</v>
      </c>
      <c r="G50" s="1">
        <v>33</v>
      </c>
      <c r="H50" s="1">
        <v>0</v>
      </c>
      <c r="I50" s="1" t="str">
        <f>IF(Table1[[#This Row],[Temperature_F]]&lt;32,"Yes","No")</f>
        <v>No</v>
      </c>
      <c r="J50" s="1" t="str" cm="1">
        <f t="array" ref="J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" s="1" t="str" cm="1">
        <f t="array" ref="K50">_xlfn.IFS(
H50=0,"No Rain",
H50&lt;10,"Light",
H50&lt;50,"Moderate",
TRUE,"Heavy")</f>
        <v>No Rain</v>
      </c>
      <c r="L50" s="1" t="str">
        <f>IF(Table1[[#This Row],[Precipitation_mm]]&lt;&gt;0,"Wet","Dry")</f>
        <v>Dry</v>
      </c>
      <c r="M50" t="b">
        <f>OR(ISBLANK(Table1[[#This Row],[Temperature_F]]),ISERROR(Table1[[#This Row],[Temperature_F]]))</f>
        <v>0</v>
      </c>
    </row>
    <row r="51" spans="1:13" x14ac:dyDescent="0.25">
      <c r="A51" s="1" t="s">
        <v>1</v>
      </c>
      <c r="B51" s="1" t="s">
        <v>2</v>
      </c>
      <c r="C51" s="1">
        <v>42.360599999999998</v>
      </c>
      <c r="D51" s="1">
        <v>-71.010599999999997</v>
      </c>
      <c r="E51" s="5">
        <v>40229</v>
      </c>
      <c r="F51" s="1" t="str">
        <f t="shared" si="0"/>
        <v>February</v>
      </c>
      <c r="G51" s="1">
        <v>35</v>
      </c>
      <c r="H51" s="1">
        <v>0</v>
      </c>
      <c r="I51" s="1" t="str">
        <f>IF(Table1[[#This Row],[Temperature_F]]&lt;32,"Yes","No")</f>
        <v>No</v>
      </c>
      <c r="J51" s="1" t="str" cm="1">
        <f t="array" ref="J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1" s="1" t="str" cm="1">
        <f t="array" ref="K51">_xlfn.IFS(
H51=0,"No Rain",
H51&lt;10,"Light",
H51&lt;50,"Moderate",
TRUE,"Heavy")</f>
        <v>No Rain</v>
      </c>
      <c r="L51" s="1" t="str">
        <f>IF(Table1[[#This Row],[Precipitation_mm]]&lt;&gt;0,"Wet","Dry")</f>
        <v>Dry</v>
      </c>
      <c r="M51" t="b">
        <f>OR(ISBLANK(Table1[[#This Row],[Temperature_F]]),ISERROR(Table1[[#This Row],[Temperature_F]]))</f>
        <v>0</v>
      </c>
    </row>
    <row r="52" spans="1:13" hidden="1" x14ac:dyDescent="0.25">
      <c r="A52" s="1" t="s">
        <v>1</v>
      </c>
      <c r="B52" s="1" t="s">
        <v>2</v>
      </c>
      <c r="C52" s="1">
        <v>42.360599999999998</v>
      </c>
      <c r="D52" s="1">
        <v>-71.010599999999997</v>
      </c>
      <c r="E52" s="5">
        <v>40230</v>
      </c>
      <c r="F52" s="1" t="str">
        <f t="shared" si="0"/>
        <v>February</v>
      </c>
      <c r="G52" s="1">
        <v>17</v>
      </c>
      <c r="H52" s="1">
        <v>0</v>
      </c>
      <c r="I52" s="1" t="str">
        <f>IF(Table1[[#This Row],[Temperature_F]]&lt;32,"Yes","No")</f>
        <v>Yes</v>
      </c>
      <c r="J52" s="1" t="str" cm="1">
        <f t="array" ref="J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52" s="1" t="str" cm="1">
        <f t="array" ref="K52">_xlfn.IFS(
H52=0,"No Rain",
H52&lt;10,"Light",
H52&lt;50,"Moderate",
TRUE,"Heavy")</f>
        <v>No Rain</v>
      </c>
      <c r="L52" s="1" t="str">
        <f>IF(Table1[[#This Row],[Precipitation_mm]]&lt;&gt;0,"Wet","Dry")</f>
        <v>Dry</v>
      </c>
      <c r="M52" t="b">
        <f>OR(ISBLANK(Table1[[#This Row],[Temperature_F]]),ISERROR(Table1[[#This Row],[Temperature_F]]))</f>
        <v>0</v>
      </c>
    </row>
    <row r="53" spans="1:13" hidden="1" x14ac:dyDescent="0.25">
      <c r="A53" s="1" t="s">
        <v>1</v>
      </c>
      <c r="B53" s="1" t="s">
        <v>2</v>
      </c>
      <c r="C53" s="1">
        <v>42.360599999999998</v>
      </c>
      <c r="D53" s="1">
        <v>-71.010599999999997</v>
      </c>
      <c r="E53" s="5">
        <v>40231</v>
      </c>
      <c r="F53" s="1" t="str">
        <f t="shared" si="0"/>
        <v>February</v>
      </c>
      <c r="G53" s="1">
        <v>18</v>
      </c>
      <c r="H53" s="1">
        <v>0</v>
      </c>
      <c r="I53" s="1" t="str">
        <f>IF(Table1[[#This Row],[Temperature_F]]&lt;32,"Yes","No")</f>
        <v>Yes</v>
      </c>
      <c r="J53" s="1" t="str" cm="1">
        <f t="array" ref="J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53" s="1" t="str" cm="1">
        <f t="array" ref="K53">_xlfn.IFS(
H53=0,"No Rain",
H53&lt;10,"Light",
H53&lt;50,"Moderate",
TRUE,"Heavy")</f>
        <v>No Rain</v>
      </c>
      <c r="L53" s="1" t="str">
        <f>IF(Table1[[#This Row],[Precipitation_mm]]&lt;&gt;0,"Wet","Dry")</f>
        <v>Dry</v>
      </c>
      <c r="M53" t="b">
        <f>OR(ISBLANK(Table1[[#This Row],[Temperature_F]]),ISERROR(Table1[[#This Row],[Temperature_F]]))</f>
        <v>0</v>
      </c>
    </row>
    <row r="54" spans="1:13" hidden="1" x14ac:dyDescent="0.25">
      <c r="A54" s="1" t="s">
        <v>1</v>
      </c>
      <c r="B54" s="1" t="s">
        <v>2</v>
      </c>
      <c r="C54" s="1">
        <v>42.360599999999998</v>
      </c>
      <c r="D54" s="1">
        <v>-71.010599999999997</v>
      </c>
      <c r="E54" s="5">
        <v>40232</v>
      </c>
      <c r="F54" s="1" t="str">
        <f t="shared" si="0"/>
        <v>February</v>
      </c>
      <c r="G54" s="1">
        <v>27</v>
      </c>
      <c r="H54" s="1">
        <v>0</v>
      </c>
      <c r="I54" s="1" t="str">
        <f>IF(Table1[[#This Row],[Temperature_F]]&lt;32,"Yes","No")</f>
        <v>Yes</v>
      </c>
      <c r="J54" s="1" t="str" cm="1">
        <f t="array" ref="J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54" s="1" t="str" cm="1">
        <f t="array" ref="K54">_xlfn.IFS(
H54=0,"No Rain",
H54&lt;10,"Light",
H54&lt;50,"Moderate",
TRUE,"Heavy")</f>
        <v>No Rain</v>
      </c>
      <c r="L54" s="1" t="str">
        <f>IF(Table1[[#This Row],[Precipitation_mm]]&lt;&gt;0,"Wet","Dry")</f>
        <v>Dry</v>
      </c>
      <c r="M54" t="b">
        <f>OR(ISBLANK(Table1[[#This Row],[Temperature_F]]),ISERROR(Table1[[#This Row],[Temperature_F]]))</f>
        <v>0</v>
      </c>
    </row>
    <row r="55" spans="1:13" hidden="1" x14ac:dyDescent="0.25">
      <c r="A55" s="1" t="s">
        <v>1</v>
      </c>
      <c r="B55" s="1" t="s">
        <v>2</v>
      </c>
      <c r="C55" s="1">
        <v>42.360599999999998</v>
      </c>
      <c r="D55" s="1">
        <v>-71.010599999999997</v>
      </c>
      <c r="E55" s="5">
        <v>40233</v>
      </c>
      <c r="F55" s="1" t="str">
        <f t="shared" si="0"/>
        <v>February</v>
      </c>
      <c r="G55" s="1">
        <v>23</v>
      </c>
      <c r="H55" s="1">
        <v>284</v>
      </c>
      <c r="I55" s="1" t="str">
        <f>IF(Table1[[#This Row],[Temperature_F]]&lt;32,"Yes","No")</f>
        <v>Yes</v>
      </c>
      <c r="J55" s="1" t="str" cm="1">
        <f t="array" ref="J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55" s="1" t="str" cm="1">
        <f t="array" ref="K55">_xlfn.IFS(
H55=0,"No Rain",
H55&lt;10,"Light",
H55&lt;50,"Moderate",
TRUE,"Heavy")</f>
        <v>Heavy</v>
      </c>
      <c r="L55" s="1" t="str">
        <f>IF(Table1[[#This Row],[Precipitation_mm]]&lt;&gt;0,"Wet","Dry")</f>
        <v>Wet</v>
      </c>
      <c r="M55" t="b">
        <f>OR(ISBLANK(Table1[[#This Row],[Temperature_F]]),ISERROR(Table1[[#This Row],[Temperature_F]]))</f>
        <v>0</v>
      </c>
    </row>
    <row r="56" spans="1:13" x14ac:dyDescent="0.25">
      <c r="A56" s="1" t="s">
        <v>1</v>
      </c>
      <c r="B56" s="1" t="s">
        <v>2</v>
      </c>
      <c r="C56" s="1">
        <v>42.360599999999998</v>
      </c>
      <c r="D56" s="1">
        <v>-71.010599999999997</v>
      </c>
      <c r="E56" s="5">
        <v>40234</v>
      </c>
      <c r="F56" s="1" t="str">
        <f t="shared" si="0"/>
        <v>February</v>
      </c>
      <c r="G56" s="1">
        <v>33</v>
      </c>
      <c r="H56" s="1">
        <v>325</v>
      </c>
      <c r="I56" s="1" t="str">
        <f>IF(Table1[[#This Row],[Temperature_F]]&lt;32,"Yes","No")</f>
        <v>No</v>
      </c>
      <c r="J56" s="1" t="str" cm="1">
        <f t="array" ref="J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6" s="1" t="str" cm="1">
        <f t="array" ref="K56">_xlfn.IFS(
H56=0,"No Rain",
H56&lt;10,"Light",
H56&lt;50,"Moderate",
TRUE,"Heavy")</f>
        <v>Heavy</v>
      </c>
      <c r="L56" s="1" t="str">
        <f>IF(Table1[[#This Row],[Precipitation_mm]]&lt;&gt;0,"Wet","Dry")</f>
        <v>Wet</v>
      </c>
      <c r="M56" t="b">
        <f>OR(ISBLANK(Table1[[#This Row],[Temperature_F]]),ISERROR(Table1[[#This Row],[Temperature_F]]))</f>
        <v>0</v>
      </c>
    </row>
    <row r="57" spans="1:13" hidden="1" x14ac:dyDescent="0.25">
      <c r="A57" s="1" t="s">
        <v>1</v>
      </c>
      <c r="B57" s="1" t="s">
        <v>2</v>
      </c>
      <c r="C57" s="1">
        <v>42.360599999999998</v>
      </c>
      <c r="D57" s="1">
        <v>-71.010599999999997</v>
      </c>
      <c r="E57" s="5">
        <v>40235</v>
      </c>
      <c r="F57" s="1" t="str">
        <f t="shared" si="0"/>
        <v>February</v>
      </c>
      <c r="G57" s="1">
        <v>11</v>
      </c>
      <c r="H57" s="1">
        <v>8</v>
      </c>
      <c r="I57" s="1" t="str">
        <f>IF(Table1[[#This Row],[Temperature_F]]&lt;32,"Yes","No")</f>
        <v>Yes</v>
      </c>
      <c r="J57" s="1" t="str" cm="1">
        <f t="array" ref="J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57" s="1" t="str" cm="1">
        <f t="array" ref="K57">_xlfn.IFS(
H57=0,"No Rain",
H57&lt;10,"Light",
H57&lt;50,"Moderate",
TRUE,"Heavy")</f>
        <v>Light</v>
      </c>
      <c r="L57" s="1" t="str">
        <f>IF(Table1[[#This Row],[Precipitation_mm]]&lt;&gt;0,"Wet","Dry")</f>
        <v>Wet</v>
      </c>
      <c r="M57" t="b">
        <f>OR(ISBLANK(Table1[[#This Row],[Temperature_F]]),ISERROR(Table1[[#This Row],[Temperature_F]]))</f>
        <v>0</v>
      </c>
    </row>
    <row r="58" spans="1:13" x14ac:dyDescent="0.25">
      <c r="A58" s="1" t="s">
        <v>1</v>
      </c>
      <c r="B58" s="1" t="s">
        <v>2</v>
      </c>
      <c r="C58" s="1">
        <v>42.360599999999998</v>
      </c>
      <c r="D58" s="1">
        <v>-71.010599999999997</v>
      </c>
      <c r="E58" s="5">
        <v>40236</v>
      </c>
      <c r="F58" s="1" t="str">
        <f t="shared" si="0"/>
        <v>February</v>
      </c>
      <c r="G58" s="1">
        <v>38</v>
      </c>
      <c r="H58" s="1">
        <v>10</v>
      </c>
      <c r="I58" s="1" t="str">
        <f>IF(Table1[[#This Row],[Temperature_F]]&lt;32,"Yes","No")</f>
        <v>No</v>
      </c>
      <c r="J58" s="1" t="str" cm="1">
        <f t="array" ref="J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8" s="1" t="str" cm="1">
        <f t="array" ref="K58">_xlfn.IFS(
H58=0,"No Rain",
H58&lt;10,"Light",
H58&lt;50,"Moderate",
TRUE,"Heavy")</f>
        <v>Moderate</v>
      </c>
      <c r="L58" s="1" t="str">
        <f>IF(Table1[[#This Row],[Precipitation_mm]]&lt;&gt;0,"Wet","Dry")</f>
        <v>Wet</v>
      </c>
      <c r="M58" t="b">
        <f>OR(ISBLANK(Table1[[#This Row],[Temperature_F]]),ISERROR(Table1[[#This Row],[Temperature_F]]))</f>
        <v>0</v>
      </c>
    </row>
    <row r="59" spans="1:13" x14ac:dyDescent="0.25">
      <c r="A59" s="1" t="s">
        <v>1</v>
      </c>
      <c r="B59" s="1" t="s">
        <v>2</v>
      </c>
      <c r="C59" s="1">
        <v>42.360599999999998</v>
      </c>
      <c r="D59" s="1">
        <v>-71.010599999999997</v>
      </c>
      <c r="E59" s="5">
        <v>40237</v>
      </c>
      <c r="F59" s="1" t="str">
        <f t="shared" si="0"/>
        <v>February</v>
      </c>
      <c r="G59" s="1">
        <v>42</v>
      </c>
      <c r="H59" s="1">
        <v>0</v>
      </c>
      <c r="I59" s="1" t="str">
        <f>IF(Table1[[#This Row],[Temperature_F]]&lt;32,"Yes","No")</f>
        <v>No</v>
      </c>
      <c r="J59" s="1" t="str" cm="1">
        <f t="array" ref="J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9" s="1" t="str" cm="1">
        <f t="array" ref="K59">_xlfn.IFS(
H59=0,"No Rain",
H59&lt;10,"Light",
H59&lt;50,"Moderate",
TRUE,"Heavy")</f>
        <v>No Rain</v>
      </c>
      <c r="L59" s="1" t="str">
        <f>IF(Table1[[#This Row],[Precipitation_mm]]&lt;&gt;0,"Wet","Dry")</f>
        <v>Dry</v>
      </c>
      <c r="M59" t="b">
        <f>OR(ISBLANK(Table1[[#This Row],[Temperature_F]]),ISERROR(Table1[[#This Row],[Temperature_F]]))</f>
        <v>0</v>
      </c>
    </row>
    <row r="60" spans="1:13" x14ac:dyDescent="0.25">
      <c r="A60" s="1" t="s">
        <v>1</v>
      </c>
      <c r="B60" s="1" t="s">
        <v>2</v>
      </c>
      <c r="C60" s="1">
        <v>42.360599999999998</v>
      </c>
      <c r="D60" s="1">
        <v>-71.010599999999997</v>
      </c>
      <c r="E60" s="5">
        <v>40238</v>
      </c>
      <c r="F60" s="1" t="str">
        <f t="shared" si="0"/>
        <v>March</v>
      </c>
      <c r="G60" s="1">
        <v>42</v>
      </c>
      <c r="H60" s="1">
        <v>79</v>
      </c>
      <c r="I60" s="1" t="str">
        <f>IF(Table1[[#This Row],[Temperature_F]]&lt;32,"Yes","No")</f>
        <v>No</v>
      </c>
      <c r="J60" s="1" t="str" cm="1">
        <f t="array" ref="J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0" s="1" t="str" cm="1">
        <f t="array" ref="K60">_xlfn.IFS(
H60=0,"No Rain",
H60&lt;10,"Light",
H60&lt;50,"Moderate",
TRUE,"Heavy")</f>
        <v>Heavy</v>
      </c>
      <c r="L60" s="1" t="str">
        <f>IF(Table1[[#This Row],[Precipitation_mm]]&lt;&gt;0,"Wet","Dry")</f>
        <v>Wet</v>
      </c>
      <c r="M60" t="b">
        <f>OR(ISBLANK(Table1[[#This Row],[Temperature_F]]),ISERROR(Table1[[#This Row],[Temperature_F]]))</f>
        <v>0</v>
      </c>
    </row>
    <row r="61" spans="1:13" hidden="1" x14ac:dyDescent="0.25">
      <c r="A61" s="1" t="s">
        <v>1</v>
      </c>
      <c r="B61" s="1" t="s">
        <v>2</v>
      </c>
      <c r="C61" s="1">
        <v>42.360599999999998</v>
      </c>
      <c r="D61" s="1">
        <v>-71.010599999999997</v>
      </c>
      <c r="E61" s="5">
        <v>40239</v>
      </c>
      <c r="F61" s="1" t="str">
        <f t="shared" si="0"/>
        <v>March</v>
      </c>
      <c r="G61" s="1">
        <v>30</v>
      </c>
      <c r="H61" s="1">
        <v>0</v>
      </c>
      <c r="I61" s="1" t="str">
        <f>IF(Table1[[#This Row],[Temperature_F]]&lt;32,"Yes","No")</f>
        <v>Yes</v>
      </c>
      <c r="J61" s="1" t="str" cm="1">
        <f t="array" ref="J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1" s="1" t="str" cm="1">
        <f t="array" ref="K61">_xlfn.IFS(
H61=0,"No Rain",
H61&lt;10,"Light",
H61&lt;50,"Moderate",
TRUE,"Heavy")</f>
        <v>No Rain</v>
      </c>
      <c r="L61" s="1" t="str">
        <f>IF(Table1[[#This Row],[Precipitation_mm]]&lt;&gt;0,"Wet","Dry")</f>
        <v>Dry</v>
      </c>
      <c r="M61" t="b">
        <f>OR(ISBLANK(Table1[[#This Row],[Temperature_F]]),ISERROR(Table1[[#This Row],[Temperature_F]]))</f>
        <v>0</v>
      </c>
    </row>
    <row r="62" spans="1:13" hidden="1" x14ac:dyDescent="0.25">
      <c r="A62" s="1" t="s">
        <v>1</v>
      </c>
      <c r="B62" s="1" t="s">
        <v>2</v>
      </c>
      <c r="C62" s="1">
        <v>42.360599999999998</v>
      </c>
      <c r="D62" s="1">
        <v>-71.010599999999997</v>
      </c>
      <c r="E62" s="5">
        <v>40240</v>
      </c>
      <c r="F62" s="1" t="str">
        <f t="shared" si="0"/>
        <v>March</v>
      </c>
      <c r="G62" s="1">
        <v>19</v>
      </c>
      <c r="H62" s="1">
        <v>5</v>
      </c>
      <c r="I62" s="1" t="str">
        <f>IF(Table1[[#This Row],[Temperature_F]]&lt;32,"Yes","No")</f>
        <v>Yes</v>
      </c>
      <c r="J62" s="1" t="str" cm="1">
        <f t="array" ref="J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2" s="1" t="str" cm="1">
        <f t="array" ref="K62">_xlfn.IFS(
H62=0,"No Rain",
H62&lt;10,"Light",
H62&lt;50,"Moderate",
TRUE,"Heavy")</f>
        <v>Light</v>
      </c>
      <c r="L62" s="1" t="str">
        <f>IF(Table1[[#This Row],[Precipitation_mm]]&lt;&gt;0,"Wet","Dry")</f>
        <v>Wet</v>
      </c>
      <c r="M62" t="b">
        <f>OR(ISBLANK(Table1[[#This Row],[Temperature_F]]),ISERROR(Table1[[#This Row],[Temperature_F]]))</f>
        <v>0</v>
      </c>
    </row>
    <row r="63" spans="1:13" x14ac:dyDescent="0.25">
      <c r="A63" s="1" t="s">
        <v>1</v>
      </c>
      <c r="B63" s="1" t="s">
        <v>2</v>
      </c>
      <c r="C63" s="1">
        <v>42.360599999999998</v>
      </c>
      <c r="D63" s="1">
        <v>-71.010599999999997</v>
      </c>
      <c r="E63" s="5">
        <v>40241</v>
      </c>
      <c r="F63" s="1" t="str">
        <f t="shared" si="0"/>
        <v>March</v>
      </c>
      <c r="G63" s="1">
        <v>34</v>
      </c>
      <c r="H63" s="1">
        <v>15</v>
      </c>
      <c r="I63" s="1" t="str">
        <f>IF(Table1[[#This Row],[Temperature_F]]&lt;32,"Yes","No")</f>
        <v>No</v>
      </c>
      <c r="J63" s="1" t="str" cm="1">
        <f t="array" ref="J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3" s="1" t="str" cm="1">
        <f t="array" ref="K63">_xlfn.IFS(
H63=0,"No Rain",
H63&lt;10,"Light",
H63&lt;50,"Moderate",
TRUE,"Heavy")</f>
        <v>Moderate</v>
      </c>
      <c r="L63" s="1" t="str">
        <f>IF(Table1[[#This Row],[Precipitation_mm]]&lt;&gt;0,"Wet","Dry")</f>
        <v>Wet</v>
      </c>
      <c r="M63" t="b">
        <f>OR(ISBLANK(Table1[[#This Row],[Temperature_F]]),ISERROR(Table1[[#This Row],[Temperature_F]]))</f>
        <v>0</v>
      </c>
    </row>
    <row r="64" spans="1:13" hidden="1" x14ac:dyDescent="0.25">
      <c r="A64" s="1" t="s">
        <v>1</v>
      </c>
      <c r="B64" s="1" t="s">
        <v>2</v>
      </c>
      <c r="C64" s="1">
        <v>42.360599999999998</v>
      </c>
      <c r="D64" s="1">
        <v>-71.010599999999997</v>
      </c>
      <c r="E64" s="5">
        <v>40242</v>
      </c>
      <c r="F64" s="1" t="str">
        <f t="shared" si="0"/>
        <v>March</v>
      </c>
      <c r="G64" s="1">
        <v>21</v>
      </c>
      <c r="H64" s="1">
        <v>0</v>
      </c>
      <c r="I64" s="1" t="str">
        <f>IF(Table1[[#This Row],[Temperature_F]]&lt;32,"Yes","No")</f>
        <v>Yes</v>
      </c>
      <c r="J64" s="1" t="str" cm="1">
        <f t="array" ref="J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4" s="1" t="str" cm="1">
        <f t="array" ref="K64">_xlfn.IFS(
H64=0,"No Rain",
H64&lt;10,"Light",
H64&lt;50,"Moderate",
TRUE,"Heavy")</f>
        <v>No Rain</v>
      </c>
      <c r="L64" s="1" t="str">
        <f>IF(Table1[[#This Row],[Precipitation_mm]]&lt;&gt;0,"Wet","Dry")</f>
        <v>Dry</v>
      </c>
      <c r="M64" t="b">
        <f>OR(ISBLANK(Table1[[#This Row],[Temperature_F]]),ISERROR(Table1[[#This Row],[Temperature_F]]))</f>
        <v>0</v>
      </c>
    </row>
    <row r="65" spans="1:13" x14ac:dyDescent="0.25">
      <c r="A65" s="1" t="s">
        <v>1</v>
      </c>
      <c r="B65" s="1" t="s">
        <v>2</v>
      </c>
      <c r="C65" s="1">
        <v>42.360599999999998</v>
      </c>
      <c r="D65" s="1">
        <v>-71.010599999999997</v>
      </c>
      <c r="E65" s="5">
        <v>40243</v>
      </c>
      <c r="F65" s="1" t="str">
        <f t="shared" si="0"/>
        <v>March</v>
      </c>
      <c r="G65" s="1">
        <v>45</v>
      </c>
      <c r="H65" s="1">
        <v>0</v>
      </c>
      <c r="I65" s="1" t="str">
        <f>IF(Table1[[#This Row],[Temperature_F]]&lt;32,"Yes","No")</f>
        <v>No</v>
      </c>
      <c r="J65" s="1" t="str" cm="1">
        <f t="array" ref="J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5" s="1" t="str" cm="1">
        <f t="array" ref="K65">_xlfn.IFS(
H65=0,"No Rain",
H65&lt;10,"Light",
H65&lt;50,"Moderate",
TRUE,"Heavy")</f>
        <v>No Rain</v>
      </c>
      <c r="L65" s="1" t="str">
        <f>IF(Table1[[#This Row],[Precipitation_mm]]&lt;&gt;0,"Wet","Dry")</f>
        <v>Dry</v>
      </c>
      <c r="M65" t="b">
        <f>OR(ISBLANK(Table1[[#This Row],[Temperature_F]]),ISERROR(Table1[[#This Row],[Temperature_F]]))</f>
        <v>0</v>
      </c>
    </row>
    <row r="66" spans="1:13" hidden="1" x14ac:dyDescent="0.25">
      <c r="A66" s="1" t="s">
        <v>1</v>
      </c>
      <c r="B66" s="1" t="s">
        <v>2</v>
      </c>
      <c r="C66" s="1">
        <v>42.360599999999998</v>
      </c>
      <c r="D66" s="1">
        <v>-71.010599999999997</v>
      </c>
      <c r="E66" s="5">
        <v>40244</v>
      </c>
      <c r="F66" s="1" t="str">
        <f t="shared" ref="F66:F126" si="1">TEXT(E66,"mmmm")</f>
        <v>March</v>
      </c>
      <c r="G66" s="1">
        <v>28</v>
      </c>
      <c r="H66" s="1">
        <v>0</v>
      </c>
      <c r="I66" s="1" t="str">
        <f>IF(Table1[[#This Row],[Temperature_F]]&lt;32,"Yes","No")</f>
        <v>Yes</v>
      </c>
      <c r="J66" s="1" t="str" cm="1">
        <f t="array" ref="J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6" s="1" t="str" cm="1">
        <f t="array" ref="K66">_xlfn.IFS(
H66=0,"No Rain",
H66&lt;10,"Light",
H66&lt;50,"Moderate",
TRUE,"Heavy")</f>
        <v>No Rain</v>
      </c>
      <c r="L66" s="1" t="str">
        <f>IF(Table1[[#This Row],[Precipitation_mm]]&lt;&gt;0,"Wet","Dry")</f>
        <v>Dry</v>
      </c>
      <c r="M66" t="b">
        <f>OR(ISBLANK(Table1[[#This Row],[Temperature_F]]),ISERROR(Table1[[#This Row],[Temperature_F]]))</f>
        <v>0</v>
      </c>
    </row>
    <row r="67" spans="1:13" hidden="1" x14ac:dyDescent="0.25">
      <c r="A67" s="1" t="s">
        <v>1</v>
      </c>
      <c r="B67" s="1" t="s">
        <v>2</v>
      </c>
      <c r="C67" s="1">
        <v>42.360599999999998</v>
      </c>
      <c r="D67" s="1">
        <v>-71.010599999999997</v>
      </c>
      <c r="E67" s="5">
        <v>40245</v>
      </c>
      <c r="F67" s="1" t="str">
        <f t="shared" si="1"/>
        <v>March</v>
      </c>
      <c r="G67" s="1">
        <v>22</v>
      </c>
      <c r="H67" s="1">
        <v>0</v>
      </c>
      <c r="I67" s="1" t="str">
        <f>IF(Table1[[#This Row],[Temperature_F]]&lt;32,"Yes","No")</f>
        <v>Yes</v>
      </c>
      <c r="J67" s="1" t="str" cm="1">
        <f t="array" ref="J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7" s="1" t="str" cm="1">
        <f t="array" ref="K67">_xlfn.IFS(
H67=0,"No Rain",
H67&lt;10,"Light",
H67&lt;50,"Moderate",
TRUE,"Heavy")</f>
        <v>No Rain</v>
      </c>
      <c r="L67" s="1" t="str">
        <f>IF(Table1[[#This Row],[Precipitation_mm]]&lt;&gt;0,"Wet","Dry")</f>
        <v>Dry</v>
      </c>
      <c r="M67" t="b">
        <f>OR(ISBLANK(Table1[[#This Row],[Temperature_F]]),ISERROR(Table1[[#This Row],[Temperature_F]]))</f>
        <v>0</v>
      </c>
    </row>
    <row r="68" spans="1:13" hidden="1" x14ac:dyDescent="0.25">
      <c r="A68" s="1" t="s">
        <v>1</v>
      </c>
      <c r="B68" s="1" t="s">
        <v>2</v>
      </c>
      <c r="C68" s="1">
        <v>42.360599999999998</v>
      </c>
      <c r="D68" s="1">
        <v>-71.010599999999997</v>
      </c>
      <c r="E68" s="5">
        <v>40246</v>
      </c>
      <c r="F68" s="1" t="str">
        <f t="shared" si="1"/>
        <v>March</v>
      </c>
      <c r="G68" s="1">
        <v>28</v>
      </c>
      <c r="H68" s="1">
        <v>0</v>
      </c>
      <c r="I68" s="1" t="str">
        <f>IF(Table1[[#This Row],[Temperature_F]]&lt;32,"Yes","No")</f>
        <v>Yes</v>
      </c>
      <c r="J68" s="1" t="str" cm="1">
        <f t="array" ref="J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8" s="1" t="str" cm="1">
        <f t="array" ref="K68">_xlfn.IFS(
H68=0,"No Rain",
H68&lt;10,"Light",
H68&lt;50,"Moderate",
TRUE,"Heavy")</f>
        <v>No Rain</v>
      </c>
      <c r="L68" s="1" t="str">
        <f>IF(Table1[[#This Row],[Precipitation_mm]]&lt;&gt;0,"Wet","Dry")</f>
        <v>Dry</v>
      </c>
      <c r="M68" t="b">
        <f>OR(ISBLANK(Table1[[#This Row],[Temperature_F]]),ISERROR(Table1[[#This Row],[Temperature_F]]))</f>
        <v>0</v>
      </c>
    </row>
    <row r="69" spans="1:13" hidden="1" x14ac:dyDescent="0.25">
      <c r="A69" s="1" t="s">
        <v>1</v>
      </c>
      <c r="B69" s="1" t="s">
        <v>2</v>
      </c>
      <c r="C69" s="1">
        <v>42.360599999999998</v>
      </c>
      <c r="D69" s="1">
        <v>-71.010599999999997</v>
      </c>
      <c r="E69" s="5">
        <v>40247</v>
      </c>
      <c r="F69" s="1" t="str">
        <f t="shared" si="1"/>
        <v>March</v>
      </c>
      <c r="G69" s="1">
        <v>25</v>
      </c>
      <c r="H69" s="1">
        <v>0</v>
      </c>
      <c r="I69" s="1" t="str">
        <f>IF(Table1[[#This Row],[Temperature_F]]&lt;32,"Yes","No")</f>
        <v>Yes</v>
      </c>
      <c r="J69" s="1" t="str" cm="1">
        <f t="array" ref="J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9" s="1" t="str" cm="1">
        <f t="array" ref="K69">_xlfn.IFS(
H69=0,"No Rain",
H69&lt;10,"Light",
H69&lt;50,"Moderate",
TRUE,"Heavy")</f>
        <v>No Rain</v>
      </c>
      <c r="L69" s="1" t="str">
        <f>IF(Table1[[#This Row],[Precipitation_mm]]&lt;&gt;0,"Wet","Dry")</f>
        <v>Dry</v>
      </c>
      <c r="M69" t="b">
        <f>OR(ISBLANK(Table1[[#This Row],[Temperature_F]]),ISERROR(Table1[[#This Row],[Temperature_F]]))</f>
        <v>0</v>
      </c>
    </row>
    <row r="70" spans="1:13" hidden="1" x14ac:dyDescent="0.25">
      <c r="A70" s="1" t="s">
        <v>1</v>
      </c>
      <c r="B70" s="1" t="s">
        <v>2</v>
      </c>
      <c r="C70" s="1">
        <v>42.360599999999998</v>
      </c>
      <c r="D70" s="1">
        <v>-71.010599999999997</v>
      </c>
      <c r="E70" s="5">
        <v>40248</v>
      </c>
      <c r="F70" s="1" t="str">
        <f t="shared" si="1"/>
        <v>March</v>
      </c>
      <c r="G70" s="1">
        <v>12</v>
      </c>
      <c r="H70" s="1">
        <v>20</v>
      </c>
      <c r="I70" s="1" t="str">
        <f>IF(Table1[[#This Row],[Temperature_F]]&lt;32,"Yes","No")</f>
        <v>Yes</v>
      </c>
      <c r="J70" s="1" t="str" cm="1">
        <f t="array" ref="J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" s="1" t="str" cm="1">
        <f t="array" ref="K70">_xlfn.IFS(
H70=0,"No Rain",
H70&lt;10,"Light",
H70&lt;50,"Moderate",
TRUE,"Heavy")</f>
        <v>Moderate</v>
      </c>
      <c r="L70" s="1" t="str">
        <f>IF(Table1[[#This Row],[Precipitation_mm]]&lt;&gt;0,"Wet","Dry")</f>
        <v>Wet</v>
      </c>
      <c r="M70" t="b">
        <f>OR(ISBLANK(Table1[[#This Row],[Temperature_F]]),ISERROR(Table1[[#This Row],[Temperature_F]]))</f>
        <v>0</v>
      </c>
    </row>
    <row r="71" spans="1:13" hidden="1" x14ac:dyDescent="0.25">
      <c r="A71" s="1" t="s">
        <v>1</v>
      </c>
      <c r="B71" s="1" t="s">
        <v>2</v>
      </c>
      <c r="C71" s="1">
        <v>42.360599999999998</v>
      </c>
      <c r="D71" s="1">
        <v>-71.010599999999997</v>
      </c>
      <c r="E71" s="5">
        <v>40249</v>
      </c>
      <c r="F71" s="1" t="str">
        <f t="shared" si="1"/>
        <v>March</v>
      </c>
      <c r="G71" s="1">
        <v>32</v>
      </c>
      <c r="H71" s="1">
        <v>0</v>
      </c>
      <c r="I71" s="1" t="str">
        <f>IF(Table1[[#This Row],[Temperature_F]]&lt;32,"Yes","No")</f>
        <v>No</v>
      </c>
      <c r="J71" s="1" t="str" cm="1">
        <f t="array" ref="J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1" s="1" t="str" cm="1">
        <f t="array" ref="K71">_xlfn.IFS(
H71=0,"No Rain",
H71&lt;10,"Light",
H71&lt;50,"Moderate",
TRUE,"Heavy")</f>
        <v>No Rain</v>
      </c>
      <c r="L71" s="1" t="str">
        <f>IF(Table1[[#This Row],[Precipitation_mm]]&lt;&gt;0,"Wet","Dry")</f>
        <v>Dry</v>
      </c>
      <c r="M71" t="b">
        <f>OR(ISBLANK(Table1[[#This Row],[Temperature_F]]),ISERROR(Table1[[#This Row],[Temperature_F]]))</f>
        <v>0</v>
      </c>
    </row>
    <row r="72" spans="1:13" hidden="1" x14ac:dyDescent="0.25">
      <c r="A72" s="1" t="s">
        <v>1</v>
      </c>
      <c r="B72" s="1" t="s">
        <v>2</v>
      </c>
      <c r="C72" s="1">
        <v>42.360599999999998</v>
      </c>
      <c r="D72" s="1">
        <v>-71.010599999999997</v>
      </c>
      <c r="E72" s="5">
        <v>40250</v>
      </c>
      <c r="F72" s="1" t="str">
        <f t="shared" si="1"/>
        <v>March</v>
      </c>
      <c r="G72" s="1">
        <v>15</v>
      </c>
      <c r="H72" s="1">
        <v>373</v>
      </c>
      <c r="I72" s="1" t="str">
        <f>IF(Table1[[#This Row],[Temperature_F]]&lt;32,"Yes","No")</f>
        <v>Yes</v>
      </c>
      <c r="J72" s="1" t="str" cm="1">
        <f t="array" ref="J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" s="1" t="str" cm="1">
        <f t="array" ref="K72">_xlfn.IFS(
H72=0,"No Rain",
H72&lt;10,"Light",
H72&lt;50,"Moderate",
TRUE,"Heavy")</f>
        <v>Heavy</v>
      </c>
      <c r="L72" s="1" t="str">
        <f>IF(Table1[[#This Row],[Precipitation_mm]]&lt;&gt;0,"Wet","Dry")</f>
        <v>Wet</v>
      </c>
      <c r="M72" t="b">
        <f>OR(ISBLANK(Table1[[#This Row],[Temperature_F]]),ISERROR(Table1[[#This Row],[Temperature_F]]))</f>
        <v>0</v>
      </c>
    </row>
    <row r="73" spans="1:13" hidden="1" x14ac:dyDescent="0.25">
      <c r="A73" s="1" t="s">
        <v>1</v>
      </c>
      <c r="B73" s="1" t="s">
        <v>2</v>
      </c>
      <c r="C73" s="1">
        <v>42.360599999999998</v>
      </c>
      <c r="D73" s="1">
        <v>-71.010599999999997</v>
      </c>
      <c r="E73" s="5">
        <v>40251</v>
      </c>
      <c r="F73" s="1" t="str">
        <f t="shared" si="1"/>
        <v>March</v>
      </c>
      <c r="G73" s="1">
        <v>26</v>
      </c>
      <c r="H73" s="1">
        <v>864</v>
      </c>
      <c r="I73" s="1" t="str">
        <f>IF(Table1[[#This Row],[Temperature_F]]&lt;32,"Yes","No")</f>
        <v>Yes</v>
      </c>
      <c r="J73" s="1" t="str" cm="1">
        <f t="array" ref="J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" s="1" t="str" cm="1">
        <f t="array" ref="K73">_xlfn.IFS(
H73=0,"No Rain",
H73&lt;10,"Light",
H73&lt;50,"Moderate",
TRUE,"Heavy")</f>
        <v>Heavy</v>
      </c>
      <c r="L73" s="1" t="str">
        <f>IF(Table1[[#This Row],[Precipitation_mm]]&lt;&gt;0,"Wet","Dry")</f>
        <v>Wet</v>
      </c>
      <c r="M73" t="b">
        <f>OR(ISBLANK(Table1[[#This Row],[Temperature_F]]),ISERROR(Table1[[#This Row],[Temperature_F]]))</f>
        <v>0</v>
      </c>
    </row>
    <row r="74" spans="1:13" x14ac:dyDescent="0.25">
      <c r="A74" s="1" t="s">
        <v>1</v>
      </c>
      <c r="B74" s="1" t="s">
        <v>2</v>
      </c>
      <c r="C74" s="1">
        <v>42.360599999999998</v>
      </c>
      <c r="D74" s="1">
        <v>-71.010599999999997</v>
      </c>
      <c r="E74" s="5">
        <v>40252</v>
      </c>
      <c r="F74" s="1" t="str">
        <f t="shared" si="1"/>
        <v>March</v>
      </c>
      <c r="G74" s="1">
        <v>35</v>
      </c>
      <c r="H74" s="1">
        <v>536</v>
      </c>
      <c r="I74" s="1" t="str">
        <f>IF(Table1[[#This Row],[Temperature_F]]&lt;32,"Yes","No")</f>
        <v>No</v>
      </c>
      <c r="J74" s="1" t="str" cm="1">
        <f t="array" ref="J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4" s="1" t="str" cm="1">
        <f t="array" ref="K74">_xlfn.IFS(
H74=0,"No Rain",
H74&lt;10,"Light",
H74&lt;50,"Moderate",
TRUE,"Heavy")</f>
        <v>Heavy</v>
      </c>
      <c r="L74" s="1" t="str">
        <f>IF(Table1[[#This Row],[Precipitation_mm]]&lt;&gt;0,"Wet","Dry")</f>
        <v>Wet</v>
      </c>
      <c r="M74" t="b">
        <f>OR(ISBLANK(Table1[[#This Row],[Temperature_F]]),ISERROR(Table1[[#This Row],[Temperature_F]]))</f>
        <v>0</v>
      </c>
    </row>
    <row r="75" spans="1:13" hidden="1" x14ac:dyDescent="0.25">
      <c r="A75" s="1" t="s">
        <v>1</v>
      </c>
      <c r="B75" s="1" t="s">
        <v>2</v>
      </c>
      <c r="C75" s="1">
        <v>42.360599999999998</v>
      </c>
      <c r="D75" s="1">
        <v>-71.010599999999997</v>
      </c>
      <c r="E75" s="5">
        <v>40253</v>
      </c>
      <c r="F75" s="1" t="str">
        <f t="shared" si="1"/>
        <v>March</v>
      </c>
      <c r="G75" s="1">
        <v>12</v>
      </c>
      <c r="H75" s="1">
        <v>0</v>
      </c>
      <c r="I75" s="1" t="str">
        <f>IF(Table1[[#This Row],[Temperature_F]]&lt;32,"Yes","No")</f>
        <v>Yes</v>
      </c>
      <c r="J75" s="1" t="str" cm="1">
        <f t="array" ref="J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5" s="1" t="str" cm="1">
        <f t="array" ref="K75">_xlfn.IFS(
H75=0,"No Rain",
H75&lt;10,"Light",
H75&lt;50,"Moderate",
TRUE,"Heavy")</f>
        <v>No Rain</v>
      </c>
      <c r="L75" s="1" t="str">
        <f>IF(Table1[[#This Row],[Precipitation_mm]]&lt;&gt;0,"Wet","Dry")</f>
        <v>Dry</v>
      </c>
      <c r="M75" t="b">
        <f>OR(ISBLANK(Table1[[#This Row],[Temperature_F]]),ISERROR(Table1[[#This Row],[Temperature_F]]))</f>
        <v>0</v>
      </c>
    </row>
    <row r="76" spans="1:13" hidden="1" x14ac:dyDescent="0.25">
      <c r="A76" s="1" t="s">
        <v>1</v>
      </c>
      <c r="B76" s="1" t="s">
        <v>2</v>
      </c>
      <c r="C76" s="1">
        <v>42.360599999999998</v>
      </c>
      <c r="D76" s="1">
        <v>-71.010599999999997</v>
      </c>
      <c r="E76" s="5">
        <v>40254</v>
      </c>
      <c r="F76" s="1" t="str">
        <f t="shared" si="1"/>
        <v>March</v>
      </c>
      <c r="G76" s="1">
        <v>16</v>
      </c>
      <c r="H76" s="1">
        <v>0</v>
      </c>
      <c r="I76" s="1" t="str">
        <f>IF(Table1[[#This Row],[Temperature_F]]&lt;32,"Yes","No")</f>
        <v>Yes</v>
      </c>
      <c r="J76" s="1" t="str" cm="1">
        <f t="array" ref="J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" s="1" t="str" cm="1">
        <f t="array" ref="K76">_xlfn.IFS(
H76=0,"No Rain",
H76&lt;10,"Light",
H76&lt;50,"Moderate",
TRUE,"Heavy")</f>
        <v>No Rain</v>
      </c>
      <c r="L76" s="1" t="str">
        <f>IF(Table1[[#This Row],[Precipitation_mm]]&lt;&gt;0,"Wet","Dry")</f>
        <v>Dry</v>
      </c>
      <c r="M76" t="b">
        <f>OR(ISBLANK(Table1[[#This Row],[Temperature_F]]),ISERROR(Table1[[#This Row],[Temperature_F]]))</f>
        <v>0</v>
      </c>
    </row>
    <row r="77" spans="1:13" x14ac:dyDescent="0.25">
      <c r="A77" s="1" t="s">
        <v>1</v>
      </c>
      <c r="B77" s="1" t="s">
        <v>2</v>
      </c>
      <c r="C77" s="1">
        <v>42.360599999999998</v>
      </c>
      <c r="D77" s="1">
        <v>-71.010599999999997</v>
      </c>
      <c r="E77" s="5">
        <v>40255</v>
      </c>
      <c r="F77" s="1" t="str">
        <f t="shared" si="1"/>
        <v>March</v>
      </c>
      <c r="G77" s="1">
        <v>36</v>
      </c>
      <c r="H77" s="1">
        <v>0</v>
      </c>
      <c r="I77" s="1" t="str">
        <f>IF(Table1[[#This Row],[Temperature_F]]&lt;32,"Yes","No")</f>
        <v>No</v>
      </c>
      <c r="J77" s="1" t="str" cm="1">
        <f t="array" ref="J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7" s="1" t="str" cm="1">
        <f t="array" ref="K77">_xlfn.IFS(
H77=0,"No Rain",
H77&lt;10,"Light",
H77&lt;50,"Moderate",
TRUE,"Heavy")</f>
        <v>No Rain</v>
      </c>
      <c r="L77" s="1" t="str">
        <f>IF(Table1[[#This Row],[Precipitation_mm]]&lt;&gt;0,"Wet","Dry")</f>
        <v>Dry</v>
      </c>
      <c r="M77" t="b">
        <f>OR(ISBLANK(Table1[[#This Row],[Temperature_F]]),ISERROR(Table1[[#This Row],[Temperature_F]]))</f>
        <v>0</v>
      </c>
    </row>
    <row r="78" spans="1:13" x14ac:dyDescent="0.25">
      <c r="A78" s="1" t="s">
        <v>1</v>
      </c>
      <c r="B78" s="1" t="s">
        <v>2</v>
      </c>
      <c r="C78" s="1">
        <v>42.360599999999998</v>
      </c>
      <c r="D78" s="1">
        <v>-71.010599999999997</v>
      </c>
      <c r="E78" s="5">
        <v>40256</v>
      </c>
      <c r="F78" s="1" t="str">
        <f t="shared" si="1"/>
        <v>March</v>
      </c>
      <c r="G78" s="1">
        <v>33</v>
      </c>
      <c r="H78" s="1">
        <v>0</v>
      </c>
      <c r="I78" s="1" t="str">
        <f>IF(Table1[[#This Row],[Temperature_F]]&lt;32,"Yes","No")</f>
        <v>No</v>
      </c>
      <c r="J78" s="1" t="str" cm="1">
        <f t="array" ref="J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" s="1" t="str" cm="1">
        <f t="array" ref="K78">_xlfn.IFS(
H78=0,"No Rain",
H78&lt;10,"Light",
H78&lt;50,"Moderate",
TRUE,"Heavy")</f>
        <v>No Rain</v>
      </c>
      <c r="L78" s="1" t="str">
        <f>IF(Table1[[#This Row],[Precipitation_mm]]&lt;&gt;0,"Wet","Dry")</f>
        <v>Dry</v>
      </c>
      <c r="M78" t="b">
        <f>OR(ISBLANK(Table1[[#This Row],[Temperature_F]]),ISERROR(Table1[[#This Row],[Temperature_F]]))</f>
        <v>0</v>
      </c>
    </row>
    <row r="79" spans="1:13" hidden="1" x14ac:dyDescent="0.25">
      <c r="A79" s="1" t="s">
        <v>1</v>
      </c>
      <c r="B79" s="1" t="s">
        <v>2</v>
      </c>
      <c r="C79" s="1">
        <v>42.360599999999998</v>
      </c>
      <c r="D79" s="1">
        <v>-71.010599999999997</v>
      </c>
      <c r="E79" s="5">
        <v>40257</v>
      </c>
      <c r="F79" s="1" t="str">
        <f t="shared" si="1"/>
        <v>March</v>
      </c>
      <c r="G79" s="1">
        <v>24</v>
      </c>
      <c r="H79" s="1">
        <v>0</v>
      </c>
      <c r="I79" s="1" t="str">
        <f>IF(Table1[[#This Row],[Temperature_F]]&lt;32,"Yes","No")</f>
        <v>Yes</v>
      </c>
      <c r="J79" s="1" t="str" cm="1">
        <f t="array" ref="J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9" s="1" t="str" cm="1">
        <f t="array" ref="K79">_xlfn.IFS(
H79=0,"No Rain",
H79&lt;10,"Light",
H79&lt;50,"Moderate",
TRUE,"Heavy")</f>
        <v>No Rain</v>
      </c>
      <c r="L79" s="1" t="str">
        <f>IF(Table1[[#This Row],[Precipitation_mm]]&lt;&gt;0,"Wet","Dry")</f>
        <v>Dry</v>
      </c>
      <c r="M79" t="b">
        <f>OR(ISBLANK(Table1[[#This Row],[Temperature_F]]),ISERROR(Table1[[#This Row],[Temperature_F]]))</f>
        <v>0</v>
      </c>
    </row>
    <row r="80" spans="1:13" hidden="1" x14ac:dyDescent="0.25">
      <c r="A80" s="1" t="s">
        <v>1</v>
      </c>
      <c r="B80" s="1" t="s">
        <v>2</v>
      </c>
      <c r="C80" s="1">
        <v>42.360599999999998</v>
      </c>
      <c r="D80" s="1">
        <v>-71.010599999999997</v>
      </c>
      <c r="E80" s="5">
        <v>40258</v>
      </c>
      <c r="F80" s="1" t="str">
        <f t="shared" si="1"/>
        <v>March</v>
      </c>
      <c r="G80" s="1">
        <v>24</v>
      </c>
      <c r="H80" s="1">
        <v>0</v>
      </c>
      <c r="I80" s="1" t="str">
        <f>IF(Table1[[#This Row],[Temperature_F]]&lt;32,"Yes","No")</f>
        <v>Yes</v>
      </c>
      <c r="J80" s="1" t="str" cm="1">
        <f t="array" ref="J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" s="1" t="str" cm="1">
        <f t="array" ref="K80">_xlfn.IFS(
H80=0,"No Rain",
H80&lt;10,"Light",
H80&lt;50,"Moderate",
TRUE,"Heavy")</f>
        <v>No Rain</v>
      </c>
      <c r="L80" s="1" t="str">
        <f>IF(Table1[[#This Row],[Precipitation_mm]]&lt;&gt;0,"Wet","Dry")</f>
        <v>Dry</v>
      </c>
      <c r="M80" t="b">
        <f>OR(ISBLANK(Table1[[#This Row],[Temperature_F]]),ISERROR(Table1[[#This Row],[Temperature_F]]))</f>
        <v>0</v>
      </c>
    </row>
    <row r="81" spans="1:13" hidden="1" x14ac:dyDescent="0.25">
      <c r="A81" s="1" t="s">
        <v>1</v>
      </c>
      <c r="B81" s="1" t="s">
        <v>2</v>
      </c>
      <c r="C81" s="1">
        <v>42.360599999999998</v>
      </c>
      <c r="D81" s="1">
        <v>-71.010599999999997</v>
      </c>
      <c r="E81" s="5">
        <v>40259</v>
      </c>
      <c r="F81" s="1" t="str">
        <f t="shared" si="1"/>
        <v>March</v>
      </c>
      <c r="G81" s="1">
        <v>19</v>
      </c>
      <c r="H81" s="1">
        <v>20</v>
      </c>
      <c r="I81" s="1" t="str">
        <f>IF(Table1[[#This Row],[Temperature_F]]&lt;32,"Yes","No")</f>
        <v>Yes</v>
      </c>
      <c r="J81" s="1" t="str" cm="1">
        <f t="array" ref="J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1" s="1" t="str" cm="1">
        <f t="array" ref="K81">_xlfn.IFS(
H81=0,"No Rain",
H81&lt;10,"Light",
H81&lt;50,"Moderate",
TRUE,"Heavy")</f>
        <v>Moderate</v>
      </c>
      <c r="L81" s="1" t="str">
        <f>IF(Table1[[#This Row],[Precipitation_mm]]&lt;&gt;0,"Wet","Dry")</f>
        <v>Wet</v>
      </c>
      <c r="M81" t="b">
        <f>OR(ISBLANK(Table1[[#This Row],[Temperature_F]]),ISERROR(Table1[[#This Row],[Temperature_F]]))</f>
        <v>0</v>
      </c>
    </row>
    <row r="82" spans="1:13" x14ac:dyDescent="0.25">
      <c r="A82" s="1" t="s">
        <v>1</v>
      </c>
      <c r="B82" s="1" t="s">
        <v>2</v>
      </c>
      <c r="C82" s="1">
        <v>42.360599999999998</v>
      </c>
      <c r="D82" s="1">
        <v>-71.010599999999997</v>
      </c>
      <c r="E82" s="5">
        <v>40260</v>
      </c>
      <c r="F82" s="1" t="str">
        <f t="shared" si="1"/>
        <v>March</v>
      </c>
      <c r="G82" s="1">
        <v>35</v>
      </c>
      <c r="H82" s="1">
        <v>564</v>
      </c>
      <c r="I82" s="1" t="str">
        <f>IF(Table1[[#This Row],[Temperature_F]]&lt;32,"Yes","No")</f>
        <v>No</v>
      </c>
      <c r="J82" s="1" t="str" cm="1">
        <f t="array" ref="J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2" s="1" t="str" cm="1">
        <f t="array" ref="K82">_xlfn.IFS(
H82=0,"No Rain",
H82&lt;10,"Light",
H82&lt;50,"Moderate",
TRUE,"Heavy")</f>
        <v>Heavy</v>
      </c>
      <c r="L82" s="1" t="str">
        <f>IF(Table1[[#This Row],[Precipitation_mm]]&lt;&gt;0,"Wet","Dry")</f>
        <v>Wet</v>
      </c>
      <c r="M82" t="b">
        <f>OR(ISBLANK(Table1[[#This Row],[Temperature_F]]),ISERROR(Table1[[#This Row],[Temperature_F]]))</f>
        <v>0</v>
      </c>
    </row>
    <row r="83" spans="1:13" hidden="1" x14ac:dyDescent="0.25">
      <c r="A83" s="1" t="s">
        <v>1</v>
      </c>
      <c r="B83" s="1" t="s">
        <v>2</v>
      </c>
      <c r="C83" s="1">
        <v>42.360599999999998</v>
      </c>
      <c r="D83" s="1">
        <v>-71.010599999999997</v>
      </c>
      <c r="E83" s="5">
        <v>40261</v>
      </c>
      <c r="F83" s="1" t="str">
        <f t="shared" si="1"/>
        <v>March</v>
      </c>
      <c r="G83" s="1">
        <v>18</v>
      </c>
      <c r="H83" s="1">
        <v>5</v>
      </c>
      <c r="I83" s="1" t="str">
        <f>IF(Table1[[#This Row],[Temperature_F]]&lt;32,"Yes","No")</f>
        <v>Yes</v>
      </c>
      <c r="J83" s="1" t="str" cm="1">
        <f t="array" ref="J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3" s="1" t="str" cm="1">
        <f t="array" ref="K83">_xlfn.IFS(
H83=0,"No Rain",
H83&lt;10,"Light",
H83&lt;50,"Moderate",
TRUE,"Heavy")</f>
        <v>Light</v>
      </c>
      <c r="L83" s="1" t="str">
        <f>IF(Table1[[#This Row],[Precipitation_mm]]&lt;&gt;0,"Wet","Dry")</f>
        <v>Wet</v>
      </c>
      <c r="M83" t="b">
        <f>OR(ISBLANK(Table1[[#This Row],[Temperature_F]]),ISERROR(Table1[[#This Row],[Temperature_F]]))</f>
        <v>0</v>
      </c>
    </row>
    <row r="84" spans="1:13" hidden="1" x14ac:dyDescent="0.25">
      <c r="A84" s="1" t="s">
        <v>1</v>
      </c>
      <c r="B84" s="1" t="s">
        <v>2</v>
      </c>
      <c r="C84" s="1">
        <v>42.360599999999998</v>
      </c>
      <c r="D84" s="1">
        <v>-71.010599999999997</v>
      </c>
      <c r="E84" s="5">
        <v>40262</v>
      </c>
      <c r="F84" s="1" t="str">
        <f t="shared" si="1"/>
        <v>March</v>
      </c>
      <c r="G84" s="1">
        <v>31</v>
      </c>
      <c r="H84" s="1">
        <v>0</v>
      </c>
      <c r="I84" s="1" t="str">
        <f>IF(Table1[[#This Row],[Temperature_F]]&lt;32,"Yes","No")</f>
        <v>Yes</v>
      </c>
      <c r="J84" s="1" t="str" cm="1">
        <f t="array" ref="J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4" s="1" t="str" cm="1">
        <f t="array" ref="K84">_xlfn.IFS(
H84=0,"No Rain",
H84&lt;10,"Light",
H84&lt;50,"Moderate",
TRUE,"Heavy")</f>
        <v>No Rain</v>
      </c>
      <c r="L84" s="1" t="str">
        <f>IF(Table1[[#This Row],[Precipitation_mm]]&lt;&gt;0,"Wet","Dry")</f>
        <v>Dry</v>
      </c>
      <c r="M84" t="b">
        <f>OR(ISBLANK(Table1[[#This Row],[Temperature_F]]),ISERROR(Table1[[#This Row],[Temperature_F]]))</f>
        <v>0</v>
      </c>
    </row>
    <row r="85" spans="1:13" x14ac:dyDescent="0.25">
      <c r="A85" s="1" t="s">
        <v>1</v>
      </c>
      <c r="B85" s="1" t="s">
        <v>2</v>
      </c>
      <c r="C85" s="1">
        <v>42.360599999999998</v>
      </c>
      <c r="D85" s="1">
        <v>-71.010599999999997</v>
      </c>
      <c r="E85" s="5">
        <v>40263</v>
      </c>
      <c r="F85" s="1" t="str">
        <f t="shared" si="1"/>
        <v>March</v>
      </c>
      <c r="G85" s="1">
        <v>34</v>
      </c>
      <c r="H85" s="1">
        <v>43</v>
      </c>
      <c r="I85" s="1" t="str">
        <f>IF(Table1[[#This Row],[Temperature_F]]&lt;32,"Yes","No")</f>
        <v>No</v>
      </c>
      <c r="J85" s="1" t="str" cm="1">
        <f t="array" ref="J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5" s="1" t="str" cm="1">
        <f t="array" ref="K85">_xlfn.IFS(
H85=0,"No Rain",
H85&lt;10,"Light",
H85&lt;50,"Moderate",
TRUE,"Heavy")</f>
        <v>Moderate</v>
      </c>
      <c r="L85" s="1" t="str">
        <f>IF(Table1[[#This Row],[Precipitation_mm]]&lt;&gt;0,"Wet","Dry")</f>
        <v>Wet</v>
      </c>
      <c r="M85" t="b">
        <f>OR(ISBLANK(Table1[[#This Row],[Temperature_F]]),ISERROR(Table1[[#This Row],[Temperature_F]]))</f>
        <v>0</v>
      </c>
    </row>
    <row r="86" spans="1:13" x14ac:dyDescent="0.25">
      <c r="A86" s="1" t="s">
        <v>1</v>
      </c>
      <c r="B86" s="1" t="s">
        <v>2</v>
      </c>
      <c r="C86" s="1">
        <v>42.360599999999998</v>
      </c>
      <c r="D86" s="1">
        <v>-71.010599999999997</v>
      </c>
      <c r="E86" s="5">
        <v>40264</v>
      </c>
      <c r="F86" s="1" t="str">
        <f t="shared" si="1"/>
        <v>March</v>
      </c>
      <c r="G86" s="1">
        <v>44</v>
      </c>
      <c r="H86" s="1">
        <v>0</v>
      </c>
      <c r="I86" s="1" t="str">
        <f>IF(Table1[[#This Row],[Temperature_F]]&lt;32,"Yes","No")</f>
        <v>No</v>
      </c>
      <c r="J86" s="1" t="str" cm="1">
        <f t="array" ref="J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6" s="1" t="str" cm="1">
        <f t="array" ref="K86">_xlfn.IFS(
H86=0,"No Rain",
H86&lt;10,"Light",
H86&lt;50,"Moderate",
TRUE,"Heavy")</f>
        <v>No Rain</v>
      </c>
      <c r="L86" s="1" t="str">
        <f>IF(Table1[[#This Row],[Precipitation_mm]]&lt;&gt;0,"Wet","Dry")</f>
        <v>Dry</v>
      </c>
      <c r="M86" t="b">
        <f>OR(ISBLANK(Table1[[#This Row],[Temperature_F]]),ISERROR(Table1[[#This Row],[Temperature_F]]))</f>
        <v>0</v>
      </c>
    </row>
    <row r="87" spans="1:13" hidden="1" x14ac:dyDescent="0.25">
      <c r="A87" s="1" t="s">
        <v>1</v>
      </c>
      <c r="B87" s="1" t="s">
        <v>2</v>
      </c>
      <c r="C87" s="1">
        <v>42.360599999999998</v>
      </c>
      <c r="D87" s="1">
        <v>-71.010599999999997</v>
      </c>
      <c r="E87" s="5">
        <v>40265</v>
      </c>
      <c r="F87" s="1" t="str">
        <f t="shared" si="1"/>
        <v>March</v>
      </c>
      <c r="G87" s="1">
        <v>15</v>
      </c>
      <c r="H87" s="1">
        <v>0</v>
      </c>
      <c r="I87" s="1" t="str">
        <f>IF(Table1[[#This Row],[Temperature_F]]&lt;32,"Yes","No")</f>
        <v>Yes</v>
      </c>
      <c r="J87" s="1" t="str" cm="1">
        <f t="array" ref="J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7" s="1" t="str" cm="1">
        <f t="array" ref="K87">_xlfn.IFS(
H87=0,"No Rain",
H87&lt;10,"Light",
H87&lt;50,"Moderate",
TRUE,"Heavy")</f>
        <v>No Rain</v>
      </c>
      <c r="L87" s="1" t="str">
        <f>IF(Table1[[#This Row],[Precipitation_mm]]&lt;&gt;0,"Wet","Dry")</f>
        <v>Dry</v>
      </c>
      <c r="M87" t="b">
        <f>OR(ISBLANK(Table1[[#This Row],[Temperature_F]]),ISERROR(Table1[[#This Row],[Temperature_F]]))</f>
        <v>0</v>
      </c>
    </row>
    <row r="88" spans="1:13" hidden="1" x14ac:dyDescent="0.25">
      <c r="A88" s="1" t="s">
        <v>1</v>
      </c>
      <c r="B88" s="1" t="s">
        <v>2</v>
      </c>
      <c r="C88" s="1">
        <v>42.360599999999998</v>
      </c>
      <c r="D88" s="1">
        <v>-71.010599999999997</v>
      </c>
      <c r="E88" s="5">
        <v>40266</v>
      </c>
      <c r="F88" s="1" t="str">
        <f t="shared" si="1"/>
        <v>March</v>
      </c>
      <c r="G88" s="1">
        <v>25</v>
      </c>
      <c r="H88" s="1">
        <v>498</v>
      </c>
      <c r="I88" s="1" t="str">
        <f>IF(Table1[[#This Row],[Temperature_F]]&lt;32,"Yes","No")</f>
        <v>Yes</v>
      </c>
      <c r="J88" s="1" t="str" cm="1">
        <f t="array" ref="J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8" s="1" t="str" cm="1">
        <f t="array" ref="K88">_xlfn.IFS(
H88=0,"No Rain",
H88&lt;10,"Light",
H88&lt;50,"Moderate",
TRUE,"Heavy")</f>
        <v>Heavy</v>
      </c>
      <c r="L88" s="1" t="str">
        <f>IF(Table1[[#This Row],[Precipitation_mm]]&lt;&gt;0,"Wet","Dry")</f>
        <v>Wet</v>
      </c>
      <c r="M88" t="b">
        <f>OR(ISBLANK(Table1[[#This Row],[Temperature_F]]),ISERROR(Table1[[#This Row],[Temperature_F]]))</f>
        <v>0</v>
      </c>
    </row>
    <row r="89" spans="1:13" hidden="1" x14ac:dyDescent="0.25">
      <c r="A89" s="1" t="s">
        <v>1</v>
      </c>
      <c r="B89" s="1" t="s">
        <v>2</v>
      </c>
      <c r="C89" s="1">
        <v>42.360599999999998</v>
      </c>
      <c r="D89" s="1">
        <v>-71.010599999999997</v>
      </c>
      <c r="E89" s="5">
        <v>40267</v>
      </c>
      <c r="F89" s="1" t="str">
        <f t="shared" si="1"/>
        <v>March</v>
      </c>
      <c r="G89" s="1">
        <v>32</v>
      </c>
      <c r="H89" s="1">
        <v>744</v>
      </c>
      <c r="I89" s="1" t="str">
        <f>IF(Table1[[#This Row],[Temperature_F]]&lt;32,"Yes","No")</f>
        <v>No</v>
      </c>
      <c r="J89" s="1" t="str" cm="1">
        <f t="array" ref="J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9" s="1" t="str" cm="1">
        <f t="array" ref="K89">_xlfn.IFS(
H89=0,"No Rain",
H89&lt;10,"Light",
H89&lt;50,"Moderate",
TRUE,"Heavy")</f>
        <v>Heavy</v>
      </c>
      <c r="L89" s="1" t="str">
        <f>IF(Table1[[#This Row],[Precipitation_mm]]&lt;&gt;0,"Wet","Dry")</f>
        <v>Wet</v>
      </c>
      <c r="M89" t="b">
        <f>OR(ISBLANK(Table1[[#This Row],[Temperature_F]]),ISERROR(Table1[[#This Row],[Temperature_F]]))</f>
        <v>0</v>
      </c>
    </row>
    <row r="90" spans="1:13" hidden="1" x14ac:dyDescent="0.25">
      <c r="A90" s="1" t="s">
        <v>1</v>
      </c>
      <c r="B90" s="1" t="s">
        <v>2</v>
      </c>
      <c r="C90" s="1">
        <v>42.360599999999998</v>
      </c>
      <c r="D90" s="1">
        <v>-71.010599999999997</v>
      </c>
      <c r="E90" s="5">
        <v>40268</v>
      </c>
      <c r="F90" s="1" t="str">
        <f t="shared" si="1"/>
        <v>March</v>
      </c>
      <c r="G90" s="1">
        <v>32</v>
      </c>
      <c r="H90" s="1">
        <v>10</v>
      </c>
      <c r="I90" s="1" t="str">
        <f>IF(Table1[[#This Row],[Temperature_F]]&lt;32,"Yes","No")</f>
        <v>No</v>
      </c>
      <c r="J90" s="1" t="str" cm="1">
        <f t="array" ref="J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90" s="1" t="str" cm="1">
        <f t="array" ref="K90">_xlfn.IFS(
H90=0,"No Rain",
H90&lt;10,"Light",
H90&lt;50,"Moderate",
TRUE,"Heavy")</f>
        <v>Moderate</v>
      </c>
      <c r="L90" s="1" t="str">
        <f>IF(Table1[[#This Row],[Precipitation_mm]]&lt;&gt;0,"Wet","Dry")</f>
        <v>Wet</v>
      </c>
      <c r="M90" t="b">
        <f>OR(ISBLANK(Table1[[#This Row],[Temperature_F]]),ISERROR(Table1[[#This Row],[Temperature_F]]))</f>
        <v>0</v>
      </c>
    </row>
    <row r="91" spans="1:13" x14ac:dyDescent="0.25">
      <c r="A91" s="1" t="s">
        <v>1</v>
      </c>
      <c r="B91" s="1" t="s">
        <v>2</v>
      </c>
      <c r="C91" s="1">
        <v>42.360599999999998</v>
      </c>
      <c r="D91" s="1">
        <v>-71.010599999999997</v>
      </c>
      <c r="E91" s="5">
        <v>40269</v>
      </c>
      <c r="F91" s="1" t="str">
        <f t="shared" si="1"/>
        <v>April</v>
      </c>
      <c r="G91" s="1">
        <v>49</v>
      </c>
      <c r="H91" s="1">
        <v>0</v>
      </c>
      <c r="I91" s="1" t="str">
        <f>IF(Table1[[#This Row],[Temperature_F]]&lt;32,"Yes","No")</f>
        <v>No</v>
      </c>
      <c r="J91" s="1" t="str" cm="1">
        <f t="array" ref="J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1" s="1" t="str" cm="1">
        <f t="array" ref="K91">_xlfn.IFS(
H91=0,"No Rain",
H91&lt;10,"Light",
H91&lt;50,"Moderate",
TRUE,"Heavy")</f>
        <v>No Rain</v>
      </c>
      <c r="L91" s="1" t="str">
        <f>IF(Table1[[#This Row],[Precipitation_mm]]&lt;&gt;0,"Wet","Dry")</f>
        <v>Dry</v>
      </c>
      <c r="M91" t="b">
        <f>OR(ISBLANK(Table1[[#This Row],[Temperature_F]]),ISERROR(Table1[[#This Row],[Temperature_F]]))</f>
        <v>0</v>
      </c>
    </row>
    <row r="92" spans="1:13" x14ac:dyDescent="0.25">
      <c r="A92" s="1" t="s">
        <v>1</v>
      </c>
      <c r="B92" s="1" t="s">
        <v>2</v>
      </c>
      <c r="C92" s="1">
        <v>42.360599999999998</v>
      </c>
      <c r="D92" s="1">
        <v>-71.010599999999997</v>
      </c>
      <c r="E92" s="5">
        <v>40270</v>
      </c>
      <c r="F92" s="1" t="str">
        <f t="shared" si="1"/>
        <v>April</v>
      </c>
      <c r="G92" s="1">
        <v>41</v>
      </c>
      <c r="H92" s="1">
        <v>0</v>
      </c>
      <c r="I92" s="1" t="str">
        <f>IF(Table1[[#This Row],[Temperature_F]]&lt;32,"Yes","No")</f>
        <v>No</v>
      </c>
      <c r="J92" s="1" t="str" cm="1">
        <f t="array" ref="J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2" s="1" t="str" cm="1">
        <f t="array" ref="K92">_xlfn.IFS(
H92=0,"No Rain",
H92&lt;10,"Light",
H92&lt;50,"Moderate",
TRUE,"Heavy")</f>
        <v>No Rain</v>
      </c>
      <c r="L92" s="1" t="str">
        <f>IF(Table1[[#This Row],[Precipitation_mm]]&lt;&gt;0,"Wet","Dry")</f>
        <v>Dry</v>
      </c>
      <c r="M92" t="b">
        <f>OR(ISBLANK(Table1[[#This Row],[Temperature_F]]),ISERROR(Table1[[#This Row],[Temperature_F]]))</f>
        <v>0</v>
      </c>
    </row>
    <row r="93" spans="1:13" hidden="1" x14ac:dyDescent="0.25">
      <c r="A93" s="1" t="s">
        <v>1</v>
      </c>
      <c r="B93" s="1" t="s">
        <v>2</v>
      </c>
      <c r="C93" s="1">
        <v>42.360599999999998</v>
      </c>
      <c r="D93" s="1">
        <v>-71.010599999999997</v>
      </c>
      <c r="E93" s="5">
        <v>40271</v>
      </c>
      <c r="F93" s="1" t="str">
        <f t="shared" si="1"/>
        <v>April</v>
      </c>
      <c r="G93" s="1">
        <v>52</v>
      </c>
      <c r="H93" s="1">
        <v>0</v>
      </c>
      <c r="I93" s="1" t="str">
        <f>IF(Table1[[#This Row],[Temperature_F]]&lt;32,"Yes","No")</f>
        <v>No</v>
      </c>
      <c r="J93" s="1" t="str" cm="1">
        <f t="array" ref="J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3" s="1" t="str" cm="1">
        <f t="array" ref="K93">_xlfn.IFS(
H93=0,"No Rain",
H93&lt;10,"Light",
H93&lt;50,"Moderate",
TRUE,"Heavy")</f>
        <v>No Rain</v>
      </c>
      <c r="L93" s="1" t="str">
        <f>IF(Table1[[#This Row],[Precipitation_mm]]&lt;&gt;0,"Wet","Dry")</f>
        <v>Dry</v>
      </c>
      <c r="M93" t="b">
        <f>OR(ISBLANK(Table1[[#This Row],[Temperature_F]]),ISERROR(Table1[[#This Row],[Temperature_F]]))</f>
        <v>0</v>
      </c>
    </row>
    <row r="94" spans="1:13" hidden="1" x14ac:dyDescent="0.25">
      <c r="A94" s="1" t="s">
        <v>1</v>
      </c>
      <c r="B94" s="1" t="s">
        <v>2</v>
      </c>
      <c r="C94" s="1">
        <v>42.360599999999998</v>
      </c>
      <c r="D94" s="1">
        <v>-71.010599999999997</v>
      </c>
      <c r="E94" s="5">
        <v>40274</v>
      </c>
      <c r="F94" s="1" t="str">
        <f t="shared" si="1"/>
        <v>April</v>
      </c>
      <c r="G94" s="1">
        <v>52</v>
      </c>
      <c r="H94" s="1">
        <v>0</v>
      </c>
      <c r="I94" s="1" t="str">
        <f>IF(Table1[[#This Row],[Temperature_F]]&lt;32,"Yes","No")</f>
        <v>No</v>
      </c>
      <c r="J94" s="1" t="str" cm="1">
        <f t="array" ref="J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4" s="1" t="str" cm="1">
        <f t="array" ref="K94">_xlfn.IFS(
H94=0,"No Rain",
H94&lt;10,"Light",
H94&lt;50,"Moderate",
TRUE,"Heavy")</f>
        <v>No Rain</v>
      </c>
      <c r="L94" s="1" t="str">
        <f>IF(Table1[[#This Row],[Precipitation_mm]]&lt;&gt;0,"Wet","Dry")</f>
        <v>Dry</v>
      </c>
      <c r="M94" t="b">
        <f>OR(ISBLANK(Table1[[#This Row],[Temperature_F]]),ISERROR(Table1[[#This Row],[Temperature_F]]))</f>
        <v>0</v>
      </c>
    </row>
    <row r="95" spans="1:13" hidden="1" x14ac:dyDescent="0.25">
      <c r="A95" s="1" t="s">
        <v>1</v>
      </c>
      <c r="B95" s="1" t="s">
        <v>2</v>
      </c>
      <c r="C95" s="1">
        <v>42.360599999999998</v>
      </c>
      <c r="D95" s="1">
        <v>-71.010599999999997</v>
      </c>
      <c r="E95" s="5">
        <v>40275</v>
      </c>
      <c r="F95" s="1" t="str">
        <f t="shared" si="1"/>
        <v>April</v>
      </c>
      <c r="G95" s="1">
        <v>58</v>
      </c>
      <c r="H95" s="1">
        <v>0</v>
      </c>
      <c r="I95" s="1" t="str">
        <f>IF(Table1[[#This Row],[Temperature_F]]&lt;32,"Yes","No")</f>
        <v>No</v>
      </c>
      <c r="J95" s="1" t="str" cm="1">
        <f t="array" ref="J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5" s="1" t="str" cm="1">
        <f t="array" ref="K95">_xlfn.IFS(
H95=0,"No Rain",
H95&lt;10,"Light",
H95&lt;50,"Moderate",
TRUE,"Heavy")</f>
        <v>No Rain</v>
      </c>
      <c r="L95" s="1" t="str">
        <f>IF(Table1[[#This Row],[Precipitation_mm]]&lt;&gt;0,"Wet","Dry")</f>
        <v>Dry</v>
      </c>
      <c r="M95" t="b">
        <f>OR(ISBLANK(Table1[[#This Row],[Temperature_F]]),ISERROR(Table1[[#This Row],[Temperature_F]]))</f>
        <v>0</v>
      </c>
    </row>
    <row r="96" spans="1:13" x14ac:dyDescent="0.25">
      <c r="A96" s="1" t="s">
        <v>1</v>
      </c>
      <c r="B96" s="1" t="s">
        <v>2</v>
      </c>
      <c r="C96" s="1">
        <v>42.360599999999998</v>
      </c>
      <c r="D96" s="1">
        <v>-71.010599999999997</v>
      </c>
      <c r="E96" s="5">
        <v>40276</v>
      </c>
      <c r="F96" s="1" t="str">
        <f t="shared" si="1"/>
        <v>April</v>
      </c>
      <c r="G96" s="1">
        <v>46</v>
      </c>
      <c r="H96" s="1">
        <v>0</v>
      </c>
      <c r="I96" s="1" t="str">
        <f>IF(Table1[[#This Row],[Temperature_F]]&lt;32,"Yes","No")</f>
        <v>No</v>
      </c>
      <c r="J96" s="1" t="str" cm="1">
        <f t="array" ref="J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6" s="1" t="str" cm="1">
        <f t="array" ref="K96">_xlfn.IFS(
H96=0,"No Rain",
H96&lt;10,"Light",
H96&lt;50,"Moderate",
TRUE,"Heavy")</f>
        <v>No Rain</v>
      </c>
      <c r="L96" s="1" t="str">
        <f>IF(Table1[[#This Row],[Precipitation_mm]]&lt;&gt;0,"Wet","Dry")</f>
        <v>Dry</v>
      </c>
      <c r="M96" t="b">
        <f>OR(ISBLANK(Table1[[#This Row],[Temperature_F]]),ISERROR(Table1[[#This Row],[Temperature_F]]))</f>
        <v>0</v>
      </c>
    </row>
    <row r="97" spans="1:13" hidden="1" x14ac:dyDescent="0.25">
      <c r="A97" s="1" t="s">
        <v>1</v>
      </c>
      <c r="B97" s="1" t="s">
        <v>2</v>
      </c>
      <c r="C97" s="1">
        <v>42.360599999999998</v>
      </c>
      <c r="D97" s="1">
        <v>-71.010599999999997</v>
      </c>
      <c r="E97" s="5">
        <v>40277</v>
      </c>
      <c r="F97" s="1" t="str">
        <f t="shared" si="1"/>
        <v>April</v>
      </c>
      <c r="G97" s="1">
        <v>54</v>
      </c>
      <c r="H97" s="1">
        <v>224</v>
      </c>
      <c r="I97" s="1" t="str">
        <f>IF(Table1[[#This Row],[Temperature_F]]&lt;32,"Yes","No")</f>
        <v>No</v>
      </c>
      <c r="J97" s="1" t="str" cm="1">
        <f t="array" ref="J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" s="1" t="str" cm="1">
        <f t="array" ref="K97">_xlfn.IFS(
H97=0,"No Rain",
H97&lt;10,"Light",
H97&lt;50,"Moderate",
TRUE,"Heavy")</f>
        <v>Heavy</v>
      </c>
      <c r="L97" s="1" t="str">
        <f>IF(Table1[[#This Row],[Precipitation_mm]]&lt;&gt;0,"Wet","Dry")</f>
        <v>Wet</v>
      </c>
      <c r="M97" t="b">
        <f>OR(ISBLANK(Table1[[#This Row],[Temperature_F]]),ISERROR(Table1[[#This Row],[Temperature_F]]))</f>
        <v>0</v>
      </c>
    </row>
    <row r="98" spans="1:13" x14ac:dyDescent="0.25">
      <c r="A98" s="1" t="s">
        <v>1</v>
      </c>
      <c r="B98" s="1" t="s">
        <v>2</v>
      </c>
      <c r="C98" s="1">
        <v>42.360599999999998</v>
      </c>
      <c r="D98" s="1">
        <v>-71.010599999999997</v>
      </c>
      <c r="E98" s="5">
        <v>40278</v>
      </c>
      <c r="F98" s="1" t="str">
        <f t="shared" si="1"/>
        <v>April</v>
      </c>
      <c r="G98" s="1">
        <v>48</v>
      </c>
      <c r="H98" s="1">
        <v>0</v>
      </c>
      <c r="I98" s="1" t="str">
        <f>IF(Table1[[#This Row],[Temperature_F]]&lt;32,"Yes","No")</f>
        <v>No</v>
      </c>
      <c r="J98" s="1" t="str" cm="1">
        <f t="array" ref="J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8" s="1" t="str" cm="1">
        <f t="array" ref="K98">_xlfn.IFS(
H98=0,"No Rain",
H98&lt;10,"Light",
H98&lt;50,"Moderate",
TRUE,"Heavy")</f>
        <v>No Rain</v>
      </c>
      <c r="L98" s="1" t="str">
        <f>IF(Table1[[#This Row],[Precipitation_mm]]&lt;&gt;0,"Wet","Dry")</f>
        <v>Dry</v>
      </c>
      <c r="M98" t="b">
        <f>OR(ISBLANK(Table1[[#This Row],[Temperature_F]]),ISERROR(Table1[[#This Row],[Temperature_F]]))</f>
        <v>0</v>
      </c>
    </row>
    <row r="99" spans="1:13" x14ac:dyDescent="0.25">
      <c r="A99" s="1" t="s">
        <v>1</v>
      </c>
      <c r="B99" s="1" t="s">
        <v>2</v>
      </c>
      <c r="C99" s="1">
        <v>42.360599999999998</v>
      </c>
      <c r="D99" s="1">
        <v>-71.010599999999997</v>
      </c>
      <c r="E99" s="5">
        <v>40279</v>
      </c>
      <c r="F99" s="1" t="str">
        <f t="shared" si="1"/>
        <v>April</v>
      </c>
      <c r="G99" s="1">
        <v>41</v>
      </c>
      <c r="H99" s="1">
        <v>0</v>
      </c>
      <c r="I99" s="1" t="str">
        <f>IF(Table1[[#This Row],[Temperature_F]]&lt;32,"Yes","No")</f>
        <v>No</v>
      </c>
      <c r="J99" s="1" t="str" cm="1">
        <f t="array" ref="J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9" s="1" t="str" cm="1">
        <f t="array" ref="K99">_xlfn.IFS(
H99=0,"No Rain",
H99&lt;10,"Light",
H99&lt;50,"Moderate",
TRUE,"Heavy")</f>
        <v>No Rain</v>
      </c>
      <c r="L99" s="1" t="str">
        <f>IF(Table1[[#This Row],[Precipitation_mm]]&lt;&gt;0,"Wet","Dry")</f>
        <v>Dry</v>
      </c>
      <c r="M99" t="b">
        <f>OR(ISBLANK(Table1[[#This Row],[Temperature_F]]),ISERROR(Table1[[#This Row],[Temperature_F]]))</f>
        <v>0</v>
      </c>
    </row>
    <row r="100" spans="1:13" hidden="1" x14ac:dyDescent="0.25">
      <c r="A100" s="1" t="s">
        <v>1</v>
      </c>
      <c r="B100" s="1" t="s">
        <v>2</v>
      </c>
      <c r="C100" s="1">
        <v>42.360599999999998</v>
      </c>
      <c r="D100" s="1">
        <v>-71.010599999999997</v>
      </c>
      <c r="E100" s="5">
        <v>40280</v>
      </c>
      <c r="F100" s="1" t="str">
        <f t="shared" si="1"/>
        <v>April</v>
      </c>
      <c r="G100" s="1">
        <v>54</v>
      </c>
      <c r="H100" s="1">
        <v>0</v>
      </c>
      <c r="I100" s="1" t="str">
        <f>IF(Table1[[#This Row],[Temperature_F]]&lt;32,"Yes","No")</f>
        <v>No</v>
      </c>
      <c r="J100" s="1" t="str" cm="1">
        <f t="array" ref="J1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" s="1" t="str" cm="1">
        <f t="array" ref="K100">_xlfn.IFS(
H100=0,"No Rain",
H100&lt;10,"Light",
H100&lt;50,"Moderate",
TRUE,"Heavy")</f>
        <v>No Rain</v>
      </c>
      <c r="L100" s="1" t="str">
        <f>IF(Table1[[#This Row],[Precipitation_mm]]&lt;&gt;0,"Wet","Dry")</f>
        <v>Dry</v>
      </c>
      <c r="M100" t="b">
        <f>OR(ISBLANK(Table1[[#This Row],[Temperature_F]]),ISERROR(Table1[[#This Row],[Temperature_F]]))</f>
        <v>0</v>
      </c>
    </row>
    <row r="101" spans="1:13" hidden="1" x14ac:dyDescent="0.25">
      <c r="A101" s="1" t="s">
        <v>1</v>
      </c>
      <c r="B101" s="1" t="s">
        <v>2</v>
      </c>
      <c r="C101" s="1">
        <v>42.360599999999998</v>
      </c>
      <c r="D101" s="1">
        <v>-71.010599999999997</v>
      </c>
      <c r="E101" s="5">
        <v>40281</v>
      </c>
      <c r="F101" s="1" t="str">
        <f t="shared" si="1"/>
        <v>April</v>
      </c>
      <c r="G101" s="1">
        <v>57</v>
      </c>
      <c r="H101" s="1">
        <v>0</v>
      </c>
      <c r="I101" s="1" t="str">
        <f>IF(Table1[[#This Row],[Temperature_F]]&lt;32,"Yes","No")</f>
        <v>No</v>
      </c>
      <c r="J101" s="1" t="str" cm="1">
        <f t="array" ref="J1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1" s="1" t="str" cm="1">
        <f t="array" ref="K101">_xlfn.IFS(
H101=0,"No Rain",
H101&lt;10,"Light",
H101&lt;50,"Moderate",
TRUE,"Heavy")</f>
        <v>No Rain</v>
      </c>
      <c r="L101" s="1" t="str">
        <f>IF(Table1[[#This Row],[Precipitation_mm]]&lt;&gt;0,"Wet","Dry")</f>
        <v>Dry</v>
      </c>
      <c r="M101" t="b">
        <f>OR(ISBLANK(Table1[[#This Row],[Temperature_F]]),ISERROR(Table1[[#This Row],[Temperature_F]]))</f>
        <v>0</v>
      </c>
    </row>
    <row r="102" spans="1:13" x14ac:dyDescent="0.25">
      <c r="A102" s="1" t="s">
        <v>1</v>
      </c>
      <c r="B102" s="1" t="s">
        <v>2</v>
      </c>
      <c r="C102" s="1">
        <v>42.360599999999998</v>
      </c>
      <c r="D102" s="1">
        <v>-71.010599999999997</v>
      </c>
      <c r="E102" s="5">
        <v>40282</v>
      </c>
      <c r="F102" s="1" t="str">
        <f t="shared" si="1"/>
        <v>April</v>
      </c>
      <c r="G102" s="1">
        <v>40</v>
      </c>
      <c r="H102" s="1">
        <v>0</v>
      </c>
      <c r="I102" s="1" t="str">
        <f>IF(Table1[[#This Row],[Temperature_F]]&lt;32,"Yes","No")</f>
        <v>No</v>
      </c>
      <c r="J102" s="1" t="str" cm="1">
        <f t="array" ref="J1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2" s="1" t="str" cm="1">
        <f t="array" ref="K102">_xlfn.IFS(
H102=0,"No Rain",
H102&lt;10,"Light",
H102&lt;50,"Moderate",
TRUE,"Heavy")</f>
        <v>No Rain</v>
      </c>
      <c r="L102" s="1" t="str">
        <f>IF(Table1[[#This Row],[Precipitation_mm]]&lt;&gt;0,"Wet","Dry")</f>
        <v>Dry</v>
      </c>
      <c r="M102" t="b">
        <f>OR(ISBLANK(Table1[[#This Row],[Temperature_F]]),ISERROR(Table1[[#This Row],[Temperature_F]]))</f>
        <v>0</v>
      </c>
    </row>
    <row r="103" spans="1:13" hidden="1" x14ac:dyDescent="0.25">
      <c r="A103" s="1" t="s">
        <v>1</v>
      </c>
      <c r="B103" s="1" t="s">
        <v>2</v>
      </c>
      <c r="C103" s="1">
        <v>42.360599999999998</v>
      </c>
      <c r="D103" s="1">
        <v>-71.010599999999997</v>
      </c>
      <c r="E103" s="5">
        <v>40283</v>
      </c>
      <c r="F103" s="1" t="str">
        <f t="shared" si="1"/>
        <v>April</v>
      </c>
      <c r="G103" s="1">
        <v>52</v>
      </c>
      <c r="H103" s="1">
        <v>0</v>
      </c>
      <c r="I103" s="1" t="str">
        <f>IF(Table1[[#This Row],[Temperature_F]]&lt;32,"Yes","No")</f>
        <v>No</v>
      </c>
      <c r="J103" s="1" t="str" cm="1">
        <f t="array" ref="J1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3" s="1" t="str" cm="1">
        <f t="array" ref="K103">_xlfn.IFS(
H103=0,"No Rain",
H103&lt;10,"Light",
H103&lt;50,"Moderate",
TRUE,"Heavy")</f>
        <v>No Rain</v>
      </c>
      <c r="L103" s="1" t="str">
        <f>IF(Table1[[#This Row],[Precipitation_mm]]&lt;&gt;0,"Wet","Dry")</f>
        <v>Dry</v>
      </c>
      <c r="M103" t="b">
        <f>OR(ISBLANK(Table1[[#This Row],[Temperature_F]]),ISERROR(Table1[[#This Row],[Temperature_F]]))</f>
        <v>0</v>
      </c>
    </row>
    <row r="104" spans="1:13" hidden="1" x14ac:dyDescent="0.25">
      <c r="A104" s="1" t="s">
        <v>1</v>
      </c>
      <c r="B104" s="1" t="s">
        <v>2</v>
      </c>
      <c r="C104" s="1">
        <v>42.360599999999998</v>
      </c>
      <c r="D104" s="1">
        <v>-71.010599999999997</v>
      </c>
      <c r="E104" s="5">
        <v>40284</v>
      </c>
      <c r="F104" s="1" t="str">
        <f t="shared" si="1"/>
        <v>April</v>
      </c>
      <c r="G104" s="1">
        <v>51</v>
      </c>
      <c r="H104" s="1">
        <v>99</v>
      </c>
      <c r="I104" s="1" t="str">
        <f>IF(Table1[[#This Row],[Temperature_F]]&lt;32,"Yes","No")</f>
        <v>No</v>
      </c>
      <c r="J104" s="1" t="str" cm="1">
        <f t="array" ref="J1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" s="1" t="str" cm="1">
        <f t="array" ref="K104">_xlfn.IFS(
H104=0,"No Rain",
H104&lt;10,"Light",
H104&lt;50,"Moderate",
TRUE,"Heavy")</f>
        <v>Heavy</v>
      </c>
      <c r="L104" s="1" t="str">
        <f>IF(Table1[[#This Row],[Precipitation_mm]]&lt;&gt;0,"Wet","Dry")</f>
        <v>Wet</v>
      </c>
      <c r="M104" t="b">
        <f>OR(ISBLANK(Table1[[#This Row],[Temperature_F]]),ISERROR(Table1[[#This Row],[Temperature_F]]))</f>
        <v>0</v>
      </c>
    </row>
    <row r="105" spans="1:13" hidden="1" x14ac:dyDescent="0.25">
      <c r="A105" s="1" t="s">
        <v>1</v>
      </c>
      <c r="B105" s="1" t="s">
        <v>2</v>
      </c>
      <c r="C105" s="1">
        <v>42.360599999999998</v>
      </c>
      <c r="D105" s="1">
        <v>-71.010599999999997</v>
      </c>
      <c r="E105" s="5">
        <v>40285</v>
      </c>
      <c r="F105" s="1" t="str">
        <f t="shared" si="1"/>
        <v>April</v>
      </c>
      <c r="G105" s="1">
        <v>54</v>
      </c>
      <c r="H105" s="1">
        <v>38</v>
      </c>
      <c r="I105" s="1" t="str">
        <f>IF(Table1[[#This Row],[Temperature_F]]&lt;32,"Yes","No")</f>
        <v>No</v>
      </c>
      <c r="J105" s="1" t="str" cm="1">
        <f t="array" ref="J1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5" s="1" t="str" cm="1">
        <f t="array" ref="K105">_xlfn.IFS(
H105=0,"No Rain",
H105&lt;10,"Light",
H105&lt;50,"Moderate",
TRUE,"Heavy")</f>
        <v>Moderate</v>
      </c>
      <c r="L105" s="1" t="str">
        <f>IF(Table1[[#This Row],[Precipitation_mm]]&lt;&gt;0,"Wet","Dry")</f>
        <v>Wet</v>
      </c>
      <c r="M105" t="b">
        <f>OR(ISBLANK(Table1[[#This Row],[Temperature_F]]),ISERROR(Table1[[#This Row],[Temperature_F]]))</f>
        <v>0</v>
      </c>
    </row>
    <row r="106" spans="1:13" x14ac:dyDescent="0.25">
      <c r="A106" s="1" t="s">
        <v>1</v>
      </c>
      <c r="B106" s="1" t="s">
        <v>2</v>
      </c>
      <c r="C106" s="1">
        <v>42.360599999999998</v>
      </c>
      <c r="D106" s="1">
        <v>-71.010599999999997</v>
      </c>
      <c r="E106" s="5">
        <v>40286</v>
      </c>
      <c r="F106" s="1" t="str">
        <f t="shared" si="1"/>
        <v>April</v>
      </c>
      <c r="G106" s="1">
        <v>50</v>
      </c>
      <c r="H106" s="1">
        <v>20</v>
      </c>
      <c r="I106" s="1" t="str">
        <f>IF(Table1[[#This Row],[Temperature_F]]&lt;32,"Yes","No")</f>
        <v>No</v>
      </c>
      <c r="J106" s="1" t="str" cm="1">
        <f t="array" ref="J1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6" s="1" t="str" cm="1">
        <f t="array" ref="K106">_xlfn.IFS(
H106=0,"No Rain",
H106&lt;10,"Light",
H106&lt;50,"Moderate",
TRUE,"Heavy")</f>
        <v>Moderate</v>
      </c>
      <c r="L106" s="1" t="str">
        <f>IF(Table1[[#This Row],[Precipitation_mm]]&lt;&gt;0,"Wet","Dry")</f>
        <v>Wet</v>
      </c>
      <c r="M106" t="b">
        <f>OR(ISBLANK(Table1[[#This Row],[Temperature_F]]),ISERROR(Table1[[#This Row],[Temperature_F]]))</f>
        <v>0</v>
      </c>
    </row>
    <row r="107" spans="1:13" hidden="1" x14ac:dyDescent="0.25">
      <c r="A107" s="1" t="s">
        <v>1</v>
      </c>
      <c r="B107" s="1" t="s">
        <v>2</v>
      </c>
      <c r="C107" s="1">
        <v>42.360599999999998</v>
      </c>
      <c r="D107" s="1">
        <v>-71.010599999999997</v>
      </c>
      <c r="E107" s="5">
        <v>40287</v>
      </c>
      <c r="F107" s="1" t="str">
        <f t="shared" si="1"/>
        <v>April</v>
      </c>
      <c r="G107" s="1">
        <v>52</v>
      </c>
      <c r="H107" s="1">
        <v>0</v>
      </c>
      <c r="I107" s="1" t="str">
        <f>IF(Table1[[#This Row],[Temperature_F]]&lt;32,"Yes","No")</f>
        <v>No</v>
      </c>
      <c r="J107" s="1" t="str" cm="1">
        <f t="array" ref="J1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7" s="1" t="str" cm="1">
        <f t="array" ref="K107">_xlfn.IFS(
H107=0,"No Rain",
H107&lt;10,"Light",
H107&lt;50,"Moderate",
TRUE,"Heavy")</f>
        <v>No Rain</v>
      </c>
      <c r="L107" s="1" t="str">
        <f>IF(Table1[[#This Row],[Precipitation_mm]]&lt;&gt;0,"Wet","Dry")</f>
        <v>Dry</v>
      </c>
      <c r="M107" t="b">
        <f>OR(ISBLANK(Table1[[#This Row],[Temperature_F]]),ISERROR(Table1[[#This Row],[Temperature_F]]))</f>
        <v>0</v>
      </c>
    </row>
    <row r="108" spans="1:13" hidden="1" x14ac:dyDescent="0.25">
      <c r="A108" s="1" t="s">
        <v>1</v>
      </c>
      <c r="B108" s="1" t="s">
        <v>2</v>
      </c>
      <c r="C108" s="1">
        <v>42.360599999999998</v>
      </c>
      <c r="D108" s="1">
        <v>-71.010599999999997</v>
      </c>
      <c r="E108" s="5">
        <v>40288</v>
      </c>
      <c r="F108" s="1" t="str">
        <f t="shared" si="1"/>
        <v>April</v>
      </c>
      <c r="G108" s="1">
        <v>58</v>
      </c>
      <c r="H108" s="1">
        <v>0</v>
      </c>
      <c r="I108" s="1" t="str">
        <f>IF(Table1[[#This Row],[Temperature_F]]&lt;32,"Yes","No")</f>
        <v>No</v>
      </c>
      <c r="J108" s="1" t="str" cm="1">
        <f t="array" ref="J1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8" s="1" t="str" cm="1">
        <f t="array" ref="K108">_xlfn.IFS(
H108=0,"No Rain",
H108&lt;10,"Light",
H108&lt;50,"Moderate",
TRUE,"Heavy")</f>
        <v>No Rain</v>
      </c>
      <c r="L108" s="1" t="str">
        <f>IF(Table1[[#This Row],[Precipitation_mm]]&lt;&gt;0,"Wet","Dry")</f>
        <v>Dry</v>
      </c>
      <c r="M108" t="b">
        <f>OR(ISBLANK(Table1[[#This Row],[Temperature_F]]),ISERROR(Table1[[#This Row],[Temperature_F]]))</f>
        <v>0</v>
      </c>
    </row>
    <row r="109" spans="1:13" x14ac:dyDescent="0.25">
      <c r="A109" s="1" t="s">
        <v>1</v>
      </c>
      <c r="B109" s="1" t="s">
        <v>2</v>
      </c>
      <c r="C109" s="1">
        <v>42.360599999999998</v>
      </c>
      <c r="D109" s="1">
        <v>-71.010599999999997</v>
      </c>
      <c r="E109" s="5">
        <v>40289</v>
      </c>
      <c r="F109" s="1" t="str">
        <f t="shared" si="1"/>
        <v>April</v>
      </c>
      <c r="G109" s="1">
        <v>49</v>
      </c>
      <c r="H109" s="1">
        <v>0</v>
      </c>
      <c r="I109" s="1" t="str">
        <f>IF(Table1[[#This Row],[Temperature_F]]&lt;32,"Yes","No")</f>
        <v>No</v>
      </c>
      <c r="J109" s="1" t="str" cm="1">
        <f t="array" ref="J1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9" s="1" t="str" cm="1">
        <f t="array" ref="K109">_xlfn.IFS(
H109=0,"No Rain",
H109&lt;10,"Light",
H109&lt;50,"Moderate",
TRUE,"Heavy")</f>
        <v>No Rain</v>
      </c>
      <c r="L109" s="1" t="str">
        <f>IF(Table1[[#This Row],[Precipitation_mm]]&lt;&gt;0,"Wet","Dry")</f>
        <v>Dry</v>
      </c>
      <c r="M109" t="b">
        <f>OR(ISBLANK(Table1[[#This Row],[Temperature_F]]),ISERROR(Table1[[#This Row],[Temperature_F]]))</f>
        <v>0</v>
      </c>
    </row>
    <row r="110" spans="1:13" x14ac:dyDescent="0.25">
      <c r="A110" s="1" t="s">
        <v>1</v>
      </c>
      <c r="B110" s="1" t="s">
        <v>2</v>
      </c>
      <c r="C110" s="1">
        <v>42.360599999999998</v>
      </c>
      <c r="D110" s="1">
        <v>-71.010599999999997</v>
      </c>
      <c r="E110" s="5">
        <v>40290</v>
      </c>
      <c r="F110" s="1" t="str">
        <f t="shared" si="1"/>
        <v>April</v>
      </c>
      <c r="G110" s="1">
        <v>42</v>
      </c>
      <c r="H110" s="1">
        <v>38</v>
      </c>
      <c r="I110" s="1" t="str">
        <f>IF(Table1[[#This Row],[Temperature_F]]&lt;32,"Yes","No")</f>
        <v>No</v>
      </c>
      <c r="J110" s="1" t="str" cm="1">
        <f t="array" ref="J1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0" s="1" t="str" cm="1">
        <f t="array" ref="K110">_xlfn.IFS(
H110=0,"No Rain",
H110&lt;10,"Light",
H110&lt;50,"Moderate",
TRUE,"Heavy")</f>
        <v>Moderate</v>
      </c>
      <c r="L110" s="1" t="str">
        <f>IF(Table1[[#This Row],[Precipitation_mm]]&lt;&gt;0,"Wet","Dry")</f>
        <v>Wet</v>
      </c>
      <c r="M110" t="b">
        <f>OR(ISBLANK(Table1[[#This Row],[Temperature_F]]),ISERROR(Table1[[#This Row],[Temperature_F]]))</f>
        <v>0</v>
      </c>
    </row>
    <row r="111" spans="1:13" x14ac:dyDescent="0.25">
      <c r="A111" s="1" t="s">
        <v>1</v>
      </c>
      <c r="B111" s="1" t="s">
        <v>2</v>
      </c>
      <c r="C111" s="1">
        <v>42.360599999999998</v>
      </c>
      <c r="D111" s="1">
        <v>-71.010599999999997</v>
      </c>
      <c r="E111" s="5">
        <v>40291</v>
      </c>
      <c r="F111" s="1" t="str">
        <f t="shared" si="1"/>
        <v>April</v>
      </c>
      <c r="G111" s="1">
        <v>42</v>
      </c>
      <c r="H111" s="1">
        <v>3</v>
      </c>
      <c r="I111" s="1" t="str">
        <f>IF(Table1[[#This Row],[Temperature_F]]&lt;32,"Yes","No")</f>
        <v>No</v>
      </c>
      <c r="J111" s="1" t="str" cm="1">
        <f t="array" ref="J1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1" s="1" t="str" cm="1">
        <f t="array" ref="K111">_xlfn.IFS(
H111=0,"No Rain",
H111&lt;10,"Light",
H111&lt;50,"Moderate",
TRUE,"Heavy")</f>
        <v>Light</v>
      </c>
      <c r="L111" s="1" t="str">
        <f>IF(Table1[[#This Row],[Precipitation_mm]]&lt;&gt;0,"Wet","Dry")</f>
        <v>Wet</v>
      </c>
      <c r="M111" t="b">
        <f>OR(ISBLANK(Table1[[#This Row],[Temperature_F]]),ISERROR(Table1[[#This Row],[Temperature_F]]))</f>
        <v>0</v>
      </c>
    </row>
    <row r="112" spans="1:13" hidden="1" x14ac:dyDescent="0.25">
      <c r="A112" s="1" t="s">
        <v>1</v>
      </c>
      <c r="B112" s="1" t="s">
        <v>2</v>
      </c>
      <c r="C112" s="1">
        <v>42.360599999999998</v>
      </c>
      <c r="D112" s="1">
        <v>-71.010599999999997</v>
      </c>
      <c r="E112" s="5">
        <v>40292</v>
      </c>
      <c r="F112" s="1" t="str">
        <f t="shared" si="1"/>
        <v>April</v>
      </c>
      <c r="G112" s="1">
        <v>53</v>
      </c>
      <c r="H112" s="1">
        <v>0</v>
      </c>
      <c r="I112" s="1" t="str">
        <f>IF(Table1[[#This Row],[Temperature_F]]&lt;32,"Yes","No")</f>
        <v>No</v>
      </c>
      <c r="J112" s="1" t="str" cm="1">
        <f t="array" ref="J1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2" s="1" t="str" cm="1">
        <f t="array" ref="K112">_xlfn.IFS(
H112=0,"No Rain",
H112&lt;10,"Light",
H112&lt;50,"Moderate",
TRUE,"Heavy")</f>
        <v>No Rain</v>
      </c>
      <c r="L112" s="1" t="str">
        <f>IF(Table1[[#This Row],[Precipitation_mm]]&lt;&gt;0,"Wet","Dry")</f>
        <v>Dry</v>
      </c>
      <c r="M112" t="b">
        <f>OR(ISBLANK(Table1[[#This Row],[Temperature_F]]),ISERROR(Table1[[#This Row],[Temperature_F]]))</f>
        <v>0</v>
      </c>
    </row>
    <row r="113" spans="1:13" x14ac:dyDescent="0.25">
      <c r="A113" s="1" t="s">
        <v>1</v>
      </c>
      <c r="B113" s="1" t="s">
        <v>2</v>
      </c>
      <c r="C113" s="1">
        <v>42.360599999999998</v>
      </c>
      <c r="D113" s="1">
        <v>-71.010599999999997</v>
      </c>
      <c r="E113" s="5">
        <v>40293</v>
      </c>
      <c r="F113" s="1" t="str">
        <f t="shared" si="1"/>
        <v>April</v>
      </c>
      <c r="G113" s="1">
        <v>41</v>
      </c>
      <c r="H113" s="1">
        <v>0</v>
      </c>
      <c r="I113" s="1" t="str">
        <f>IF(Table1[[#This Row],[Temperature_F]]&lt;32,"Yes","No")</f>
        <v>No</v>
      </c>
      <c r="J113" s="1" t="str" cm="1">
        <f t="array" ref="J1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3" s="1" t="str" cm="1">
        <f t="array" ref="K113">_xlfn.IFS(
H113=0,"No Rain",
H113&lt;10,"Light",
H113&lt;50,"Moderate",
TRUE,"Heavy")</f>
        <v>No Rain</v>
      </c>
      <c r="L113" s="1" t="str">
        <f>IF(Table1[[#This Row],[Precipitation_mm]]&lt;&gt;0,"Wet","Dry")</f>
        <v>Dry</v>
      </c>
      <c r="M113" t="b">
        <f>OR(ISBLANK(Table1[[#This Row],[Temperature_F]]),ISERROR(Table1[[#This Row],[Temperature_F]]))</f>
        <v>0</v>
      </c>
    </row>
    <row r="114" spans="1:13" hidden="1" x14ac:dyDescent="0.25">
      <c r="A114" s="1" t="s">
        <v>1</v>
      </c>
      <c r="B114" s="1" t="s">
        <v>2</v>
      </c>
      <c r="C114" s="1">
        <v>42.360599999999998</v>
      </c>
      <c r="D114" s="1">
        <v>-71.010599999999997</v>
      </c>
      <c r="E114" s="5">
        <v>40294</v>
      </c>
      <c r="F114" s="1" t="str">
        <f t="shared" si="1"/>
        <v>April</v>
      </c>
      <c r="G114" s="1">
        <v>59</v>
      </c>
      <c r="H114" s="1">
        <v>8</v>
      </c>
      <c r="I114" s="1" t="str">
        <f>IF(Table1[[#This Row],[Temperature_F]]&lt;32,"Yes","No")</f>
        <v>No</v>
      </c>
      <c r="J114" s="1" t="str" cm="1">
        <f t="array" ref="J1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4" s="1" t="str" cm="1">
        <f t="array" ref="K114">_xlfn.IFS(
H114=0,"No Rain",
H114&lt;10,"Light",
H114&lt;50,"Moderate",
TRUE,"Heavy")</f>
        <v>Light</v>
      </c>
      <c r="L114" s="1" t="str">
        <f>IF(Table1[[#This Row],[Precipitation_mm]]&lt;&gt;0,"Wet","Dry")</f>
        <v>Wet</v>
      </c>
      <c r="M114" t="b">
        <f>OR(ISBLANK(Table1[[#This Row],[Temperature_F]]),ISERROR(Table1[[#This Row],[Temperature_F]]))</f>
        <v>0</v>
      </c>
    </row>
    <row r="115" spans="1:13" hidden="1" x14ac:dyDescent="0.25">
      <c r="A115" s="1" t="s">
        <v>1</v>
      </c>
      <c r="B115" s="1" t="s">
        <v>2</v>
      </c>
      <c r="C115" s="1">
        <v>42.360599999999998</v>
      </c>
      <c r="D115" s="1">
        <v>-71.010599999999997</v>
      </c>
      <c r="E115" s="5">
        <v>40295</v>
      </c>
      <c r="F115" s="1" t="str">
        <f t="shared" si="1"/>
        <v>April</v>
      </c>
      <c r="G115" s="1">
        <v>58</v>
      </c>
      <c r="H115" s="1">
        <v>15</v>
      </c>
      <c r="I115" s="1" t="str">
        <f>IF(Table1[[#This Row],[Temperature_F]]&lt;32,"Yes","No")</f>
        <v>No</v>
      </c>
      <c r="J115" s="1" t="str" cm="1">
        <f t="array" ref="J1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5" s="1" t="str" cm="1">
        <f t="array" ref="K115">_xlfn.IFS(
H115=0,"No Rain",
H115&lt;10,"Light",
H115&lt;50,"Moderate",
TRUE,"Heavy")</f>
        <v>Moderate</v>
      </c>
      <c r="L115" s="1" t="str">
        <f>IF(Table1[[#This Row],[Precipitation_mm]]&lt;&gt;0,"Wet","Dry")</f>
        <v>Wet</v>
      </c>
      <c r="M115" t="b">
        <f>OR(ISBLANK(Table1[[#This Row],[Temperature_F]]),ISERROR(Table1[[#This Row],[Temperature_F]]))</f>
        <v>0</v>
      </c>
    </row>
    <row r="116" spans="1:13" hidden="1" x14ac:dyDescent="0.25">
      <c r="A116" s="1" t="s">
        <v>1</v>
      </c>
      <c r="B116" s="1" t="s">
        <v>2</v>
      </c>
      <c r="C116" s="1">
        <v>42.360599999999998</v>
      </c>
      <c r="D116" s="1">
        <v>-71.010599999999997</v>
      </c>
      <c r="E116" s="5">
        <v>40296</v>
      </c>
      <c r="F116" s="1" t="str">
        <f t="shared" si="1"/>
        <v>April</v>
      </c>
      <c r="G116" s="1">
        <v>59</v>
      </c>
      <c r="H116" s="1">
        <v>8</v>
      </c>
      <c r="I116" s="1" t="str">
        <f>IF(Table1[[#This Row],[Temperature_F]]&lt;32,"Yes","No")</f>
        <v>No</v>
      </c>
      <c r="J116" s="1" t="str" cm="1">
        <f t="array" ref="J1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6" s="1" t="str" cm="1">
        <f t="array" ref="K116">_xlfn.IFS(
H116=0,"No Rain",
H116&lt;10,"Light",
H116&lt;50,"Moderate",
TRUE,"Heavy")</f>
        <v>Light</v>
      </c>
      <c r="L116" s="1" t="str">
        <f>IF(Table1[[#This Row],[Precipitation_mm]]&lt;&gt;0,"Wet","Dry")</f>
        <v>Wet</v>
      </c>
      <c r="M116" t="b">
        <f>OR(ISBLANK(Table1[[#This Row],[Temperature_F]]),ISERROR(Table1[[#This Row],[Temperature_F]]))</f>
        <v>0</v>
      </c>
    </row>
    <row r="117" spans="1:13" x14ac:dyDescent="0.25">
      <c r="A117" s="1" t="s">
        <v>1</v>
      </c>
      <c r="B117" s="1" t="s">
        <v>2</v>
      </c>
      <c r="C117" s="1">
        <v>42.360599999999998</v>
      </c>
      <c r="D117" s="1">
        <v>-71.010599999999997</v>
      </c>
      <c r="E117" s="5">
        <v>40297</v>
      </c>
      <c r="F117" s="1" t="str">
        <f t="shared" si="1"/>
        <v>April</v>
      </c>
      <c r="G117" s="1">
        <v>41</v>
      </c>
      <c r="H117" s="1">
        <v>0</v>
      </c>
      <c r="I117" s="1" t="str">
        <f>IF(Table1[[#This Row],[Temperature_F]]&lt;32,"Yes","No")</f>
        <v>No</v>
      </c>
      <c r="J117" s="1" t="str" cm="1">
        <f t="array" ref="J1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7" s="1" t="str" cm="1">
        <f t="array" ref="K117">_xlfn.IFS(
H117=0,"No Rain",
H117&lt;10,"Light",
H117&lt;50,"Moderate",
TRUE,"Heavy")</f>
        <v>No Rain</v>
      </c>
      <c r="L117" s="1" t="str">
        <f>IF(Table1[[#This Row],[Precipitation_mm]]&lt;&gt;0,"Wet","Dry")</f>
        <v>Dry</v>
      </c>
      <c r="M117" t="b">
        <f>OR(ISBLANK(Table1[[#This Row],[Temperature_F]]),ISERROR(Table1[[#This Row],[Temperature_F]]))</f>
        <v>0</v>
      </c>
    </row>
    <row r="118" spans="1:13" x14ac:dyDescent="0.25">
      <c r="A118" s="1" t="s">
        <v>1</v>
      </c>
      <c r="B118" s="1" t="s">
        <v>2</v>
      </c>
      <c r="C118" s="1">
        <v>42.360599999999998</v>
      </c>
      <c r="D118" s="1">
        <v>-71.010599999999997</v>
      </c>
      <c r="E118" s="5">
        <v>40298</v>
      </c>
      <c r="F118" s="1" t="str">
        <f t="shared" si="1"/>
        <v>April</v>
      </c>
      <c r="G118" s="1">
        <v>45</v>
      </c>
      <c r="H118" s="1">
        <v>0</v>
      </c>
      <c r="I118" s="1" t="str">
        <f>IF(Table1[[#This Row],[Temperature_F]]&lt;32,"Yes","No")</f>
        <v>No</v>
      </c>
      <c r="J118" s="1" t="str" cm="1">
        <f t="array" ref="J1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8" s="1" t="str" cm="1">
        <f t="array" ref="K118">_xlfn.IFS(
H118=0,"No Rain",
H118&lt;10,"Light",
H118&lt;50,"Moderate",
TRUE,"Heavy")</f>
        <v>No Rain</v>
      </c>
      <c r="L118" s="1" t="str">
        <f>IF(Table1[[#This Row],[Precipitation_mm]]&lt;&gt;0,"Wet","Dry")</f>
        <v>Dry</v>
      </c>
      <c r="M118" t="b">
        <f>OR(ISBLANK(Table1[[#This Row],[Temperature_F]]),ISERROR(Table1[[#This Row],[Temperature_F]]))</f>
        <v>0</v>
      </c>
    </row>
    <row r="119" spans="1:13" x14ac:dyDescent="0.25">
      <c r="A119" s="1" t="s">
        <v>1</v>
      </c>
      <c r="B119" s="1" t="s">
        <v>2</v>
      </c>
      <c r="C119" s="1">
        <v>42.360599999999998</v>
      </c>
      <c r="D119" s="1">
        <v>-71.010599999999997</v>
      </c>
      <c r="E119" s="5">
        <v>40299</v>
      </c>
      <c r="F119" s="1" t="str">
        <f t="shared" si="1"/>
        <v>May</v>
      </c>
      <c r="G119" s="1">
        <v>46</v>
      </c>
      <c r="H119" s="1">
        <v>0</v>
      </c>
      <c r="I119" s="1" t="str">
        <f>IF(Table1[[#This Row],[Temperature_F]]&lt;32,"Yes","No")</f>
        <v>No</v>
      </c>
      <c r="J119" s="1" t="str" cm="1">
        <f t="array" ref="J1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" s="1" t="str" cm="1">
        <f t="array" ref="K119">_xlfn.IFS(
H119=0,"No Rain",
H119&lt;10,"Light",
H119&lt;50,"Moderate",
TRUE,"Heavy")</f>
        <v>No Rain</v>
      </c>
      <c r="L119" s="1" t="str">
        <f>IF(Table1[[#This Row],[Precipitation_mm]]&lt;&gt;0,"Wet","Dry")</f>
        <v>Dry</v>
      </c>
      <c r="M119" t="b">
        <f>OR(ISBLANK(Table1[[#This Row],[Temperature_F]]),ISERROR(Table1[[#This Row],[Temperature_F]]))</f>
        <v>0</v>
      </c>
    </row>
    <row r="120" spans="1:13" x14ac:dyDescent="0.25">
      <c r="A120" s="1" t="s">
        <v>1</v>
      </c>
      <c r="B120" s="1" t="s">
        <v>2</v>
      </c>
      <c r="C120" s="1">
        <v>42.360599999999998</v>
      </c>
      <c r="D120" s="1">
        <v>-71.010599999999997</v>
      </c>
      <c r="E120" s="5">
        <v>40300</v>
      </c>
      <c r="F120" s="1" t="str">
        <f t="shared" si="1"/>
        <v>May</v>
      </c>
      <c r="G120" s="1">
        <v>41</v>
      </c>
      <c r="H120" s="1">
        <v>0</v>
      </c>
      <c r="I120" s="1" t="str">
        <f>IF(Table1[[#This Row],[Temperature_F]]&lt;32,"Yes","No")</f>
        <v>No</v>
      </c>
      <c r="J120" s="1" t="str" cm="1">
        <f t="array" ref="J1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" s="1" t="str" cm="1">
        <f t="array" ref="K120">_xlfn.IFS(
H120=0,"No Rain",
H120&lt;10,"Light",
H120&lt;50,"Moderate",
TRUE,"Heavy")</f>
        <v>No Rain</v>
      </c>
      <c r="L120" s="1" t="str">
        <f>IF(Table1[[#This Row],[Precipitation_mm]]&lt;&gt;0,"Wet","Dry")</f>
        <v>Dry</v>
      </c>
      <c r="M120" t="b">
        <f>OR(ISBLANK(Table1[[#This Row],[Temperature_F]]),ISERROR(Table1[[#This Row],[Temperature_F]]))</f>
        <v>0</v>
      </c>
    </row>
    <row r="121" spans="1:13" hidden="1" x14ac:dyDescent="0.25">
      <c r="A121" s="1" t="s">
        <v>1</v>
      </c>
      <c r="B121" s="1" t="s">
        <v>2</v>
      </c>
      <c r="C121" s="1">
        <v>42.360599999999998</v>
      </c>
      <c r="D121" s="1">
        <v>-71.010599999999997</v>
      </c>
      <c r="E121" s="5">
        <v>40301</v>
      </c>
      <c r="F121" s="1" t="str">
        <f t="shared" si="1"/>
        <v>May</v>
      </c>
      <c r="G121" s="1">
        <v>54</v>
      </c>
      <c r="H121" s="1">
        <v>5</v>
      </c>
      <c r="I121" s="1" t="str">
        <f>IF(Table1[[#This Row],[Temperature_F]]&lt;32,"Yes","No")</f>
        <v>No</v>
      </c>
      <c r="J121" s="1" t="str" cm="1">
        <f t="array" ref="J1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1" s="1" t="str" cm="1">
        <f t="array" ref="K121">_xlfn.IFS(
H121=0,"No Rain",
H121&lt;10,"Light",
H121&lt;50,"Moderate",
TRUE,"Heavy")</f>
        <v>Light</v>
      </c>
      <c r="L121" s="1" t="str">
        <f>IF(Table1[[#This Row],[Precipitation_mm]]&lt;&gt;0,"Wet","Dry")</f>
        <v>Wet</v>
      </c>
      <c r="M121" t="b">
        <f>OR(ISBLANK(Table1[[#This Row],[Temperature_F]]),ISERROR(Table1[[#This Row],[Temperature_F]]))</f>
        <v>0</v>
      </c>
    </row>
    <row r="122" spans="1:13" hidden="1" x14ac:dyDescent="0.25">
      <c r="A122" s="1" t="s">
        <v>1</v>
      </c>
      <c r="B122" s="1" t="s">
        <v>2</v>
      </c>
      <c r="C122" s="1">
        <v>42.360599999999998</v>
      </c>
      <c r="D122" s="1">
        <v>-71.010599999999997</v>
      </c>
      <c r="E122" s="5">
        <v>40302</v>
      </c>
      <c r="F122" s="1" t="str">
        <f t="shared" si="1"/>
        <v>May</v>
      </c>
      <c r="G122" s="1">
        <v>56</v>
      </c>
      <c r="H122" s="1">
        <v>5</v>
      </c>
      <c r="I122" s="1" t="str">
        <f>IF(Table1[[#This Row],[Temperature_F]]&lt;32,"Yes","No")</f>
        <v>No</v>
      </c>
      <c r="J122" s="1" t="str" cm="1">
        <f t="array" ref="J1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2" s="1" t="str" cm="1">
        <f t="array" ref="K122">_xlfn.IFS(
H122=0,"No Rain",
H122&lt;10,"Light",
H122&lt;50,"Moderate",
TRUE,"Heavy")</f>
        <v>Light</v>
      </c>
      <c r="L122" s="1" t="str">
        <f>IF(Table1[[#This Row],[Precipitation_mm]]&lt;&gt;0,"Wet","Dry")</f>
        <v>Wet</v>
      </c>
      <c r="M122" t="b">
        <f>OR(ISBLANK(Table1[[#This Row],[Temperature_F]]),ISERROR(Table1[[#This Row],[Temperature_F]]))</f>
        <v>0</v>
      </c>
    </row>
    <row r="123" spans="1:13" x14ac:dyDescent="0.25">
      <c r="A123" s="1" t="s">
        <v>1</v>
      </c>
      <c r="B123" s="1" t="s">
        <v>2</v>
      </c>
      <c r="C123" s="1">
        <v>42.360599999999998</v>
      </c>
      <c r="D123" s="1">
        <v>-71.010599999999997</v>
      </c>
      <c r="E123" s="5">
        <v>40303</v>
      </c>
      <c r="F123" s="1" t="str">
        <f t="shared" si="1"/>
        <v>May</v>
      </c>
      <c r="G123" s="1">
        <v>45</v>
      </c>
      <c r="H123" s="1">
        <v>0</v>
      </c>
      <c r="I123" s="1" t="str">
        <f>IF(Table1[[#This Row],[Temperature_F]]&lt;32,"Yes","No")</f>
        <v>No</v>
      </c>
      <c r="J123" s="1" t="str" cm="1">
        <f t="array" ref="J1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3" s="1" t="str" cm="1">
        <f t="array" ref="K123">_xlfn.IFS(
H123=0,"No Rain",
H123&lt;10,"Light",
H123&lt;50,"Moderate",
TRUE,"Heavy")</f>
        <v>No Rain</v>
      </c>
      <c r="L123" s="1" t="str">
        <f>IF(Table1[[#This Row],[Precipitation_mm]]&lt;&gt;0,"Wet","Dry")</f>
        <v>Dry</v>
      </c>
      <c r="M123" t="b">
        <f>OR(ISBLANK(Table1[[#This Row],[Temperature_F]]),ISERROR(Table1[[#This Row],[Temperature_F]]))</f>
        <v>0</v>
      </c>
    </row>
    <row r="124" spans="1:13" hidden="1" x14ac:dyDescent="0.25">
      <c r="A124" s="1" t="s">
        <v>1</v>
      </c>
      <c r="B124" s="1" t="s">
        <v>2</v>
      </c>
      <c r="C124" s="1">
        <v>42.360599999999998</v>
      </c>
      <c r="D124" s="1">
        <v>-71.010599999999997</v>
      </c>
      <c r="E124" s="5">
        <v>40304</v>
      </c>
      <c r="F124" s="1" t="str">
        <f t="shared" si="1"/>
        <v>May</v>
      </c>
      <c r="G124" s="1">
        <v>58</v>
      </c>
      <c r="H124" s="1">
        <v>0</v>
      </c>
      <c r="I124" s="1" t="str">
        <f>IF(Table1[[#This Row],[Temperature_F]]&lt;32,"Yes","No")</f>
        <v>No</v>
      </c>
      <c r="J124" s="1" t="str" cm="1">
        <f t="array" ref="J1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4" s="1" t="str" cm="1">
        <f t="array" ref="K124">_xlfn.IFS(
H124=0,"No Rain",
H124&lt;10,"Light",
H124&lt;50,"Moderate",
TRUE,"Heavy")</f>
        <v>No Rain</v>
      </c>
      <c r="L124" s="1" t="str">
        <f>IF(Table1[[#This Row],[Precipitation_mm]]&lt;&gt;0,"Wet","Dry")</f>
        <v>Dry</v>
      </c>
      <c r="M124" t="b">
        <f>OR(ISBLANK(Table1[[#This Row],[Temperature_F]]),ISERROR(Table1[[#This Row],[Temperature_F]]))</f>
        <v>0</v>
      </c>
    </row>
    <row r="125" spans="1:13" x14ac:dyDescent="0.25">
      <c r="A125" s="1" t="s">
        <v>1</v>
      </c>
      <c r="B125" s="1" t="s">
        <v>2</v>
      </c>
      <c r="C125" s="1">
        <v>42.360599999999998</v>
      </c>
      <c r="D125" s="1">
        <v>-71.010599999999997</v>
      </c>
      <c r="E125" s="5">
        <v>40305</v>
      </c>
      <c r="F125" s="1" t="str">
        <f t="shared" si="1"/>
        <v>May</v>
      </c>
      <c r="G125" s="1">
        <v>47</v>
      </c>
      <c r="H125" s="1">
        <v>0</v>
      </c>
      <c r="I125" s="1" t="str">
        <f>IF(Table1[[#This Row],[Temperature_F]]&lt;32,"Yes","No")</f>
        <v>No</v>
      </c>
      <c r="J125" s="1" t="str" cm="1">
        <f t="array" ref="J1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5" s="1" t="str" cm="1">
        <f t="array" ref="K125">_xlfn.IFS(
H125=0,"No Rain",
H125&lt;10,"Light",
H125&lt;50,"Moderate",
TRUE,"Heavy")</f>
        <v>No Rain</v>
      </c>
      <c r="L125" s="1" t="str">
        <f>IF(Table1[[#This Row],[Precipitation_mm]]&lt;&gt;0,"Wet","Dry")</f>
        <v>Dry</v>
      </c>
      <c r="M125" t="b">
        <f>OR(ISBLANK(Table1[[#This Row],[Temperature_F]]),ISERROR(Table1[[#This Row],[Temperature_F]]))</f>
        <v>0</v>
      </c>
    </row>
    <row r="126" spans="1:13" hidden="1" x14ac:dyDescent="0.25">
      <c r="A126" s="1" t="s">
        <v>1</v>
      </c>
      <c r="B126" s="1" t="s">
        <v>2</v>
      </c>
      <c r="C126" s="1">
        <v>42.360599999999998</v>
      </c>
      <c r="D126" s="1">
        <v>-71.010599999999997</v>
      </c>
      <c r="E126" s="5">
        <v>40306</v>
      </c>
      <c r="F126" s="1" t="str">
        <f t="shared" si="1"/>
        <v>May</v>
      </c>
      <c r="G126" s="1">
        <v>60</v>
      </c>
      <c r="H126" s="1">
        <v>305</v>
      </c>
      <c r="I126" s="1" t="str">
        <f>IF(Table1[[#This Row],[Temperature_F]]&lt;32,"Yes","No")</f>
        <v>No</v>
      </c>
      <c r="J126" s="1" t="str" cm="1">
        <f t="array" ref="J1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6" s="1" t="str" cm="1">
        <f t="array" ref="K126">_xlfn.IFS(
H126=0,"No Rain",
H126&lt;10,"Light",
H126&lt;50,"Moderate",
TRUE,"Heavy")</f>
        <v>Heavy</v>
      </c>
      <c r="L126" s="1" t="str">
        <f>IF(Table1[[#This Row],[Precipitation_mm]]&lt;&gt;0,"Wet","Dry")</f>
        <v>Wet</v>
      </c>
      <c r="M126" t="b">
        <f>OR(ISBLANK(Table1[[#This Row],[Temperature_F]]),ISERROR(Table1[[#This Row],[Temperature_F]]))</f>
        <v>0</v>
      </c>
    </row>
    <row r="127" spans="1:13" hidden="1" x14ac:dyDescent="0.25">
      <c r="A127" s="1" t="s">
        <v>1</v>
      </c>
      <c r="B127" s="1" t="s">
        <v>2</v>
      </c>
      <c r="C127" s="1">
        <v>42.360599999999998</v>
      </c>
      <c r="D127" s="1">
        <v>-71.010599999999997</v>
      </c>
      <c r="E127" s="5">
        <v>40309</v>
      </c>
      <c r="F127" s="1" t="str">
        <f t="shared" ref="F127:F189" si="2">TEXT(E127,"mmmm")</f>
        <v>May</v>
      </c>
      <c r="G127" s="1">
        <v>59</v>
      </c>
      <c r="H127" s="1">
        <v>0</v>
      </c>
      <c r="I127" s="1" t="str">
        <f>IF(Table1[[#This Row],[Temperature_F]]&lt;32,"Yes","No")</f>
        <v>No</v>
      </c>
      <c r="J127" s="1" t="str" cm="1">
        <f t="array" ref="J1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7" s="1" t="str" cm="1">
        <f t="array" ref="K127">_xlfn.IFS(
H127=0,"No Rain",
H127&lt;10,"Light",
H127&lt;50,"Moderate",
TRUE,"Heavy")</f>
        <v>No Rain</v>
      </c>
      <c r="L127" s="1" t="str">
        <f>IF(Table1[[#This Row],[Precipitation_mm]]&lt;&gt;0,"Wet","Dry")</f>
        <v>Dry</v>
      </c>
      <c r="M127" t="b">
        <f>OR(ISBLANK(Table1[[#This Row],[Temperature_F]]),ISERROR(Table1[[#This Row],[Temperature_F]]))</f>
        <v>0</v>
      </c>
    </row>
    <row r="128" spans="1:13" hidden="1" x14ac:dyDescent="0.25">
      <c r="A128" s="1" t="s">
        <v>1</v>
      </c>
      <c r="B128" s="1" t="s">
        <v>2</v>
      </c>
      <c r="C128" s="1">
        <v>42.360599999999998</v>
      </c>
      <c r="D128" s="1">
        <v>-71.010599999999997</v>
      </c>
      <c r="E128" s="5">
        <v>40310</v>
      </c>
      <c r="F128" s="1" t="str">
        <f t="shared" si="2"/>
        <v>May</v>
      </c>
      <c r="G128" s="1">
        <v>58</v>
      </c>
      <c r="H128" s="1">
        <v>0</v>
      </c>
      <c r="I128" s="1" t="str">
        <f>IF(Table1[[#This Row],[Temperature_F]]&lt;32,"Yes","No")</f>
        <v>No</v>
      </c>
      <c r="J128" s="1" t="str" cm="1">
        <f t="array" ref="J1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8" s="1" t="str" cm="1">
        <f t="array" ref="K128">_xlfn.IFS(
H128=0,"No Rain",
H128&lt;10,"Light",
H128&lt;50,"Moderate",
TRUE,"Heavy")</f>
        <v>No Rain</v>
      </c>
      <c r="L128" s="1" t="str">
        <f>IF(Table1[[#This Row],[Precipitation_mm]]&lt;&gt;0,"Wet","Dry")</f>
        <v>Dry</v>
      </c>
      <c r="M128" t="b">
        <f>OR(ISBLANK(Table1[[#This Row],[Temperature_F]]),ISERROR(Table1[[#This Row],[Temperature_F]]))</f>
        <v>0</v>
      </c>
    </row>
    <row r="129" spans="1:13" hidden="1" x14ac:dyDescent="0.25">
      <c r="A129" s="1" t="s">
        <v>1</v>
      </c>
      <c r="B129" s="1" t="s">
        <v>2</v>
      </c>
      <c r="C129" s="1">
        <v>42.360599999999998</v>
      </c>
      <c r="D129" s="1">
        <v>-71.010599999999997</v>
      </c>
      <c r="E129" s="5">
        <v>40311</v>
      </c>
      <c r="F129" s="1" t="str">
        <f t="shared" si="2"/>
        <v>May</v>
      </c>
      <c r="G129" s="1">
        <v>57</v>
      </c>
      <c r="H129" s="1">
        <v>0</v>
      </c>
      <c r="I129" s="1" t="str">
        <f>IF(Table1[[#This Row],[Temperature_F]]&lt;32,"Yes","No")</f>
        <v>No</v>
      </c>
      <c r="J129" s="1" t="str" cm="1">
        <f t="array" ref="J1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9" s="1" t="str" cm="1">
        <f t="array" ref="K129">_xlfn.IFS(
H129=0,"No Rain",
H129&lt;10,"Light",
H129&lt;50,"Moderate",
TRUE,"Heavy")</f>
        <v>No Rain</v>
      </c>
      <c r="L129" s="1" t="str">
        <f>IF(Table1[[#This Row],[Precipitation_mm]]&lt;&gt;0,"Wet","Dry")</f>
        <v>Dry</v>
      </c>
      <c r="M129" t="b">
        <f>OR(ISBLANK(Table1[[#This Row],[Temperature_F]]),ISERROR(Table1[[#This Row],[Temperature_F]]))</f>
        <v>0</v>
      </c>
    </row>
    <row r="130" spans="1:13" x14ac:dyDescent="0.25">
      <c r="A130" s="1" t="s">
        <v>1</v>
      </c>
      <c r="B130" s="1" t="s">
        <v>2</v>
      </c>
      <c r="C130" s="1">
        <v>42.360599999999998</v>
      </c>
      <c r="D130" s="1">
        <v>-71.010599999999997</v>
      </c>
      <c r="E130" s="5">
        <v>40312</v>
      </c>
      <c r="F130" s="1" t="str">
        <f t="shared" si="2"/>
        <v>May</v>
      </c>
      <c r="G130" s="1">
        <v>43</v>
      </c>
      <c r="H130" s="1">
        <v>119</v>
      </c>
      <c r="I130" s="1" t="str">
        <f>IF(Table1[[#This Row],[Temperature_F]]&lt;32,"Yes","No")</f>
        <v>No</v>
      </c>
      <c r="J130" s="1" t="str" cm="1">
        <f t="array" ref="J1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0" s="1" t="str" cm="1">
        <f t="array" ref="K130">_xlfn.IFS(
H130=0,"No Rain",
H130&lt;10,"Light",
H130&lt;50,"Moderate",
TRUE,"Heavy")</f>
        <v>Heavy</v>
      </c>
      <c r="L130" s="1" t="str">
        <f>IF(Table1[[#This Row],[Precipitation_mm]]&lt;&gt;0,"Wet","Dry")</f>
        <v>Wet</v>
      </c>
      <c r="M130" t="b">
        <f>OR(ISBLANK(Table1[[#This Row],[Temperature_F]]),ISERROR(Table1[[#This Row],[Temperature_F]]))</f>
        <v>0</v>
      </c>
    </row>
    <row r="131" spans="1:13" x14ac:dyDescent="0.25">
      <c r="A131" s="1" t="s">
        <v>1</v>
      </c>
      <c r="B131" s="1" t="s">
        <v>2</v>
      </c>
      <c r="C131" s="1">
        <v>42.360599999999998</v>
      </c>
      <c r="D131" s="1">
        <v>-71.010599999999997</v>
      </c>
      <c r="E131" s="5">
        <v>40313</v>
      </c>
      <c r="F131" s="1" t="str">
        <f t="shared" si="2"/>
        <v>May</v>
      </c>
      <c r="G131" s="1">
        <v>41</v>
      </c>
      <c r="H131" s="1">
        <v>0</v>
      </c>
      <c r="I131" s="1" t="str">
        <f>IF(Table1[[#This Row],[Temperature_F]]&lt;32,"Yes","No")</f>
        <v>No</v>
      </c>
      <c r="J131" s="1" t="str" cm="1">
        <f t="array" ref="J1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1" s="1" t="str" cm="1">
        <f t="array" ref="K131">_xlfn.IFS(
H131=0,"No Rain",
H131&lt;10,"Light",
H131&lt;50,"Moderate",
TRUE,"Heavy")</f>
        <v>No Rain</v>
      </c>
      <c r="L131" s="1" t="str">
        <f>IF(Table1[[#This Row],[Precipitation_mm]]&lt;&gt;0,"Wet","Dry")</f>
        <v>Dry</v>
      </c>
      <c r="M131" t="b">
        <f>OR(ISBLANK(Table1[[#This Row],[Temperature_F]]),ISERROR(Table1[[#This Row],[Temperature_F]]))</f>
        <v>0</v>
      </c>
    </row>
    <row r="132" spans="1:13" hidden="1" x14ac:dyDescent="0.25">
      <c r="A132" s="1" t="s">
        <v>1</v>
      </c>
      <c r="B132" s="1" t="s">
        <v>2</v>
      </c>
      <c r="C132" s="1">
        <v>42.360599999999998</v>
      </c>
      <c r="D132" s="1">
        <v>-71.010599999999997</v>
      </c>
      <c r="E132" s="5">
        <v>40314</v>
      </c>
      <c r="F132" s="1" t="str">
        <f t="shared" si="2"/>
        <v>May</v>
      </c>
      <c r="G132" s="1">
        <v>59</v>
      </c>
      <c r="H132" s="1">
        <v>0</v>
      </c>
      <c r="I132" s="1" t="str">
        <f>IF(Table1[[#This Row],[Temperature_F]]&lt;32,"Yes","No")</f>
        <v>No</v>
      </c>
      <c r="J132" s="1" t="str" cm="1">
        <f t="array" ref="J1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2" s="1" t="str" cm="1">
        <f t="array" ref="K132">_xlfn.IFS(
H132=0,"No Rain",
H132&lt;10,"Light",
H132&lt;50,"Moderate",
TRUE,"Heavy")</f>
        <v>No Rain</v>
      </c>
      <c r="L132" s="1" t="str">
        <f>IF(Table1[[#This Row],[Precipitation_mm]]&lt;&gt;0,"Wet","Dry")</f>
        <v>Dry</v>
      </c>
      <c r="M132" t="b">
        <f>OR(ISBLANK(Table1[[#This Row],[Temperature_F]]),ISERROR(Table1[[#This Row],[Temperature_F]]))</f>
        <v>0</v>
      </c>
    </row>
    <row r="133" spans="1:13" hidden="1" x14ac:dyDescent="0.25">
      <c r="A133" s="1" t="s">
        <v>1</v>
      </c>
      <c r="B133" s="1" t="s">
        <v>2</v>
      </c>
      <c r="C133" s="1">
        <v>42.360599999999998</v>
      </c>
      <c r="D133" s="1">
        <v>-71.010599999999997</v>
      </c>
      <c r="E133" s="5">
        <v>40315</v>
      </c>
      <c r="F133" s="1" t="str">
        <f t="shared" si="2"/>
        <v>May</v>
      </c>
      <c r="G133" s="1">
        <v>60</v>
      </c>
      <c r="H133" s="1">
        <v>0</v>
      </c>
      <c r="I133" s="1" t="str">
        <f>IF(Table1[[#This Row],[Temperature_F]]&lt;32,"Yes","No")</f>
        <v>No</v>
      </c>
      <c r="J133" s="1" t="str" cm="1">
        <f t="array" ref="J1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3" s="1" t="str" cm="1">
        <f t="array" ref="K133">_xlfn.IFS(
H133=0,"No Rain",
H133&lt;10,"Light",
H133&lt;50,"Moderate",
TRUE,"Heavy")</f>
        <v>No Rain</v>
      </c>
      <c r="L133" s="1" t="str">
        <f>IF(Table1[[#This Row],[Precipitation_mm]]&lt;&gt;0,"Wet","Dry")</f>
        <v>Dry</v>
      </c>
      <c r="M133" t="b">
        <f>OR(ISBLANK(Table1[[#This Row],[Temperature_F]]),ISERROR(Table1[[#This Row],[Temperature_F]]))</f>
        <v>0</v>
      </c>
    </row>
    <row r="134" spans="1:13" x14ac:dyDescent="0.25">
      <c r="A134" s="1" t="s">
        <v>1</v>
      </c>
      <c r="B134" s="1" t="s">
        <v>2</v>
      </c>
      <c r="C134" s="1">
        <v>42.360599999999998</v>
      </c>
      <c r="D134" s="1">
        <v>-71.010599999999997</v>
      </c>
      <c r="E134" s="5">
        <v>40316</v>
      </c>
      <c r="F134" s="1" t="str">
        <f t="shared" si="2"/>
        <v>May</v>
      </c>
      <c r="G134" s="1">
        <v>50</v>
      </c>
      <c r="H134" s="1">
        <v>224</v>
      </c>
      <c r="I134" s="1" t="str">
        <f>IF(Table1[[#This Row],[Temperature_F]]&lt;32,"Yes","No")</f>
        <v>No</v>
      </c>
      <c r="J134" s="1" t="str" cm="1">
        <f t="array" ref="J1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4" s="1" t="str" cm="1">
        <f t="array" ref="K134">_xlfn.IFS(
H134=0,"No Rain",
H134&lt;10,"Light",
H134&lt;50,"Moderate",
TRUE,"Heavy")</f>
        <v>Heavy</v>
      </c>
      <c r="L134" s="1" t="str">
        <f>IF(Table1[[#This Row],[Precipitation_mm]]&lt;&gt;0,"Wet","Dry")</f>
        <v>Wet</v>
      </c>
      <c r="M134" t="b">
        <f>OR(ISBLANK(Table1[[#This Row],[Temperature_F]]),ISERROR(Table1[[#This Row],[Temperature_F]]))</f>
        <v>0</v>
      </c>
    </row>
    <row r="135" spans="1:13" x14ac:dyDescent="0.25">
      <c r="A135" s="1" t="s">
        <v>1</v>
      </c>
      <c r="B135" s="1" t="s">
        <v>2</v>
      </c>
      <c r="C135" s="1">
        <v>42.360599999999998</v>
      </c>
      <c r="D135" s="1">
        <v>-71.010599999999997</v>
      </c>
      <c r="E135" s="5">
        <v>40317</v>
      </c>
      <c r="F135" s="1" t="str">
        <f t="shared" si="2"/>
        <v>May</v>
      </c>
      <c r="G135" s="1">
        <v>42</v>
      </c>
      <c r="H135" s="1">
        <v>51</v>
      </c>
      <c r="I135" s="1" t="str">
        <f>IF(Table1[[#This Row],[Temperature_F]]&lt;32,"Yes","No")</f>
        <v>No</v>
      </c>
      <c r="J135" s="1" t="str" cm="1">
        <f t="array" ref="J1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5" s="1" t="str" cm="1">
        <f t="array" ref="K135">_xlfn.IFS(
H135=0,"No Rain",
H135&lt;10,"Light",
H135&lt;50,"Moderate",
TRUE,"Heavy")</f>
        <v>Heavy</v>
      </c>
      <c r="L135" s="1" t="str">
        <f>IF(Table1[[#This Row],[Precipitation_mm]]&lt;&gt;0,"Wet","Dry")</f>
        <v>Wet</v>
      </c>
      <c r="M135" t="b">
        <f>OR(ISBLANK(Table1[[#This Row],[Temperature_F]]),ISERROR(Table1[[#This Row],[Temperature_F]]))</f>
        <v>0</v>
      </c>
    </row>
    <row r="136" spans="1:13" hidden="1" x14ac:dyDescent="0.25">
      <c r="A136" s="1" t="s">
        <v>1</v>
      </c>
      <c r="B136" s="1" t="s">
        <v>2</v>
      </c>
      <c r="C136" s="1">
        <v>42.360599999999998</v>
      </c>
      <c r="D136" s="1">
        <v>-71.010599999999997</v>
      </c>
      <c r="E136" s="5">
        <v>40318</v>
      </c>
      <c r="F136" s="1" t="str">
        <f t="shared" si="2"/>
        <v>May</v>
      </c>
      <c r="G136" s="1">
        <v>52</v>
      </c>
      <c r="H136" s="1">
        <v>0</v>
      </c>
      <c r="I136" s="1" t="str">
        <f>IF(Table1[[#This Row],[Temperature_F]]&lt;32,"Yes","No")</f>
        <v>No</v>
      </c>
      <c r="J136" s="1" t="str" cm="1">
        <f t="array" ref="J1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" s="1" t="str" cm="1">
        <f t="array" ref="K136">_xlfn.IFS(
H136=0,"No Rain",
H136&lt;10,"Light",
H136&lt;50,"Moderate",
TRUE,"Heavy")</f>
        <v>No Rain</v>
      </c>
      <c r="L136" s="1" t="str">
        <f>IF(Table1[[#This Row],[Precipitation_mm]]&lt;&gt;0,"Wet","Dry")</f>
        <v>Dry</v>
      </c>
      <c r="M136" t="b">
        <f>OR(ISBLANK(Table1[[#This Row],[Temperature_F]]),ISERROR(Table1[[#This Row],[Temperature_F]]))</f>
        <v>0</v>
      </c>
    </row>
    <row r="137" spans="1:13" x14ac:dyDescent="0.25">
      <c r="A137" s="1" t="s">
        <v>1</v>
      </c>
      <c r="B137" s="1" t="s">
        <v>2</v>
      </c>
      <c r="C137" s="1">
        <v>42.360599999999998</v>
      </c>
      <c r="D137" s="1">
        <v>-71.010599999999997</v>
      </c>
      <c r="E137" s="5">
        <v>40319</v>
      </c>
      <c r="F137" s="1" t="str">
        <f t="shared" si="2"/>
        <v>May</v>
      </c>
      <c r="G137" s="1">
        <v>44</v>
      </c>
      <c r="H137" s="1">
        <v>0</v>
      </c>
      <c r="I137" s="1" t="str">
        <f>IF(Table1[[#This Row],[Temperature_F]]&lt;32,"Yes","No")</f>
        <v>No</v>
      </c>
      <c r="J137" s="1" t="str" cm="1">
        <f t="array" ref="J1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7" s="1" t="str" cm="1">
        <f t="array" ref="K137">_xlfn.IFS(
H137=0,"No Rain",
H137&lt;10,"Light",
H137&lt;50,"Moderate",
TRUE,"Heavy")</f>
        <v>No Rain</v>
      </c>
      <c r="L137" s="1" t="str">
        <f>IF(Table1[[#This Row],[Precipitation_mm]]&lt;&gt;0,"Wet","Dry")</f>
        <v>Dry</v>
      </c>
      <c r="M137" t="b">
        <f>OR(ISBLANK(Table1[[#This Row],[Temperature_F]]),ISERROR(Table1[[#This Row],[Temperature_F]]))</f>
        <v>0</v>
      </c>
    </row>
    <row r="138" spans="1:13" x14ac:dyDescent="0.25">
      <c r="A138" s="1" t="s">
        <v>1</v>
      </c>
      <c r="B138" s="1" t="s">
        <v>2</v>
      </c>
      <c r="C138" s="1">
        <v>42.360599999999998</v>
      </c>
      <c r="D138" s="1">
        <v>-71.010599999999997</v>
      </c>
      <c r="E138" s="5">
        <v>40320</v>
      </c>
      <c r="F138" s="1" t="str">
        <f t="shared" si="2"/>
        <v>May</v>
      </c>
      <c r="G138" s="1">
        <v>46</v>
      </c>
      <c r="H138" s="1">
        <v>0</v>
      </c>
      <c r="I138" s="1" t="str">
        <f>IF(Table1[[#This Row],[Temperature_F]]&lt;32,"Yes","No")</f>
        <v>No</v>
      </c>
      <c r="J138" s="1" t="str" cm="1">
        <f t="array" ref="J1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8" s="1" t="str" cm="1">
        <f t="array" ref="K138">_xlfn.IFS(
H138=0,"No Rain",
H138&lt;10,"Light",
H138&lt;50,"Moderate",
TRUE,"Heavy")</f>
        <v>No Rain</v>
      </c>
      <c r="L138" s="1" t="str">
        <f>IF(Table1[[#This Row],[Precipitation_mm]]&lt;&gt;0,"Wet","Dry")</f>
        <v>Dry</v>
      </c>
      <c r="M138" t="b">
        <f>OR(ISBLANK(Table1[[#This Row],[Temperature_F]]),ISERROR(Table1[[#This Row],[Temperature_F]]))</f>
        <v>0</v>
      </c>
    </row>
    <row r="139" spans="1:13" hidden="1" x14ac:dyDescent="0.25">
      <c r="A139" s="1" t="s">
        <v>1</v>
      </c>
      <c r="B139" s="1" t="s">
        <v>2</v>
      </c>
      <c r="C139" s="1">
        <v>42.360599999999998</v>
      </c>
      <c r="D139" s="1">
        <v>-71.010599999999997</v>
      </c>
      <c r="E139" s="5">
        <v>40321</v>
      </c>
      <c r="F139" s="1" t="str">
        <f t="shared" si="2"/>
        <v>May</v>
      </c>
      <c r="G139" s="1">
        <v>56</v>
      </c>
      <c r="H139" s="1">
        <v>0</v>
      </c>
      <c r="I139" s="1" t="str">
        <f>IF(Table1[[#This Row],[Temperature_F]]&lt;32,"Yes","No")</f>
        <v>No</v>
      </c>
      <c r="J139" s="1" t="str" cm="1">
        <f t="array" ref="J1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" s="1" t="str" cm="1">
        <f t="array" ref="K139">_xlfn.IFS(
H139=0,"No Rain",
H139&lt;10,"Light",
H139&lt;50,"Moderate",
TRUE,"Heavy")</f>
        <v>No Rain</v>
      </c>
      <c r="L139" s="1" t="str">
        <f>IF(Table1[[#This Row],[Precipitation_mm]]&lt;&gt;0,"Wet","Dry")</f>
        <v>Dry</v>
      </c>
      <c r="M139" t="b">
        <f>OR(ISBLANK(Table1[[#This Row],[Temperature_F]]),ISERROR(Table1[[#This Row],[Temperature_F]]))</f>
        <v>0</v>
      </c>
    </row>
    <row r="140" spans="1:13" x14ac:dyDescent="0.25">
      <c r="A140" s="1" t="s">
        <v>1</v>
      </c>
      <c r="B140" s="1" t="s">
        <v>2</v>
      </c>
      <c r="C140" s="1">
        <v>42.360599999999998</v>
      </c>
      <c r="D140" s="1">
        <v>-71.010599999999997</v>
      </c>
      <c r="E140" s="5">
        <v>40322</v>
      </c>
      <c r="F140" s="1" t="str">
        <f t="shared" si="2"/>
        <v>May</v>
      </c>
      <c r="G140" s="1">
        <v>44</v>
      </c>
      <c r="H140" s="1">
        <v>0</v>
      </c>
      <c r="I140" s="1" t="str">
        <f>IF(Table1[[#This Row],[Temperature_F]]&lt;32,"Yes","No")</f>
        <v>No</v>
      </c>
      <c r="J140" s="1" t="str" cm="1">
        <f t="array" ref="J1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0" s="1" t="str" cm="1">
        <f t="array" ref="K140">_xlfn.IFS(
H140=0,"No Rain",
H140&lt;10,"Light",
H140&lt;50,"Moderate",
TRUE,"Heavy")</f>
        <v>No Rain</v>
      </c>
      <c r="L140" s="1" t="str">
        <f>IF(Table1[[#This Row],[Precipitation_mm]]&lt;&gt;0,"Wet","Dry")</f>
        <v>Dry</v>
      </c>
      <c r="M140" t="b">
        <f>OR(ISBLANK(Table1[[#This Row],[Temperature_F]]),ISERROR(Table1[[#This Row],[Temperature_F]]))</f>
        <v>0</v>
      </c>
    </row>
    <row r="141" spans="1:13" hidden="1" x14ac:dyDescent="0.25">
      <c r="A141" s="1" t="s">
        <v>1</v>
      </c>
      <c r="B141" s="1" t="s">
        <v>2</v>
      </c>
      <c r="C141" s="1">
        <v>42.360599999999998</v>
      </c>
      <c r="D141" s="1">
        <v>-71.010599999999997</v>
      </c>
      <c r="E141" s="5">
        <v>40323</v>
      </c>
      <c r="F141" s="1" t="str">
        <f t="shared" si="2"/>
        <v>May</v>
      </c>
      <c r="G141" s="1">
        <v>51</v>
      </c>
      <c r="H141" s="1">
        <v>0</v>
      </c>
      <c r="I141" s="1" t="str">
        <f>IF(Table1[[#This Row],[Temperature_F]]&lt;32,"Yes","No")</f>
        <v>No</v>
      </c>
      <c r="J141" s="1" t="str" cm="1">
        <f t="array" ref="J1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1" s="1" t="str" cm="1">
        <f t="array" ref="K141">_xlfn.IFS(
H141=0,"No Rain",
H141&lt;10,"Light",
H141&lt;50,"Moderate",
TRUE,"Heavy")</f>
        <v>No Rain</v>
      </c>
      <c r="L141" s="1" t="str">
        <f>IF(Table1[[#This Row],[Precipitation_mm]]&lt;&gt;0,"Wet","Dry")</f>
        <v>Dry</v>
      </c>
      <c r="M141" t="b">
        <f>OR(ISBLANK(Table1[[#This Row],[Temperature_F]]),ISERROR(Table1[[#This Row],[Temperature_F]]))</f>
        <v>0</v>
      </c>
    </row>
    <row r="142" spans="1:13" x14ac:dyDescent="0.25">
      <c r="A142" s="1" t="s">
        <v>1</v>
      </c>
      <c r="B142" s="1" t="s">
        <v>2</v>
      </c>
      <c r="C142" s="1">
        <v>42.360599999999998</v>
      </c>
      <c r="D142" s="1">
        <v>-71.010599999999997</v>
      </c>
      <c r="E142" s="5">
        <v>40324</v>
      </c>
      <c r="F142" s="1" t="str">
        <f t="shared" si="2"/>
        <v>May</v>
      </c>
      <c r="G142" s="1">
        <v>46</v>
      </c>
      <c r="H142" s="1">
        <v>15</v>
      </c>
      <c r="I142" s="1" t="str">
        <f>IF(Table1[[#This Row],[Temperature_F]]&lt;32,"Yes","No")</f>
        <v>No</v>
      </c>
      <c r="J142" s="1" t="str" cm="1">
        <f t="array" ref="J1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2" s="1" t="str" cm="1">
        <f t="array" ref="K142">_xlfn.IFS(
H142=0,"No Rain",
H142&lt;10,"Light",
H142&lt;50,"Moderate",
TRUE,"Heavy")</f>
        <v>Moderate</v>
      </c>
      <c r="L142" s="1" t="str">
        <f>IF(Table1[[#This Row],[Precipitation_mm]]&lt;&gt;0,"Wet","Dry")</f>
        <v>Wet</v>
      </c>
      <c r="M142" t="b">
        <f>OR(ISBLANK(Table1[[#This Row],[Temperature_F]]),ISERROR(Table1[[#This Row],[Temperature_F]]))</f>
        <v>0</v>
      </c>
    </row>
    <row r="143" spans="1:13" x14ac:dyDescent="0.25">
      <c r="A143" s="1" t="s">
        <v>1</v>
      </c>
      <c r="B143" s="1" t="s">
        <v>2</v>
      </c>
      <c r="C143" s="1">
        <v>42.360599999999998</v>
      </c>
      <c r="D143" s="1">
        <v>-71.010599999999997</v>
      </c>
      <c r="E143" s="5">
        <v>40325</v>
      </c>
      <c r="F143" s="1" t="str">
        <f t="shared" si="2"/>
        <v>May</v>
      </c>
      <c r="G143" s="1">
        <v>43</v>
      </c>
      <c r="H143" s="1">
        <v>13</v>
      </c>
      <c r="I143" s="1" t="str">
        <f>IF(Table1[[#This Row],[Temperature_F]]&lt;32,"Yes","No")</f>
        <v>No</v>
      </c>
      <c r="J143" s="1" t="str" cm="1">
        <f t="array" ref="J1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3" s="1" t="str" cm="1">
        <f t="array" ref="K143">_xlfn.IFS(
H143=0,"No Rain",
H143&lt;10,"Light",
H143&lt;50,"Moderate",
TRUE,"Heavy")</f>
        <v>Moderate</v>
      </c>
      <c r="L143" s="1" t="str">
        <f>IF(Table1[[#This Row],[Precipitation_mm]]&lt;&gt;0,"Wet","Dry")</f>
        <v>Wet</v>
      </c>
      <c r="M143" t="b">
        <f>OR(ISBLANK(Table1[[#This Row],[Temperature_F]]),ISERROR(Table1[[#This Row],[Temperature_F]]))</f>
        <v>0</v>
      </c>
    </row>
    <row r="144" spans="1:13" x14ac:dyDescent="0.25">
      <c r="A144" s="1" t="s">
        <v>1</v>
      </c>
      <c r="B144" s="1" t="s">
        <v>2</v>
      </c>
      <c r="C144" s="1">
        <v>42.360599999999998</v>
      </c>
      <c r="D144" s="1">
        <v>-71.010599999999997</v>
      </c>
      <c r="E144" s="5">
        <v>40326</v>
      </c>
      <c r="F144" s="1" t="str">
        <f t="shared" si="2"/>
        <v>May</v>
      </c>
      <c r="G144" s="1">
        <v>43</v>
      </c>
      <c r="H144" s="1">
        <v>0</v>
      </c>
      <c r="I144" s="1" t="str">
        <f>IF(Table1[[#This Row],[Temperature_F]]&lt;32,"Yes","No")</f>
        <v>No</v>
      </c>
      <c r="J144" s="1" t="str" cm="1">
        <f t="array" ref="J1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4" s="1" t="str" cm="1">
        <f t="array" ref="K144">_xlfn.IFS(
H144=0,"No Rain",
H144&lt;10,"Light",
H144&lt;50,"Moderate",
TRUE,"Heavy")</f>
        <v>No Rain</v>
      </c>
      <c r="L144" s="1" t="str">
        <f>IF(Table1[[#This Row],[Precipitation_mm]]&lt;&gt;0,"Wet","Dry")</f>
        <v>Dry</v>
      </c>
      <c r="M144" t="b">
        <f>OR(ISBLANK(Table1[[#This Row],[Temperature_F]]),ISERROR(Table1[[#This Row],[Temperature_F]]))</f>
        <v>0</v>
      </c>
    </row>
    <row r="145" spans="1:13" x14ac:dyDescent="0.25">
      <c r="A145" s="1" t="s">
        <v>1</v>
      </c>
      <c r="B145" s="1" t="s">
        <v>2</v>
      </c>
      <c r="C145" s="1">
        <v>42.360599999999998</v>
      </c>
      <c r="D145" s="1">
        <v>-71.010599999999997</v>
      </c>
      <c r="E145" s="5">
        <v>40327</v>
      </c>
      <c r="F145" s="1" t="str">
        <f t="shared" si="2"/>
        <v>May</v>
      </c>
      <c r="G145" s="1">
        <v>50</v>
      </c>
      <c r="H145" s="1">
        <v>0</v>
      </c>
      <c r="I145" s="1" t="str">
        <f>IF(Table1[[#This Row],[Temperature_F]]&lt;32,"Yes","No")</f>
        <v>No</v>
      </c>
      <c r="J145" s="1" t="str" cm="1">
        <f t="array" ref="J1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5" s="1" t="str" cm="1">
        <f t="array" ref="K145">_xlfn.IFS(
H145=0,"No Rain",
H145&lt;10,"Light",
H145&lt;50,"Moderate",
TRUE,"Heavy")</f>
        <v>No Rain</v>
      </c>
      <c r="L145" s="1" t="str">
        <f>IF(Table1[[#This Row],[Precipitation_mm]]&lt;&gt;0,"Wet","Dry")</f>
        <v>Dry</v>
      </c>
      <c r="M145" t="b">
        <f>OR(ISBLANK(Table1[[#This Row],[Temperature_F]]),ISERROR(Table1[[#This Row],[Temperature_F]]))</f>
        <v>0</v>
      </c>
    </row>
    <row r="146" spans="1:13" x14ac:dyDescent="0.25">
      <c r="A146" s="1" t="s">
        <v>1</v>
      </c>
      <c r="B146" s="1" t="s">
        <v>2</v>
      </c>
      <c r="C146" s="1">
        <v>42.360599999999998</v>
      </c>
      <c r="D146" s="1">
        <v>-71.010599999999997</v>
      </c>
      <c r="E146" s="5">
        <v>40328</v>
      </c>
      <c r="F146" s="1" t="str">
        <f t="shared" si="2"/>
        <v>May</v>
      </c>
      <c r="G146" s="1">
        <v>42</v>
      </c>
      <c r="H146" s="1">
        <v>0</v>
      </c>
      <c r="I146" s="1" t="str">
        <f>IF(Table1[[#This Row],[Temperature_F]]&lt;32,"Yes","No")</f>
        <v>No</v>
      </c>
      <c r="J146" s="1" t="str" cm="1">
        <f t="array" ref="J1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6" s="1" t="str" cm="1">
        <f t="array" ref="K146">_xlfn.IFS(
H146=0,"No Rain",
H146&lt;10,"Light",
H146&lt;50,"Moderate",
TRUE,"Heavy")</f>
        <v>No Rain</v>
      </c>
      <c r="L146" s="1" t="str">
        <f>IF(Table1[[#This Row],[Precipitation_mm]]&lt;&gt;0,"Wet","Dry")</f>
        <v>Dry</v>
      </c>
      <c r="M146" t="b">
        <f>OR(ISBLANK(Table1[[#This Row],[Temperature_F]]),ISERROR(Table1[[#This Row],[Temperature_F]]))</f>
        <v>0</v>
      </c>
    </row>
    <row r="147" spans="1:13" hidden="1" x14ac:dyDescent="0.25">
      <c r="A147" s="1" t="s">
        <v>1</v>
      </c>
      <c r="B147" s="1" t="s">
        <v>2</v>
      </c>
      <c r="C147" s="1">
        <v>42.360599999999998</v>
      </c>
      <c r="D147" s="1">
        <v>-71.010599999999997</v>
      </c>
      <c r="E147" s="5">
        <v>40329</v>
      </c>
      <c r="F147" s="1" t="str">
        <f t="shared" si="2"/>
        <v>May</v>
      </c>
      <c r="G147" s="1">
        <v>56</v>
      </c>
      <c r="H147" s="1">
        <v>0</v>
      </c>
      <c r="I147" s="1" t="str">
        <f>IF(Table1[[#This Row],[Temperature_F]]&lt;32,"Yes","No")</f>
        <v>No</v>
      </c>
      <c r="J147" s="1" t="str" cm="1">
        <f t="array" ref="J1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7" s="1" t="str" cm="1">
        <f t="array" ref="K147">_xlfn.IFS(
H147=0,"No Rain",
H147&lt;10,"Light",
H147&lt;50,"Moderate",
TRUE,"Heavy")</f>
        <v>No Rain</v>
      </c>
      <c r="L147" s="1" t="str">
        <f>IF(Table1[[#This Row],[Precipitation_mm]]&lt;&gt;0,"Wet","Dry")</f>
        <v>Dry</v>
      </c>
      <c r="M147" t="b">
        <f>OR(ISBLANK(Table1[[#This Row],[Temperature_F]]),ISERROR(Table1[[#This Row],[Temperature_F]]))</f>
        <v>0</v>
      </c>
    </row>
    <row r="148" spans="1:13" hidden="1" x14ac:dyDescent="0.25">
      <c r="A148" s="1" t="s">
        <v>1</v>
      </c>
      <c r="B148" s="1" t="s">
        <v>2</v>
      </c>
      <c r="C148" s="1">
        <v>42.360599999999998</v>
      </c>
      <c r="D148" s="1">
        <v>-71.010599999999997</v>
      </c>
      <c r="E148" s="5">
        <v>40330</v>
      </c>
      <c r="F148" s="1" t="str">
        <f t="shared" si="2"/>
        <v>June</v>
      </c>
      <c r="G148" s="1">
        <v>69</v>
      </c>
      <c r="H148" s="1">
        <v>109</v>
      </c>
      <c r="I148" s="1" t="str">
        <f>IF(Table1[[#This Row],[Temperature_F]]&lt;32,"Yes","No")</f>
        <v>No</v>
      </c>
      <c r="J148" s="1" t="str" cm="1">
        <f t="array" ref="J1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48" s="1" t="str" cm="1">
        <f t="array" ref="K148">_xlfn.IFS(
H148=0,"No Rain",
H148&lt;10,"Light",
H148&lt;50,"Moderate",
TRUE,"Heavy")</f>
        <v>Heavy</v>
      </c>
      <c r="L148" s="1" t="str">
        <f>IF(Table1[[#This Row],[Precipitation_mm]]&lt;&gt;0,"Wet","Dry")</f>
        <v>Wet</v>
      </c>
      <c r="M148" t="b">
        <f>OR(ISBLANK(Table1[[#This Row],[Temperature_F]]),ISERROR(Table1[[#This Row],[Temperature_F]]))</f>
        <v>0</v>
      </c>
    </row>
    <row r="149" spans="1:13" hidden="1" x14ac:dyDescent="0.25">
      <c r="A149" s="1" t="s">
        <v>1</v>
      </c>
      <c r="B149" s="1" t="s">
        <v>2</v>
      </c>
      <c r="C149" s="1">
        <v>42.360599999999998</v>
      </c>
      <c r="D149" s="1">
        <v>-71.010599999999997</v>
      </c>
      <c r="E149" s="5">
        <v>40331</v>
      </c>
      <c r="F149" s="1" t="str">
        <f t="shared" si="2"/>
        <v>June</v>
      </c>
      <c r="G149" s="1">
        <v>69</v>
      </c>
      <c r="H149" s="1">
        <v>0</v>
      </c>
      <c r="I149" s="1" t="str">
        <f>IF(Table1[[#This Row],[Temperature_F]]&lt;32,"Yes","No")</f>
        <v>No</v>
      </c>
      <c r="J149" s="1" t="str" cm="1">
        <f t="array" ref="J1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49" s="1" t="str" cm="1">
        <f t="array" ref="K149">_xlfn.IFS(
H149=0,"No Rain",
H149&lt;10,"Light",
H149&lt;50,"Moderate",
TRUE,"Heavy")</f>
        <v>No Rain</v>
      </c>
      <c r="L149" s="1" t="str">
        <f>IF(Table1[[#This Row],[Precipitation_mm]]&lt;&gt;0,"Wet","Dry")</f>
        <v>Dry</v>
      </c>
      <c r="M149" t="b">
        <f>OR(ISBLANK(Table1[[#This Row],[Temperature_F]]),ISERROR(Table1[[#This Row],[Temperature_F]]))</f>
        <v>0</v>
      </c>
    </row>
    <row r="150" spans="1:13" hidden="1" x14ac:dyDescent="0.25">
      <c r="A150" s="1" t="s">
        <v>1</v>
      </c>
      <c r="B150" s="1" t="s">
        <v>2</v>
      </c>
      <c r="C150" s="1">
        <v>42.360599999999998</v>
      </c>
      <c r="D150" s="1">
        <v>-71.010599999999997</v>
      </c>
      <c r="E150" s="5">
        <v>40332</v>
      </c>
      <c r="F150" s="1" t="str">
        <f t="shared" si="2"/>
        <v>June</v>
      </c>
      <c r="G150" s="1">
        <v>84</v>
      </c>
      <c r="H150" s="1">
        <v>178</v>
      </c>
      <c r="I150" s="1" t="str">
        <f>IF(Table1[[#This Row],[Temperature_F]]&lt;32,"Yes","No")</f>
        <v>No</v>
      </c>
      <c r="J150" s="1" t="str" cm="1">
        <f t="array" ref="J1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0" s="1" t="str" cm="1">
        <f t="array" ref="K150">_xlfn.IFS(
H150=0,"No Rain",
H150&lt;10,"Light",
H150&lt;50,"Moderate",
TRUE,"Heavy")</f>
        <v>Heavy</v>
      </c>
      <c r="L150" s="1" t="str">
        <f>IF(Table1[[#This Row],[Precipitation_mm]]&lt;&gt;0,"Wet","Dry")</f>
        <v>Wet</v>
      </c>
      <c r="M150" t="b">
        <f>OR(ISBLANK(Table1[[#This Row],[Temperature_F]]),ISERROR(Table1[[#This Row],[Temperature_F]]))</f>
        <v>0</v>
      </c>
    </row>
    <row r="151" spans="1:13" hidden="1" x14ac:dyDescent="0.25">
      <c r="A151" s="1" t="s">
        <v>1</v>
      </c>
      <c r="B151" s="1" t="s">
        <v>2</v>
      </c>
      <c r="C151" s="1">
        <v>42.360599999999998</v>
      </c>
      <c r="D151" s="1">
        <v>-71.010599999999997</v>
      </c>
      <c r="E151" s="5">
        <v>40333</v>
      </c>
      <c r="F151" s="1" t="str">
        <f t="shared" si="2"/>
        <v>June</v>
      </c>
      <c r="G151" s="1">
        <v>79</v>
      </c>
      <c r="H151" s="1">
        <v>0</v>
      </c>
      <c r="I151" s="1" t="str">
        <f>IF(Table1[[#This Row],[Temperature_F]]&lt;32,"Yes","No")</f>
        <v>No</v>
      </c>
      <c r="J151" s="1" t="str" cm="1">
        <f t="array" ref="J1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1" s="1" t="str" cm="1">
        <f t="array" ref="K151">_xlfn.IFS(
H151=0,"No Rain",
H151&lt;10,"Light",
H151&lt;50,"Moderate",
TRUE,"Heavy")</f>
        <v>No Rain</v>
      </c>
      <c r="L151" s="1" t="str">
        <f>IF(Table1[[#This Row],[Precipitation_mm]]&lt;&gt;0,"Wet","Dry")</f>
        <v>Dry</v>
      </c>
      <c r="M151" t="b">
        <f>OR(ISBLANK(Table1[[#This Row],[Temperature_F]]),ISERROR(Table1[[#This Row],[Temperature_F]]))</f>
        <v>0</v>
      </c>
    </row>
    <row r="152" spans="1:13" hidden="1" x14ac:dyDescent="0.25">
      <c r="A152" s="1" t="s">
        <v>1</v>
      </c>
      <c r="B152" s="1" t="s">
        <v>2</v>
      </c>
      <c r="C152" s="1">
        <v>42.360599999999998</v>
      </c>
      <c r="D152" s="1">
        <v>-71.010599999999997</v>
      </c>
      <c r="E152" s="5">
        <v>40334</v>
      </c>
      <c r="F152" s="1" t="str">
        <f t="shared" si="2"/>
        <v>June</v>
      </c>
      <c r="G152" s="1">
        <v>67</v>
      </c>
      <c r="H152" s="1">
        <v>180</v>
      </c>
      <c r="I152" s="1" t="str">
        <f>IF(Table1[[#This Row],[Temperature_F]]&lt;32,"Yes","No")</f>
        <v>No</v>
      </c>
      <c r="J152" s="1" t="str" cm="1">
        <f t="array" ref="J1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52" s="1" t="str" cm="1">
        <f t="array" ref="K152">_xlfn.IFS(
H152=0,"No Rain",
H152&lt;10,"Light",
H152&lt;50,"Moderate",
TRUE,"Heavy")</f>
        <v>Heavy</v>
      </c>
      <c r="L152" s="1" t="str">
        <f>IF(Table1[[#This Row],[Precipitation_mm]]&lt;&gt;0,"Wet","Dry")</f>
        <v>Wet</v>
      </c>
      <c r="M152" t="b">
        <f>OR(ISBLANK(Table1[[#This Row],[Temperature_F]]),ISERROR(Table1[[#This Row],[Temperature_F]]))</f>
        <v>0</v>
      </c>
    </row>
    <row r="153" spans="1:13" hidden="1" x14ac:dyDescent="0.25">
      <c r="A153" s="1" t="s">
        <v>1</v>
      </c>
      <c r="B153" s="1" t="s">
        <v>2</v>
      </c>
      <c r="C153" s="1">
        <v>42.360599999999998</v>
      </c>
      <c r="D153" s="1">
        <v>-71.010599999999997</v>
      </c>
      <c r="E153" s="5">
        <v>40335</v>
      </c>
      <c r="F153" s="1" t="str">
        <f t="shared" si="2"/>
        <v>June</v>
      </c>
      <c r="G153" s="1">
        <v>69</v>
      </c>
      <c r="H153" s="1">
        <v>180</v>
      </c>
      <c r="I153" s="1" t="str">
        <f>IF(Table1[[#This Row],[Temperature_F]]&lt;32,"Yes","No")</f>
        <v>No</v>
      </c>
      <c r="J153" s="1" t="str" cm="1">
        <f t="array" ref="J1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3" s="1" t="str" cm="1">
        <f t="array" ref="K153">_xlfn.IFS(
H153=0,"No Rain",
H153&lt;10,"Light",
H153&lt;50,"Moderate",
TRUE,"Heavy")</f>
        <v>Heavy</v>
      </c>
      <c r="L153" s="1" t="str">
        <f>IF(Table1[[#This Row],[Precipitation_mm]]&lt;&gt;0,"Wet","Dry")</f>
        <v>Wet</v>
      </c>
      <c r="M153" t="b">
        <f>OR(ISBLANK(Table1[[#This Row],[Temperature_F]]),ISERROR(Table1[[#This Row],[Temperature_F]]))</f>
        <v>0</v>
      </c>
    </row>
    <row r="154" spans="1:13" hidden="1" x14ac:dyDescent="0.25">
      <c r="A154" s="1" t="s">
        <v>1</v>
      </c>
      <c r="B154" s="1" t="s">
        <v>2</v>
      </c>
      <c r="C154" s="1">
        <v>42.360599999999998</v>
      </c>
      <c r="D154" s="1">
        <v>-71.010599999999997</v>
      </c>
      <c r="E154" s="5">
        <v>40336</v>
      </c>
      <c r="F154" s="1" t="str">
        <f t="shared" si="2"/>
        <v>June</v>
      </c>
      <c r="G154" s="1">
        <v>69</v>
      </c>
      <c r="H154" s="1">
        <v>0</v>
      </c>
      <c r="I154" s="1" t="str">
        <f>IF(Table1[[#This Row],[Temperature_F]]&lt;32,"Yes","No")</f>
        <v>No</v>
      </c>
      <c r="J154" s="1" t="str" cm="1">
        <f t="array" ref="J1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4" s="1" t="str" cm="1">
        <f t="array" ref="K154">_xlfn.IFS(
H154=0,"No Rain",
H154&lt;10,"Light",
H154&lt;50,"Moderate",
TRUE,"Heavy")</f>
        <v>No Rain</v>
      </c>
      <c r="L154" s="1" t="str">
        <f>IF(Table1[[#This Row],[Precipitation_mm]]&lt;&gt;0,"Wet","Dry")</f>
        <v>Dry</v>
      </c>
      <c r="M154" t="b">
        <f>OR(ISBLANK(Table1[[#This Row],[Temperature_F]]),ISERROR(Table1[[#This Row],[Temperature_F]]))</f>
        <v>0</v>
      </c>
    </row>
    <row r="155" spans="1:13" hidden="1" x14ac:dyDescent="0.25">
      <c r="A155" s="1" t="s">
        <v>1</v>
      </c>
      <c r="B155" s="1" t="s">
        <v>2</v>
      </c>
      <c r="C155" s="1">
        <v>42.360599999999998</v>
      </c>
      <c r="D155" s="1">
        <v>-71.010599999999997</v>
      </c>
      <c r="E155" s="5">
        <v>40337</v>
      </c>
      <c r="F155" s="1" t="str">
        <f t="shared" si="2"/>
        <v>June</v>
      </c>
      <c r="G155" s="1">
        <v>75</v>
      </c>
      <c r="H155" s="1">
        <v>0</v>
      </c>
      <c r="I155" s="1" t="str">
        <f>IF(Table1[[#This Row],[Temperature_F]]&lt;32,"Yes","No")</f>
        <v>No</v>
      </c>
      <c r="J155" s="1" t="str" cm="1">
        <f t="array" ref="J1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5" s="1" t="str" cm="1">
        <f t="array" ref="K155">_xlfn.IFS(
H155=0,"No Rain",
H155&lt;10,"Light",
H155&lt;50,"Moderate",
TRUE,"Heavy")</f>
        <v>No Rain</v>
      </c>
      <c r="L155" s="1" t="str">
        <f>IF(Table1[[#This Row],[Precipitation_mm]]&lt;&gt;0,"Wet","Dry")</f>
        <v>Dry</v>
      </c>
      <c r="M155" t="b">
        <f>OR(ISBLANK(Table1[[#This Row],[Temperature_F]]),ISERROR(Table1[[#This Row],[Temperature_F]]))</f>
        <v>0</v>
      </c>
    </row>
    <row r="156" spans="1:13" hidden="1" x14ac:dyDescent="0.25">
      <c r="A156" s="1" t="s">
        <v>1</v>
      </c>
      <c r="B156" s="1" t="s">
        <v>2</v>
      </c>
      <c r="C156" s="1">
        <v>42.360599999999998</v>
      </c>
      <c r="D156" s="1">
        <v>-71.010599999999997</v>
      </c>
      <c r="E156" s="5">
        <v>40338</v>
      </c>
      <c r="F156" s="1" t="str">
        <f t="shared" si="2"/>
        <v>June</v>
      </c>
      <c r="G156" s="1">
        <v>90</v>
      </c>
      <c r="H156" s="1">
        <v>10</v>
      </c>
      <c r="I156" s="1" t="str">
        <f>IF(Table1[[#This Row],[Temperature_F]]&lt;32,"Yes","No")</f>
        <v>No</v>
      </c>
      <c r="J156" s="1" t="str" cm="1">
        <f t="array" ref="J1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56" s="1" t="str" cm="1">
        <f t="array" ref="K156">_xlfn.IFS(
H156=0,"No Rain",
H156&lt;10,"Light",
H156&lt;50,"Moderate",
TRUE,"Heavy")</f>
        <v>Moderate</v>
      </c>
      <c r="L156" s="1" t="str">
        <f>IF(Table1[[#This Row],[Precipitation_mm]]&lt;&gt;0,"Wet","Dry")</f>
        <v>Wet</v>
      </c>
      <c r="M156" t="b">
        <f>OR(ISBLANK(Table1[[#This Row],[Temperature_F]]),ISERROR(Table1[[#This Row],[Temperature_F]]))</f>
        <v>0</v>
      </c>
    </row>
    <row r="157" spans="1:13" hidden="1" x14ac:dyDescent="0.25">
      <c r="A157" s="1" t="s">
        <v>1</v>
      </c>
      <c r="B157" s="1" t="s">
        <v>2</v>
      </c>
      <c r="C157" s="1">
        <v>42.360599999999998</v>
      </c>
      <c r="D157" s="1">
        <v>-71.010599999999997</v>
      </c>
      <c r="E157" s="5">
        <v>40339</v>
      </c>
      <c r="F157" s="1" t="str">
        <f t="shared" si="2"/>
        <v>June</v>
      </c>
      <c r="G157" s="1">
        <v>72</v>
      </c>
      <c r="H157" s="1">
        <v>25</v>
      </c>
      <c r="I157" s="1" t="str">
        <f>IF(Table1[[#This Row],[Temperature_F]]&lt;32,"Yes","No")</f>
        <v>No</v>
      </c>
      <c r="J157" s="1" t="str" cm="1">
        <f t="array" ref="J1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7" s="1" t="str" cm="1">
        <f t="array" ref="K157">_xlfn.IFS(
H157=0,"No Rain",
H157&lt;10,"Light",
H157&lt;50,"Moderate",
TRUE,"Heavy")</f>
        <v>Moderate</v>
      </c>
      <c r="L157" s="1" t="str">
        <f>IF(Table1[[#This Row],[Precipitation_mm]]&lt;&gt;0,"Wet","Dry")</f>
        <v>Wet</v>
      </c>
      <c r="M157" t="b">
        <f>OR(ISBLANK(Table1[[#This Row],[Temperature_F]]),ISERROR(Table1[[#This Row],[Temperature_F]]))</f>
        <v>0</v>
      </c>
    </row>
    <row r="158" spans="1:13" hidden="1" x14ac:dyDescent="0.25">
      <c r="A158" s="1" t="s">
        <v>1</v>
      </c>
      <c r="B158" s="1" t="s">
        <v>2</v>
      </c>
      <c r="C158" s="1">
        <v>42.360599999999998</v>
      </c>
      <c r="D158" s="1">
        <v>-71.010599999999997</v>
      </c>
      <c r="E158" s="5">
        <v>40340</v>
      </c>
      <c r="F158" s="1" t="str">
        <f t="shared" si="2"/>
        <v>June</v>
      </c>
      <c r="G158" s="1">
        <v>78</v>
      </c>
      <c r="H158" s="1">
        <v>0</v>
      </c>
      <c r="I158" s="1" t="str">
        <f>IF(Table1[[#This Row],[Temperature_F]]&lt;32,"Yes","No")</f>
        <v>No</v>
      </c>
      <c r="J158" s="1" t="str" cm="1">
        <f t="array" ref="J1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8" s="1" t="str" cm="1">
        <f t="array" ref="K158">_xlfn.IFS(
H158=0,"No Rain",
H158&lt;10,"Light",
H158&lt;50,"Moderate",
TRUE,"Heavy")</f>
        <v>No Rain</v>
      </c>
      <c r="L158" s="1" t="str">
        <f>IF(Table1[[#This Row],[Precipitation_mm]]&lt;&gt;0,"Wet","Dry")</f>
        <v>Dry</v>
      </c>
      <c r="M158" t="b">
        <f>OR(ISBLANK(Table1[[#This Row],[Temperature_F]]),ISERROR(Table1[[#This Row],[Temperature_F]]))</f>
        <v>0</v>
      </c>
    </row>
    <row r="159" spans="1:13" hidden="1" x14ac:dyDescent="0.25">
      <c r="A159" s="1" t="s">
        <v>1</v>
      </c>
      <c r="B159" s="1" t="s">
        <v>2</v>
      </c>
      <c r="C159" s="1">
        <v>42.360599999999998</v>
      </c>
      <c r="D159" s="1">
        <v>-71.010599999999997</v>
      </c>
      <c r="E159" s="5">
        <v>40341</v>
      </c>
      <c r="F159" s="1" t="str">
        <f t="shared" si="2"/>
        <v>June</v>
      </c>
      <c r="G159" s="1">
        <v>80</v>
      </c>
      <c r="H159" s="1">
        <v>46</v>
      </c>
      <c r="I159" s="1" t="str">
        <f>IF(Table1[[#This Row],[Temperature_F]]&lt;32,"Yes","No")</f>
        <v>No</v>
      </c>
      <c r="J159" s="1" t="str" cm="1">
        <f t="array" ref="J1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59" s="1" t="str" cm="1">
        <f t="array" ref="K159">_xlfn.IFS(
H159=0,"No Rain",
H159&lt;10,"Light",
H159&lt;50,"Moderate",
TRUE,"Heavy")</f>
        <v>Moderate</v>
      </c>
      <c r="L159" s="1" t="str">
        <f>IF(Table1[[#This Row],[Precipitation_mm]]&lt;&gt;0,"Wet","Dry")</f>
        <v>Wet</v>
      </c>
      <c r="M159" t="b">
        <f>OR(ISBLANK(Table1[[#This Row],[Temperature_F]]),ISERROR(Table1[[#This Row],[Temperature_F]]))</f>
        <v>0</v>
      </c>
    </row>
    <row r="160" spans="1:13" hidden="1" x14ac:dyDescent="0.25">
      <c r="A160" s="1" t="s">
        <v>1</v>
      </c>
      <c r="B160" s="1" t="s">
        <v>2</v>
      </c>
      <c r="C160" s="1">
        <v>42.360599999999998</v>
      </c>
      <c r="D160" s="1">
        <v>-71.010599999999997</v>
      </c>
      <c r="E160" s="5">
        <v>40342</v>
      </c>
      <c r="F160" s="1" t="str">
        <f t="shared" si="2"/>
        <v>June</v>
      </c>
      <c r="G160" s="1">
        <v>68</v>
      </c>
      <c r="H160" s="1">
        <v>5</v>
      </c>
      <c r="I160" s="1" t="str">
        <f>IF(Table1[[#This Row],[Temperature_F]]&lt;32,"Yes","No")</f>
        <v>No</v>
      </c>
      <c r="J160" s="1" t="str" cm="1">
        <f t="array" ref="J1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60" s="1" t="str" cm="1">
        <f t="array" ref="K160">_xlfn.IFS(
H160=0,"No Rain",
H160&lt;10,"Light",
H160&lt;50,"Moderate",
TRUE,"Heavy")</f>
        <v>Light</v>
      </c>
      <c r="L160" s="1" t="str">
        <f>IF(Table1[[#This Row],[Precipitation_mm]]&lt;&gt;0,"Wet","Dry")</f>
        <v>Wet</v>
      </c>
      <c r="M160" t="b">
        <f>OR(ISBLANK(Table1[[#This Row],[Temperature_F]]),ISERROR(Table1[[#This Row],[Temperature_F]]))</f>
        <v>0</v>
      </c>
    </row>
    <row r="161" spans="1:13" hidden="1" x14ac:dyDescent="0.25">
      <c r="A161" s="1" t="s">
        <v>1</v>
      </c>
      <c r="B161" s="1" t="s">
        <v>2</v>
      </c>
      <c r="C161" s="1">
        <v>42.360599999999998</v>
      </c>
      <c r="D161" s="1">
        <v>-71.010599999999997</v>
      </c>
      <c r="E161" s="5">
        <v>40343</v>
      </c>
      <c r="F161" s="1" t="str">
        <f t="shared" si="2"/>
        <v>June</v>
      </c>
      <c r="G161" s="1">
        <v>78</v>
      </c>
      <c r="H161" s="1">
        <v>0</v>
      </c>
      <c r="I161" s="1" t="str">
        <f>IF(Table1[[#This Row],[Temperature_F]]&lt;32,"Yes","No")</f>
        <v>No</v>
      </c>
      <c r="J161" s="1" t="str" cm="1">
        <f t="array" ref="J1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1" s="1" t="str" cm="1">
        <f t="array" ref="K161">_xlfn.IFS(
H161=0,"No Rain",
H161&lt;10,"Light",
H161&lt;50,"Moderate",
TRUE,"Heavy")</f>
        <v>No Rain</v>
      </c>
      <c r="L161" s="1" t="str">
        <f>IF(Table1[[#This Row],[Precipitation_mm]]&lt;&gt;0,"Wet","Dry")</f>
        <v>Dry</v>
      </c>
      <c r="M161" t="b">
        <f>OR(ISBLANK(Table1[[#This Row],[Temperature_F]]),ISERROR(Table1[[#This Row],[Temperature_F]]))</f>
        <v>0</v>
      </c>
    </row>
    <row r="162" spans="1:13" hidden="1" x14ac:dyDescent="0.25">
      <c r="A162" s="1" t="s">
        <v>1</v>
      </c>
      <c r="B162" s="1" t="s">
        <v>2</v>
      </c>
      <c r="C162" s="1">
        <v>42.360599999999998</v>
      </c>
      <c r="D162" s="1">
        <v>-71.010599999999997</v>
      </c>
      <c r="E162" s="5">
        <v>40344</v>
      </c>
      <c r="F162" s="1" t="str">
        <f t="shared" si="2"/>
        <v>June</v>
      </c>
      <c r="G162" s="1">
        <v>69</v>
      </c>
      <c r="H162" s="1">
        <v>0</v>
      </c>
      <c r="I162" s="1" t="str">
        <f>IF(Table1[[#This Row],[Temperature_F]]&lt;32,"Yes","No")</f>
        <v>No</v>
      </c>
      <c r="J162" s="1" t="str" cm="1">
        <f t="array" ref="J1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2" s="1" t="str" cm="1">
        <f t="array" ref="K162">_xlfn.IFS(
H162=0,"No Rain",
H162&lt;10,"Light",
H162&lt;50,"Moderate",
TRUE,"Heavy")</f>
        <v>No Rain</v>
      </c>
      <c r="L162" s="1" t="str">
        <f>IF(Table1[[#This Row],[Precipitation_mm]]&lt;&gt;0,"Wet","Dry")</f>
        <v>Dry</v>
      </c>
      <c r="M162" t="b">
        <f>OR(ISBLANK(Table1[[#This Row],[Temperature_F]]),ISERROR(Table1[[#This Row],[Temperature_F]]))</f>
        <v>0</v>
      </c>
    </row>
    <row r="163" spans="1:13" hidden="1" x14ac:dyDescent="0.25">
      <c r="A163" s="1" t="s">
        <v>1</v>
      </c>
      <c r="B163" s="1" t="s">
        <v>2</v>
      </c>
      <c r="C163" s="1">
        <v>42.360599999999998</v>
      </c>
      <c r="D163" s="1">
        <v>-71.010599999999997</v>
      </c>
      <c r="E163" s="5">
        <v>40345</v>
      </c>
      <c r="F163" s="1" t="str">
        <f t="shared" si="2"/>
        <v>June</v>
      </c>
      <c r="G163" s="1">
        <v>80</v>
      </c>
      <c r="H163" s="1">
        <v>5</v>
      </c>
      <c r="I163" s="1" t="str">
        <f>IF(Table1[[#This Row],[Temperature_F]]&lt;32,"Yes","No")</f>
        <v>No</v>
      </c>
      <c r="J163" s="1" t="str" cm="1">
        <f t="array" ref="J1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3" s="1" t="str" cm="1">
        <f t="array" ref="K163">_xlfn.IFS(
H163=0,"No Rain",
H163&lt;10,"Light",
H163&lt;50,"Moderate",
TRUE,"Heavy")</f>
        <v>Light</v>
      </c>
      <c r="L163" s="1" t="str">
        <f>IF(Table1[[#This Row],[Precipitation_mm]]&lt;&gt;0,"Wet","Dry")</f>
        <v>Wet</v>
      </c>
      <c r="M163" t="b">
        <f>OR(ISBLANK(Table1[[#This Row],[Temperature_F]]),ISERROR(Table1[[#This Row],[Temperature_F]]))</f>
        <v>0</v>
      </c>
    </row>
    <row r="164" spans="1:13" hidden="1" x14ac:dyDescent="0.25">
      <c r="A164" s="1" t="s">
        <v>1</v>
      </c>
      <c r="B164" s="1" t="s">
        <v>2</v>
      </c>
      <c r="C164" s="1">
        <v>42.360599999999998</v>
      </c>
      <c r="D164" s="1">
        <v>-71.010599999999997</v>
      </c>
      <c r="E164" s="5">
        <v>40346</v>
      </c>
      <c r="F164" s="1" t="str">
        <f t="shared" si="2"/>
        <v>June</v>
      </c>
      <c r="G164" s="1">
        <v>82</v>
      </c>
      <c r="H164" s="1">
        <v>0</v>
      </c>
      <c r="I164" s="1" t="str">
        <f>IF(Table1[[#This Row],[Temperature_F]]&lt;32,"Yes","No")</f>
        <v>No</v>
      </c>
      <c r="J164" s="1" t="str" cm="1">
        <f t="array" ref="J1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4" s="1" t="str" cm="1">
        <f t="array" ref="K164">_xlfn.IFS(
H164=0,"No Rain",
H164&lt;10,"Light",
H164&lt;50,"Moderate",
TRUE,"Heavy")</f>
        <v>No Rain</v>
      </c>
      <c r="L164" s="1" t="str">
        <f>IF(Table1[[#This Row],[Precipitation_mm]]&lt;&gt;0,"Wet","Dry")</f>
        <v>Dry</v>
      </c>
      <c r="M164" t="b">
        <f>OR(ISBLANK(Table1[[#This Row],[Temperature_F]]),ISERROR(Table1[[#This Row],[Temperature_F]]))</f>
        <v>0</v>
      </c>
    </row>
    <row r="165" spans="1:13" hidden="1" x14ac:dyDescent="0.25">
      <c r="A165" s="1" t="s">
        <v>1</v>
      </c>
      <c r="B165" s="1" t="s">
        <v>2</v>
      </c>
      <c r="C165" s="1">
        <v>42.360599999999998</v>
      </c>
      <c r="D165" s="1">
        <v>-71.010599999999997</v>
      </c>
      <c r="E165" s="5">
        <v>40347</v>
      </c>
      <c r="F165" s="1" t="str">
        <f t="shared" si="2"/>
        <v>June</v>
      </c>
      <c r="G165" s="1">
        <v>69</v>
      </c>
      <c r="H165" s="1">
        <v>0</v>
      </c>
      <c r="I165" s="1" t="str">
        <f>IF(Table1[[#This Row],[Temperature_F]]&lt;32,"Yes","No")</f>
        <v>No</v>
      </c>
      <c r="J165" s="1" t="str" cm="1">
        <f t="array" ref="J1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5" s="1" t="str" cm="1">
        <f t="array" ref="K165">_xlfn.IFS(
H165=0,"No Rain",
H165&lt;10,"Light",
H165&lt;50,"Moderate",
TRUE,"Heavy")</f>
        <v>No Rain</v>
      </c>
      <c r="L165" s="1" t="str">
        <f>IF(Table1[[#This Row],[Precipitation_mm]]&lt;&gt;0,"Wet","Dry")</f>
        <v>Dry</v>
      </c>
      <c r="M165" t="b">
        <f>OR(ISBLANK(Table1[[#This Row],[Temperature_F]]),ISERROR(Table1[[#This Row],[Temperature_F]]))</f>
        <v>0</v>
      </c>
    </row>
    <row r="166" spans="1:13" hidden="1" x14ac:dyDescent="0.25">
      <c r="A166" s="1" t="s">
        <v>1</v>
      </c>
      <c r="B166" s="1" t="s">
        <v>2</v>
      </c>
      <c r="C166" s="1">
        <v>42.360599999999998</v>
      </c>
      <c r="D166" s="1">
        <v>-71.010599999999997</v>
      </c>
      <c r="E166" s="5">
        <v>40348</v>
      </c>
      <c r="F166" s="1" t="str">
        <f t="shared" si="2"/>
        <v>June</v>
      </c>
      <c r="G166" s="1">
        <v>65</v>
      </c>
      <c r="H166" s="1">
        <v>0</v>
      </c>
      <c r="I166" s="1" t="str">
        <f>IF(Table1[[#This Row],[Temperature_F]]&lt;32,"Yes","No")</f>
        <v>No</v>
      </c>
      <c r="J166" s="1" t="str" cm="1">
        <f t="array" ref="J1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66" s="1" t="str" cm="1">
        <f t="array" ref="K166">_xlfn.IFS(
H166=0,"No Rain",
H166&lt;10,"Light",
H166&lt;50,"Moderate",
TRUE,"Heavy")</f>
        <v>No Rain</v>
      </c>
      <c r="L166" s="1" t="str">
        <f>IF(Table1[[#This Row],[Precipitation_mm]]&lt;&gt;0,"Wet","Dry")</f>
        <v>Dry</v>
      </c>
      <c r="M166" t="b">
        <f>OR(ISBLANK(Table1[[#This Row],[Temperature_F]]),ISERROR(Table1[[#This Row],[Temperature_F]]))</f>
        <v>0</v>
      </c>
    </row>
    <row r="167" spans="1:13" hidden="1" x14ac:dyDescent="0.25">
      <c r="A167" s="1" t="s">
        <v>1</v>
      </c>
      <c r="B167" s="1" t="s">
        <v>2</v>
      </c>
      <c r="C167" s="1">
        <v>42.360599999999998</v>
      </c>
      <c r="D167" s="1">
        <v>-71.010599999999997</v>
      </c>
      <c r="E167" s="5">
        <v>40349</v>
      </c>
      <c r="F167" s="1" t="str">
        <f t="shared" si="2"/>
        <v>June</v>
      </c>
      <c r="G167" s="1">
        <v>76</v>
      </c>
      <c r="H167" s="1">
        <v>41</v>
      </c>
      <c r="I167" s="1" t="str">
        <f>IF(Table1[[#This Row],[Temperature_F]]&lt;32,"Yes","No")</f>
        <v>No</v>
      </c>
      <c r="J167" s="1" t="str" cm="1">
        <f t="array" ref="J1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7" s="1" t="str" cm="1">
        <f t="array" ref="K167">_xlfn.IFS(
H167=0,"No Rain",
H167&lt;10,"Light",
H167&lt;50,"Moderate",
TRUE,"Heavy")</f>
        <v>Moderate</v>
      </c>
      <c r="L167" s="1" t="str">
        <f>IF(Table1[[#This Row],[Precipitation_mm]]&lt;&gt;0,"Wet","Dry")</f>
        <v>Wet</v>
      </c>
      <c r="M167" t="b">
        <f>OR(ISBLANK(Table1[[#This Row],[Temperature_F]]),ISERROR(Table1[[#This Row],[Temperature_F]]))</f>
        <v>0</v>
      </c>
    </row>
    <row r="168" spans="1:13" hidden="1" x14ac:dyDescent="0.25">
      <c r="A168" s="1" t="s">
        <v>1</v>
      </c>
      <c r="B168" s="1" t="s">
        <v>2</v>
      </c>
      <c r="C168" s="1">
        <v>42.360599999999998</v>
      </c>
      <c r="D168" s="1">
        <v>-71.010599999999997</v>
      </c>
      <c r="E168" s="5">
        <v>40350</v>
      </c>
      <c r="F168" s="1" t="str">
        <f t="shared" si="2"/>
        <v>June</v>
      </c>
      <c r="G168" s="1">
        <v>74</v>
      </c>
      <c r="H168" s="1">
        <v>0</v>
      </c>
      <c r="I168" s="1" t="str">
        <f>IF(Table1[[#This Row],[Temperature_F]]&lt;32,"Yes","No")</f>
        <v>No</v>
      </c>
      <c r="J168" s="1" t="str" cm="1">
        <f t="array" ref="J1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68" s="1" t="str" cm="1">
        <f t="array" ref="K168">_xlfn.IFS(
H168=0,"No Rain",
H168&lt;10,"Light",
H168&lt;50,"Moderate",
TRUE,"Heavy")</f>
        <v>No Rain</v>
      </c>
      <c r="L168" s="1" t="str">
        <f>IF(Table1[[#This Row],[Precipitation_mm]]&lt;&gt;0,"Wet","Dry")</f>
        <v>Dry</v>
      </c>
      <c r="M168" t="b">
        <f>OR(ISBLANK(Table1[[#This Row],[Temperature_F]]),ISERROR(Table1[[#This Row],[Temperature_F]]))</f>
        <v>0</v>
      </c>
    </row>
    <row r="169" spans="1:13" hidden="1" x14ac:dyDescent="0.25">
      <c r="A169" s="1" t="s">
        <v>1</v>
      </c>
      <c r="B169" s="1" t="s">
        <v>2</v>
      </c>
      <c r="C169" s="1">
        <v>42.360599999999998</v>
      </c>
      <c r="D169" s="1">
        <v>-71.010599999999997</v>
      </c>
      <c r="E169" s="5">
        <v>40351</v>
      </c>
      <c r="F169" s="1" t="str">
        <f t="shared" si="2"/>
        <v>June</v>
      </c>
      <c r="G169" s="1">
        <v>90</v>
      </c>
      <c r="H169" s="1">
        <v>0</v>
      </c>
      <c r="I169" s="1" t="str">
        <f>IF(Table1[[#This Row],[Temperature_F]]&lt;32,"Yes","No")</f>
        <v>No</v>
      </c>
      <c r="J169" s="1" t="str" cm="1">
        <f t="array" ref="J1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69" s="1" t="str" cm="1">
        <f t="array" ref="K169">_xlfn.IFS(
H169=0,"No Rain",
H169&lt;10,"Light",
H169&lt;50,"Moderate",
TRUE,"Heavy")</f>
        <v>No Rain</v>
      </c>
      <c r="L169" s="1" t="str">
        <f>IF(Table1[[#This Row],[Precipitation_mm]]&lt;&gt;0,"Wet","Dry")</f>
        <v>Dry</v>
      </c>
      <c r="M169" t="b">
        <f>OR(ISBLANK(Table1[[#This Row],[Temperature_F]]),ISERROR(Table1[[#This Row],[Temperature_F]]))</f>
        <v>0</v>
      </c>
    </row>
    <row r="170" spans="1:13" hidden="1" x14ac:dyDescent="0.25">
      <c r="A170" s="1" t="s">
        <v>1</v>
      </c>
      <c r="B170" s="1" t="s">
        <v>2</v>
      </c>
      <c r="C170" s="1">
        <v>42.360599999999998</v>
      </c>
      <c r="D170" s="1">
        <v>-71.010599999999997</v>
      </c>
      <c r="E170" s="5">
        <v>40352</v>
      </c>
      <c r="F170" s="1" t="str">
        <f t="shared" si="2"/>
        <v>June</v>
      </c>
      <c r="G170" s="1">
        <v>66</v>
      </c>
      <c r="H170" s="1">
        <v>15</v>
      </c>
      <c r="I170" s="1" t="str">
        <f>IF(Table1[[#This Row],[Temperature_F]]&lt;32,"Yes","No")</f>
        <v>No</v>
      </c>
      <c r="J170" s="1" t="str" cm="1">
        <f t="array" ref="J1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70" s="1" t="str" cm="1">
        <f t="array" ref="K170">_xlfn.IFS(
H170=0,"No Rain",
H170&lt;10,"Light",
H170&lt;50,"Moderate",
TRUE,"Heavy")</f>
        <v>Moderate</v>
      </c>
      <c r="L170" s="1" t="str">
        <f>IF(Table1[[#This Row],[Precipitation_mm]]&lt;&gt;0,"Wet","Dry")</f>
        <v>Wet</v>
      </c>
      <c r="M170" t="b">
        <f>OR(ISBLANK(Table1[[#This Row],[Temperature_F]]),ISERROR(Table1[[#This Row],[Temperature_F]]))</f>
        <v>0</v>
      </c>
    </row>
    <row r="171" spans="1:13" hidden="1" x14ac:dyDescent="0.25">
      <c r="A171" s="1" t="s">
        <v>1</v>
      </c>
      <c r="B171" s="1" t="s">
        <v>2</v>
      </c>
      <c r="C171" s="1">
        <v>42.360599999999998</v>
      </c>
      <c r="D171" s="1">
        <v>-71.010599999999997</v>
      </c>
      <c r="E171" s="5">
        <v>40353</v>
      </c>
      <c r="F171" s="1" t="str">
        <f t="shared" si="2"/>
        <v>June</v>
      </c>
      <c r="G171" s="1">
        <v>72</v>
      </c>
      <c r="H171" s="1">
        <v>13</v>
      </c>
      <c r="I171" s="1" t="str">
        <f>IF(Table1[[#This Row],[Temperature_F]]&lt;32,"Yes","No")</f>
        <v>No</v>
      </c>
      <c r="J171" s="1" t="str" cm="1">
        <f t="array" ref="J1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71" s="1" t="str" cm="1">
        <f t="array" ref="K171">_xlfn.IFS(
H171=0,"No Rain",
H171&lt;10,"Light",
H171&lt;50,"Moderate",
TRUE,"Heavy")</f>
        <v>Moderate</v>
      </c>
      <c r="L171" s="1" t="str">
        <f>IF(Table1[[#This Row],[Precipitation_mm]]&lt;&gt;0,"Wet","Dry")</f>
        <v>Wet</v>
      </c>
      <c r="M171" t="b">
        <f>OR(ISBLANK(Table1[[#This Row],[Temperature_F]]),ISERROR(Table1[[#This Row],[Temperature_F]]))</f>
        <v>0</v>
      </c>
    </row>
    <row r="172" spans="1:13" hidden="1" x14ac:dyDescent="0.25">
      <c r="A172" s="1" t="s">
        <v>1</v>
      </c>
      <c r="B172" s="1" t="s">
        <v>2</v>
      </c>
      <c r="C172" s="1">
        <v>42.360599999999998</v>
      </c>
      <c r="D172" s="1">
        <v>-71.010599999999997</v>
      </c>
      <c r="E172" s="5">
        <v>40354</v>
      </c>
      <c r="F172" s="1" t="str">
        <f t="shared" si="2"/>
        <v>June</v>
      </c>
      <c r="G172" s="1">
        <v>69</v>
      </c>
      <c r="H172" s="1">
        <v>0</v>
      </c>
      <c r="I172" s="1" t="str">
        <f>IF(Table1[[#This Row],[Temperature_F]]&lt;32,"Yes","No")</f>
        <v>No</v>
      </c>
      <c r="J172" s="1" t="str" cm="1">
        <f t="array" ref="J1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72" s="1" t="str" cm="1">
        <f t="array" ref="K172">_xlfn.IFS(
H172=0,"No Rain",
H172&lt;10,"Light",
H172&lt;50,"Moderate",
TRUE,"Heavy")</f>
        <v>No Rain</v>
      </c>
      <c r="L172" s="1" t="str">
        <f>IF(Table1[[#This Row],[Precipitation_mm]]&lt;&gt;0,"Wet","Dry")</f>
        <v>Dry</v>
      </c>
      <c r="M172" t="b">
        <f>OR(ISBLANK(Table1[[#This Row],[Temperature_F]]),ISERROR(Table1[[#This Row],[Temperature_F]]))</f>
        <v>0</v>
      </c>
    </row>
    <row r="173" spans="1:13" hidden="1" x14ac:dyDescent="0.25">
      <c r="A173" s="1" t="s">
        <v>1</v>
      </c>
      <c r="B173" s="1" t="s">
        <v>2</v>
      </c>
      <c r="C173" s="1">
        <v>42.360599999999998</v>
      </c>
      <c r="D173" s="1">
        <v>-71.010599999999997</v>
      </c>
      <c r="E173" s="5">
        <v>40355</v>
      </c>
      <c r="F173" s="1" t="str">
        <f t="shared" si="2"/>
        <v>June</v>
      </c>
      <c r="G173" s="1">
        <v>67</v>
      </c>
      <c r="H173" s="1">
        <v>0</v>
      </c>
      <c r="I173" s="1" t="str">
        <f>IF(Table1[[#This Row],[Temperature_F]]&lt;32,"Yes","No")</f>
        <v>No</v>
      </c>
      <c r="J173" s="1" t="str" cm="1">
        <f t="array" ref="J1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73" s="1" t="str" cm="1">
        <f t="array" ref="K173">_xlfn.IFS(
H173=0,"No Rain",
H173&lt;10,"Light",
H173&lt;50,"Moderate",
TRUE,"Heavy")</f>
        <v>No Rain</v>
      </c>
      <c r="L173" s="1" t="str">
        <f>IF(Table1[[#This Row],[Precipitation_mm]]&lt;&gt;0,"Wet","Dry")</f>
        <v>Dry</v>
      </c>
      <c r="M173" t="b">
        <f>OR(ISBLANK(Table1[[#This Row],[Temperature_F]]),ISERROR(Table1[[#This Row],[Temperature_F]]))</f>
        <v>0</v>
      </c>
    </row>
    <row r="174" spans="1:13" hidden="1" x14ac:dyDescent="0.25">
      <c r="A174" s="1" t="s">
        <v>1</v>
      </c>
      <c r="B174" s="1" t="s">
        <v>2</v>
      </c>
      <c r="C174" s="1">
        <v>42.360599999999998</v>
      </c>
      <c r="D174" s="1">
        <v>-71.010599999999997</v>
      </c>
      <c r="E174" s="5">
        <v>40356</v>
      </c>
      <c r="F174" s="1" t="str">
        <f t="shared" si="2"/>
        <v>June</v>
      </c>
      <c r="G174" s="1">
        <v>75</v>
      </c>
      <c r="H174" s="1">
        <v>0</v>
      </c>
      <c r="I174" s="1" t="str">
        <f>IF(Table1[[#This Row],[Temperature_F]]&lt;32,"Yes","No")</f>
        <v>No</v>
      </c>
      <c r="J174" s="1" t="str" cm="1">
        <f t="array" ref="J1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74" s="1" t="str" cm="1">
        <f t="array" ref="K174">_xlfn.IFS(
H174=0,"No Rain",
H174&lt;10,"Light",
H174&lt;50,"Moderate",
TRUE,"Heavy")</f>
        <v>No Rain</v>
      </c>
      <c r="L174" s="1" t="str">
        <f>IF(Table1[[#This Row],[Precipitation_mm]]&lt;&gt;0,"Wet","Dry")</f>
        <v>Dry</v>
      </c>
      <c r="M174" t="b">
        <f>OR(ISBLANK(Table1[[#This Row],[Temperature_F]]),ISERROR(Table1[[#This Row],[Temperature_F]]))</f>
        <v>0</v>
      </c>
    </row>
    <row r="175" spans="1:13" hidden="1" x14ac:dyDescent="0.25">
      <c r="A175" s="1" t="s">
        <v>1</v>
      </c>
      <c r="B175" s="1" t="s">
        <v>2</v>
      </c>
      <c r="C175" s="1">
        <v>42.360599999999998</v>
      </c>
      <c r="D175" s="1">
        <v>-71.010599999999997</v>
      </c>
      <c r="E175" s="5">
        <v>40357</v>
      </c>
      <c r="F175" s="1" t="str">
        <f t="shared" si="2"/>
        <v>June</v>
      </c>
      <c r="G175" s="1">
        <v>90</v>
      </c>
      <c r="H175" s="1">
        <v>0</v>
      </c>
      <c r="I175" s="1" t="str">
        <f>IF(Table1[[#This Row],[Temperature_F]]&lt;32,"Yes","No")</f>
        <v>No</v>
      </c>
      <c r="J175" s="1" t="str" cm="1">
        <f t="array" ref="J1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75" s="1" t="str" cm="1">
        <f t="array" ref="K175">_xlfn.IFS(
H175=0,"No Rain",
H175&lt;10,"Light",
H175&lt;50,"Moderate",
TRUE,"Heavy")</f>
        <v>No Rain</v>
      </c>
      <c r="L175" s="1" t="str">
        <f>IF(Table1[[#This Row],[Precipitation_mm]]&lt;&gt;0,"Wet","Dry")</f>
        <v>Dry</v>
      </c>
      <c r="M175" t="b">
        <f>OR(ISBLANK(Table1[[#This Row],[Temperature_F]]),ISERROR(Table1[[#This Row],[Temperature_F]]))</f>
        <v>0</v>
      </c>
    </row>
    <row r="176" spans="1:13" hidden="1" x14ac:dyDescent="0.25">
      <c r="A176" s="1" t="s">
        <v>1</v>
      </c>
      <c r="B176" s="1" t="s">
        <v>2</v>
      </c>
      <c r="C176" s="1">
        <v>42.360599999999998</v>
      </c>
      <c r="D176" s="1">
        <v>-71.010599999999997</v>
      </c>
      <c r="E176" s="5">
        <v>40358</v>
      </c>
      <c r="F176" s="1" t="str">
        <f t="shared" si="2"/>
        <v>June</v>
      </c>
      <c r="G176" s="1">
        <v>71</v>
      </c>
      <c r="H176" s="1">
        <v>0</v>
      </c>
      <c r="I176" s="1" t="str">
        <f>IF(Table1[[#This Row],[Temperature_F]]&lt;32,"Yes","No")</f>
        <v>No</v>
      </c>
      <c r="J176" s="1" t="str" cm="1">
        <f t="array" ref="J1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76" s="1" t="str" cm="1">
        <f t="array" ref="K176">_xlfn.IFS(
H176=0,"No Rain",
H176&lt;10,"Light",
H176&lt;50,"Moderate",
TRUE,"Heavy")</f>
        <v>No Rain</v>
      </c>
      <c r="L176" s="1" t="str">
        <f>IF(Table1[[#This Row],[Precipitation_mm]]&lt;&gt;0,"Wet","Dry")</f>
        <v>Dry</v>
      </c>
      <c r="M176" t="b">
        <f>OR(ISBLANK(Table1[[#This Row],[Temperature_F]]),ISERROR(Table1[[#This Row],[Temperature_F]]))</f>
        <v>0</v>
      </c>
    </row>
    <row r="177" spans="1:13" hidden="1" x14ac:dyDescent="0.25">
      <c r="A177" s="1" t="s">
        <v>1</v>
      </c>
      <c r="B177" s="1" t="s">
        <v>2</v>
      </c>
      <c r="C177" s="1">
        <v>42.360599999999998</v>
      </c>
      <c r="D177" s="1">
        <v>-71.010599999999997</v>
      </c>
      <c r="E177" s="5">
        <v>40359</v>
      </c>
      <c r="F177" s="1" t="str">
        <f t="shared" si="2"/>
        <v>June</v>
      </c>
      <c r="G177" s="1">
        <v>68</v>
      </c>
      <c r="H177" s="1">
        <v>0</v>
      </c>
      <c r="I177" s="1" t="str">
        <f>IF(Table1[[#This Row],[Temperature_F]]&lt;32,"Yes","No")</f>
        <v>No</v>
      </c>
      <c r="J177" s="1" t="str" cm="1">
        <f t="array" ref="J1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77" s="1" t="str" cm="1">
        <f t="array" ref="K177">_xlfn.IFS(
H177=0,"No Rain",
H177&lt;10,"Light",
H177&lt;50,"Moderate",
TRUE,"Heavy")</f>
        <v>No Rain</v>
      </c>
      <c r="L177" s="1" t="str">
        <f>IF(Table1[[#This Row],[Precipitation_mm]]&lt;&gt;0,"Wet","Dry")</f>
        <v>Dry</v>
      </c>
      <c r="M177" t="b">
        <f>OR(ISBLANK(Table1[[#This Row],[Temperature_F]]),ISERROR(Table1[[#This Row],[Temperature_F]]))</f>
        <v>0</v>
      </c>
    </row>
    <row r="178" spans="1:13" hidden="1" x14ac:dyDescent="0.25">
      <c r="A178" s="1" t="s">
        <v>1</v>
      </c>
      <c r="B178" s="1" t="s">
        <v>2</v>
      </c>
      <c r="C178" s="1">
        <v>42.360599999999998</v>
      </c>
      <c r="D178" s="1">
        <v>-71.010599999999997</v>
      </c>
      <c r="E178" s="5">
        <v>40360</v>
      </c>
      <c r="F178" s="1" t="str">
        <f t="shared" si="2"/>
        <v>July</v>
      </c>
      <c r="G178" s="1">
        <v>77</v>
      </c>
      <c r="H178" s="1">
        <v>0</v>
      </c>
      <c r="I178" s="1" t="str">
        <f>IF(Table1[[#This Row],[Temperature_F]]&lt;32,"Yes","No")</f>
        <v>No</v>
      </c>
      <c r="J178" s="1" t="str" cm="1">
        <f t="array" ref="J1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78" s="1" t="str" cm="1">
        <f t="array" ref="K178">_xlfn.IFS(
H178=0,"No Rain",
H178&lt;10,"Light",
H178&lt;50,"Moderate",
TRUE,"Heavy")</f>
        <v>No Rain</v>
      </c>
      <c r="L178" s="1" t="str">
        <f>IF(Table1[[#This Row],[Precipitation_mm]]&lt;&gt;0,"Wet","Dry")</f>
        <v>Dry</v>
      </c>
      <c r="M178" t="b">
        <f>OR(ISBLANK(Table1[[#This Row],[Temperature_F]]),ISERROR(Table1[[#This Row],[Temperature_F]]))</f>
        <v>0</v>
      </c>
    </row>
    <row r="179" spans="1:13" hidden="1" x14ac:dyDescent="0.25">
      <c r="A179" s="1" t="s">
        <v>1</v>
      </c>
      <c r="B179" s="1" t="s">
        <v>2</v>
      </c>
      <c r="C179" s="1">
        <v>42.360599999999998</v>
      </c>
      <c r="D179" s="1">
        <v>-71.010599999999997</v>
      </c>
      <c r="E179" s="5">
        <v>40361</v>
      </c>
      <c r="F179" s="1" t="str">
        <f t="shared" si="2"/>
        <v>July</v>
      </c>
      <c r="G179" s="1">
        <v>78</v>
      </c>
      <c r="H179" s="1">
        <v>0</v>
      </c>
      <c r="I179" s="1" t="str">
        <f>IF(Table1[[#This Row],[Temperature_F]]&lt;32,"Yes","No")</f>
        <v>No</v>
      </c>
      <c r="J179" s="1" t="str" cm="1">
        <f t="array" ref="J1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79" s="1" t="str" cm="1">
        <f t="array" ref="K179">_xlfn.IFS(
H179=0,"No Rain",
H179&lt;10,"Light",
H179&lt;50,"Moderate",
TRUE,"Heavy")</f>
        <v>No Rain</v>
      </c>
      <c r="L179" s="1" t="str">
        <f>IF(Table1[[#This Row],[Precipitation_mm]]&lt;&gt;0,"Wet","Dry")</f>
        <v>Dry</v>
      </c>
      <c r="M179" t="b">
        <f>OR(ISBLANK(Table1[[#This Row],[Temperature_F]]),ISERROR(Table1[[#This Row],[Temperature_F]]))</f>
        <v>0</v>
      </c>
    </row>
    <row r="180" spans="1:13" hidden="1" x14ac:dyDescent="0.25">
      <c r="A180" s="1" t="s">
        <v>1</v>
      </c>
      <c r="B180" s="1" t="s">
        <v>2</v>
      </c>
      <c r="C180" s="1">
        <v>42.360599999999998</v>
      </c>
      <c r="D180" s="1">
        <v>-71.010599999999997</v>
      </c>
      <c r="E180" s="5">
        <v>40362</v>
      </c>
      <c r="F180" s="1" t="str">
        <f t="shared" si="2"/>
        <v>July</v>
      </c>
      <c r="G180" s="1">
        <v>75</v>
      </c>
      <c r="H180" s="1">
        <v>0</v>
      </c>
      <c r="I180" s="1" t="str">
        <f>IF(Table1[[#This Row],[Temperature_F]]&lt;32,"Yes","No")</f>
        <v>No</v>
      </c>
      <c r="J180" s="1" t="str" cm="1">
        <f t="array" ref="J1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80" s="1" t="str" cm="1">
        <f t="array" ref="K180">_xlfn.IFS(
H180=0,"No Rain",
H180&lt;10,"Light",
H180&lt;50,"Moderate",
TRUE,"Heavy")</f>
        <v>No Rain</v>
      </c>
      <c r="L180" s="1" t="str">
        <f>IF(Table1[[#This Row],[Precipitation_mm]]&lt;&gt;0,"Wet","Dry")</f>
        <v>Dry</v>
      </c>
      <c r="M180" t="b">
        <f>OR(ISBLANK(Table1[[#This Row],[Temperature_F]]),ISERROR(Table1[[#This Row],[Temperature_F]]))</f>
        <v>0</v>
      </c>
    </row>
    <row r="181" spans="1:13" hidden="1" x14ac:dyDescent="0.25">
      <c r="A181" s="1" t="s">
        <v>1</v>
      </c>
      <c r="B181" s="1" t="s">
        <v>2</v>
      </c>
      <c r="C181" s="1">
        <v>42.360599999999998</v>
      </c>
      <c r="D181" s="1">
        <v>-71.010599999999997</v>
      </c>
      <c r="E181" s="5">
        <v>40363</v>
      </c>
      <c r="F181" s="1" t="str">
        <f t="shared" si="2"/>
        <v>July</v>
      </c>
      <c r="G181" s="1">
        <v>90</v>
      </c>
      <c r="H181" s="1">
        <v>0</v>
      </c>
      <c r="I181" s="1" t="str">
        <f>IF(Table1[[#This Row],[Temperature_F]]&lt;32,"Yes","No")</f>
        <v>No</v>
      </c>
      <c r="J181" s="1" t="str" cm="1">
        <f t="array" ref="J1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81" s="1" t="str" cm="1">
        <f t="array" ref="K181">_xlfn.IFS(
H181=0,"No Rain",
H181&lt;10,"Light",
H181&lt;50,"Moderate",
TRUE,"Heavy")</f>
        <v>No Rain</v>
      </c>
      <c r="L181" s="1" t="str">
        <f>IF(Table1[[#This Row],[Precipitation_mm]]&lt;&gt;0,"Wet","Dry")</f>
        <v>Dry</v>
      </c>
      <c r="M181" t="b">
        <f>OR(ISBLANK(Table1[[#This Row],[Temperature_F]]),ISERROR(Table1[[#This Row],[Temperature_F]]))</f>
        <v>0</v>
      </c>
    </row>
    <row r="182" spans="1:13" hidden="1" x14ac:dyDescent="0.25">
      <c r="A182" s="1" t="s">
        <v>1</v>
      </c>
      <c r="B182" s="1" t="s">
        <v>2</v>
      </c>
      <c r="C182" s="1">
        <v>42.360599999999998</v>
      </c>
      <c r="D182" s="1">
        <v>-71.010599999999997</v>
      </c>
      <c r="E182" s="5">
        <v>40364</v>
      </c>
      <c r="F182" s="1" t="str">
        <f t="shared" si="2"/>
        <v>July</v>
      </c>
      <c r="G182" s="1">
        <v>88</v>
      </c>
      <c r="H182" s="1">
        <v>0</v>
      </c>
      <c r="I182" s="1" t="str">
        <f>IF(Table1[[#This Row],[Temperature_F]]&lt;32,"Yes","No")</f>
        <v>No</v>
      </c>
      <c r="J182" s="1" t="str" cm="1">
        <f t="array" ref="J1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82" s="1" t="str" cm="1">
        <f t="array" ref="K182">_xlfn.IFS(
H182=0,"No Rain",
H182&lt;10,"Light",
H182&lt;50,"Moderate",
TRUE,"Heavy")</f>
        <v>No Rain</v>
      </c>
      <c r="L182" s="1" t="str">
        <f>IF(Table1[[#This Row],[Precipitation_mm]]&lt;&gt;0,"Wet","Dry")</f>
        <v>Dry</v>
      </c>
      <c r="M182" t="b">
        <f>OR(ISBLANK(Table1[[#This Row],[Temperature_F]]),ISERROR(Table1[[#This Row],[Temperature_F]]))</f>
        <v>0</v>
      </c>
    </row>
    <row r="183" spans="1:13" hidden="1" x14ac:dyDescent="0.25">
      <c r="A183" s="1" t="s">
        <v>1</v>
      </c>
      <c r="B183" s="1" t="s">
        <v>2</v>
      </c>
      <c r="C183" s="1">
        <v>42.360599999999998</v>
      </c>
      <c r="D183" s="1">
        <v>-71.010599999999997</v>
      </c>
      <c r="E183" s="5">
        <v>40365</v>
      </c>
      <c r="F183" s="1" t="str">
        <f t="shared" si="2"/>
        <v>July</v>
      </c>
      <c r="G183" s="1">
        <v>80</v>
      </c>
      <c r="H183" s="1">
        <v>0</v>
      </c>
      <c r="I183" s="1" t="str">
        <f>IF(Table1[[#This Row],[Temperature_F]]&lt;32,"Yes","No")</f>
        <v>No</v>
      </c>
      <c r="J183" s="1" t="str" cm="1">
        <f t="array" ref="J1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83" s="1" t="str" cm="1">
        <f t="array" ref="K183">_xlfn.IFS(
H183=0,"No Rain",
H183&lt;10,"Light",
H183&lt;50,"Moderate",
TRUE,"Heavy")</f>
        <v>No Rain</v>
      </c>
      <c r="L183" s="1" t="str">
        <f>IF(Table1[[#This Row],[Precipitation_mm]]&lt;&gt;0,"Wet","Dry")</f>
        <v>Dry</v>
      </c>
      <c r="M183" t="b">
        <f>OR(ISBLANK(Table1[[#This Row],[Temperature_F]]),ISERROR(Table1[[#This Row],[Temperature_F]]))</f>
        <v>0</v>
      </c>
    </row>
    <row r="184" spans="1:13" hidden="1" x14ac:dyDescent="0.25">
      <c r="A184" s="1" t="s">
        <v>1</v>
      </c>
      <c r="B184" s="1" t="s">
        <v>2</v>
      </c>
      <c r="C184" s="1">
        <v>42.360599999999998</v>
      </c>
      <c r="D184" s="1">
        <v>-71.010599999999997</v>
      </c>
      <c r="E184" s="5">
        <v>40366</v>
      </c>
      <c r="F184" s="1" t="str">
        <f t="shared" si="2"/>
        <v>July</v>
      </c>
      <c r="G184" s="1">
        <v>74</v>
      </c>
      <c r="H184" s="1">
        <v>0</v>
      </c>
      <c r="I184" s="1" t="str">
        <f>IF(Table1[[#This Row],[Temperature_F]]&lt;32,"Yes","No")</f>
        <v>No</v>
      </c>
      <c r="J184" s="1" t="str" cm="1">
        <f t="array" ref="J1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84" s="1" t="str" cm="1">
        <f t="array" ref="K184">_xlfn.IFS(
H184=0,"No Rain",
H184&lt;10,"Light",
H184&lt;50,"Moderate",
TRUE,"Heavy")</f>
        <v>No Rain</v>
      </c>
      <c r="L184" s="1" t="str">
        <f>IF(Table1[[#This Row],[Precipitation_mm]]&lt;&gt;0,"Wet","Dry")</f>
        <v>Dry</v>
      </c>
      <c r="M184" t="b">
        <f>OR(ISBLANK(Table1[[#This Row],[Temperature_F]]),ISERROR(Table1[[#This Row],[Temperature_F]]))</f>
        <v>0</v>
      </c>
    </row>
    <row r="185" spans="1:13" hidden="1" x14ac:dyDescent="0.25">
      <c r="A185" s="1" t="s">
        <v>1</v>
      </c>
      <c r="B185" s="1" t="s">
        <v>2</v>
      </c>
      <c r="C185" s="1">
        <v>42.360599999999998</v>
      </c>
      <c r="D185" s="1">
        <v>-71.010599999999997</v>
      </c>
      <c r="E185" s="5">
        <v>40367</v>
      </c>
      <c r="F185" s="1" t="str">
        <f t="shared" si="2"/>
        <v>July</v>
      </c>
      <c r="G185" s="1">
        <v>89</v>
      </c>
      <c r="H185" s="1">
        <v>0</v>
      </c>
      <c r="I185" s="1" t="str">
        <f>IF(Table1[[#This Row],[Temperature_F]]&lt;32,"Yes","No")</f>
        <v>No</v>
      </c>
      <c r="J185" s="1" t="str" cm="1">
        <f t="array" ref="J1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85" s="1" t="str" cm="1">
        <f t="array" ref="K185">_xlfn.IFS(
H185=0,"No Rain",
H185&lt;10,"Light",
H185&lt;50,"Moderate",
TRUE,"Heavy")</f>
        <v>No Rain</v>
      </c>
      <c r="L185" s="1" t="str">
        <f>IF(Table1[[#This Row],[Precipitation_mm]]&lt;&gt;0,"Wet","Dry")</f>
        <v>Dry</v>
      </c>
      <c r="M185" t="b">
        <f>OR(ISBLANK(Table1[[#This Row],[Temperature_F]]),ISERROR(Table1[[#This Row],[Temperature_F]]))</f>
        <v>0</v>
      </c>
    </row>
    <row r="186" spans="1:13" hidden="1" x14ac:dyDescent="0.25">
      <c r="A186" s="1" t="s">
        <v>1</v>
      </c>
      <c r="B186" s="1" t="s">
        <v>2</v>
      </c>
      <c r="C186" s="1">
        <v>42.360599999999998</v>
      </c>
      <c r="D186" s="1">
        <v>-71.010599999999997</v>
      </c>
      <c r="E186" s="5">
        <v>40368</v>
      </c>
      <c r="F186" s="1" t="str">
        <f t="shared" si="2"/>
        <v>July</v>
      </c>
      <c r="G186" s="1">
        <v>84</v>
      </c>
      <c r="H186" s="1">
        <v>0</v>
      </c>
      <c r="I186" s="1" t="str">
        <f>IF(Table1[[#This Row],[Temperature_F]]&lt;32,"Yes","No")</f>
        <v>No</v>
      </c>
      <c r="J186" s="1" t="str" cm="1">
        <f t="array" ref="J1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86" s="1" t="str" cm="1">
        <f t="array" ref="K186">_xlfn.IFS(
H186=0,"No Rain",
H186&lt;10,"Light",
H186&lt;50,"Moderate",
TRUE,"Heavy")</f>
        <v>No Rain</v>
      </c>
      <c r="L186" s="1" t="str">
        <f>IF(Table1[[#This Row],[Precipitation_mm]]&lt;&gt;0,"Wet","Dry")</f>
        <v>Dry</v>
      </c>
      <c r="M186" t="b">
        <f>OR(ISBLANK(Table1[[#This Row],[Temperature_F]]),ISERROR(Table1[[#This Row],[Temperature_F]]))</f>
        <v>0</v>
      </c>
    </row>
    <row r="187" spans="1:13" hidden="1" x14ac:dyDescent="0.25">
      <c r="A187" s="1" t="s">
        <v>1</v>
      </c>
      <c r="B187" s="1" t="s">
        <v>2</v>
      </c>
      <c r="C187" s="1">
        <v>42.360599999999998</v>
      </c>
      <c r="D187" s="1">
        <v>-71.010599999999997</v>
      </c>
      <c r="E187" s="5">
        <v>40369</v>
      </c>
      <c r="F187" s="1" t="str">
        <f t="shared" si="2"/>
        <v>July</v>
      </c>
      <c r="G187" s="1">
        <v>65</v>
      </c>
      <c r="H187" s="1">
        <v>419</v>
      </c>
      <c r="I187" s="1" t="str">
        <f>IF(Table1[[#This Row],[Temperature_F]]&lt;32,"Yes","No")</f>
        <v>No</v>
      </c>
      <c r="J187" s="1" t="str" cm="1">
        <f t="array" ref="J1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87" s="1" t="str" cm="1">
        <f t="array" ref="K187">_xlfn.IFS(
H187=0,"No Rain",
H187&lt;10,"Light",
H187&lt;50,"Moderate",
TRUE,"Heavy")</f>
        <v>Heavy</v>
      </c>
      <c r="L187" s="1" t="str">
        <f>IF(Table1[[#This Row],[Precipitation_mm]]&lt;&gt;0,"Wet","Dry")</f>
        <v>Wet</v>
      </c>
      <c r="M187" t="b">
        <f>OR(ISBLANK(Table1[[#This Row],[Temperature_F]]),ISERROR(Table1[[#This Row],[Temperature_F]]))</f>
        <v>0</v>
      </c>
    </row>
    <row r="188" spans="1:13" hidden="1" x14ac:dyDescent="0.25">
      <c r="A188" s="1" t="s">
        <v>1</v>
      </c>
      <c r="B188" s="1" t="s">
        <v>2</v>
      </c>
      <c r="C188" s="1">
        <v>42.360599999999998</v>
      </c>
      <c r="D188" s="1">
        <v>-71.010599999999997</v>
      </c>
      <c r="E188" s="5">
        <v>40370</v>
      </c>
      <c r="F188" s="1" t="str">
        <f t="shared" si="2"/>
        <v>July</v>
      </c>
      <c r="G188" s="1">
        <v>70</v>
      </c>
      <c r="H188" s="1">
        <v>3</v>
      </c>
      <c r="I188" s="1" t="str">
        <f>IF(Table1[[#This Row],[Temperature_F]]&lt;32,"Yes","No")</f>
        <v>No</v>
      </c>
      <c r="J188" s="1" t="str" cm="1">
        <f t="array" ref="J1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88" s="1" t="str" cm="1">
        <f t="array" ref="K188">_xlfn.IFS(
H188=0,"No Rain",
H188&lt;10,"Light",
H188&lt;50,"Moderate",
TRUE,"Heavy")</f>
        <v>Light</v>
      </c>
      <c r="L188" s="1" t="str">
        <f>IF(Table1[[#This Row],[Precipitation_mm]]&lt;&gt;0,"Wet","Dry")</f>
        <v>Wet</v>
      </c>
      <c r="M188" t="b">
        <f>OR(ISBLANK(Table1[[#This Row],[Temperature_F]]),ISERROR(Table1[[#This Row],[Temperature_F]]))</f>
        <v>0</v>
      </c>
    </row>
    <row r="189" spans="1:13" hidden="1" x14ac:dyDescent="0.25">
      <c r="A189" s="1" t="s">
        <v>1</v>
      </c>
      <c r="B189" s="1" t="s">
        <v>2</v>
      </c>
      <c r="C189" s="1">
        <v>42.360599999999998</v>
      </c>
      <c r="D189" s="1">
        <v>-71.010599999999997</v>
      </c>
      <c r="E189" s="5">
        <v>40371</v>
      </c>
      <c r="F189" s="1" t="str">
        <f t="shared" si="2"/>
        <v>July</v>
      </c>
      <c r="G189" s="1">
        <v>85</v>
      </c>
      <c r="H189" s="1">
        <v>64</v>
      </c>
      <c r="I189" s="1" t="str">
        <f>IF(Table1[[#This Row],[Temperature_F]]&lt;32,"Yes","No")</f>
        <v>No</v>
      </c>
      <c r="J189" s="1" t="str" cm="1">
        <f t="array" ref="J1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89" s="1" t="str" cm="1">
        <f t="array" ref="K189">_xlfn.IFS(
H189=0,"No Rain",
H189&lt;10,"Light",
H189&lt;50,"Moderate",
TRUE,"Heavy")</f>
        <v>Heavy</v>
      </c>
      <c r="L189" s="1" t="str">
        <f>IF(Table1[[#This Row],[Precipitation_mm]]&lt;&gt;0,"Wet","Dry")</f>
        <v>Wet</v>
      </c>
      <c r="M189" t="b">
        <f>OR(ISBLANK(Table1[[#This Row],[Temperature_F]]),ISERROR(Table1[[#This Row],[Temperature_F]]))</f>
        <v>0</v>
      </c>
    </row>
    <row r="190" spans="1:13" hidden="1" x14ac:dyDescent="0.25">
      <c r="A190" s="1" t="s">
        <v>1</v>
      </c>
      <c r="B190" s="1" t="s">
        <v>2</v>
      </c>
      <c r="C190" s="1">
        <v>42.360599999999998</v>
      </c>
      <c r="D190" s="1">
        <v>-71.010599999999997</v>
      </c>
      <c r="E190" s="5">
        <v>40372</v>
      </c>
      <c r="F190" s="1" t="str">
        <f t="shared" ref="F190:F251" si="3">TEXT(E190,"mmmm")</f>
        <v>July</v>
      </c>
      <c r="G190" s="1">
        <v>84</v>
      </c>
      <c r="H190" s="1">
        <v>10</v>
      </c>
      <c r="I190" s="1" t="str">
        <f>IF(Table1[[#This Row],[Temperature_F]]&lt;32,"Yes","No")</f>
        <v>No</v>
      </c>
      <c r="J190" s="1" t="str" cm="1">
        <f t="array" ref="J1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0" s="1" t="str" cm="1">
        <f t="array" ref="K190">_xlfn.IFS(
H190=0,"No Rain",
H190&lt;10,"Light",
H190&lt;50,"Moderate",
TRUE,"Heavy")</f>
        <v>Moderate</v>
      </c>
      <c r="L190" s="1" t="str">
        <f>IF(Table1[[#This Row],[Precipitation_mm]]&lt;&gt;0,"Wet","Dry")</f>
        <v>Wet</v>
      </c>
      <c r="M190" t="b">
        <f>OR(ISBLANK(Table1[[#This Row],[Temperature_F]]),ISERROR(Table1[[#This Row],[Temperature_F]]))</f>
        <v>0</v>
      </c>
    </row>
    <row r="191" spans="1:13" hidden="1" x14ac:dyDescent="0.25">
      <c r="A191" s="1" t="s">
        <v>1</v>
      </c>
      <c r="B191" s="1" t="s">
        <v>2</v>
      </c>
      <c r="C191" s="1">
        <v>42.360599999999998</v>
      </c>
      <c r="D191" s="1">
        <v>-71.010599999999997</v>
      </c>
      <c r="E191" s="5">
        <v>40373</v>
      </c>
      <c r="F191" s="1" t="str">
        <f t="shared" si="3"/>
        <v>July</v>
      </c>
      <c r="G191" s="1">
        <v>70</v>
      </c>
      <c r="H191" s="1">
        <v>28</v>
      </c>
      <c r="I191" s="1" t="str">
        <f>IF(Table1[[#This Row],[Temperature_F]]&lt;32,"Yes","No")</f>
        <v>No</v>
      </c>
      <c r="J191" s="1" t="str" cm="1">
        <f t="array" ref="J1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1" s="1" t="str" cm="1">
        <f t="array" ref="K191">_xlfn.IFS(
H191=0,"No Rain",
H191&lt;10,"Light",
H191&lt;50,"Moderate",
TRUE,"Heavy")</f>
        <v>Moderate</v>
      </c>
      <c r="L191" s="1" t="str">
        <f>IF(Table1[[#This Row],[Precipitation_mm]]&lt;&gt;0,"Wet","Dry")</f>
        <v>Wet</v>
      </c>
      <c r="M191" t="b">
        <f>OR(ISBLANK(Table1[[#This Row],[Temperature_F]]),ISERROR(Table1[[#This Row],[Temperature_F]]))</f>
        <v>0</v>
      </c>
    </row>
    <row r="192" spans="1:13" hidden="1" x14ac:dyDescent="0.25">
      <c r="A192" s="1" t="s">
        <v>1</v>
      </c>
      <c r="B192" s="1" t="s">
        <v>2</v>
      </c>
      <c r="C192" s="1">
        <v>42.360599999999998</v>
      </c>
      <c r="D192" s="1">
        <v>-71.010599999999997</v>
      </c>
      <c r="E192" s="5">
        <v>40374</v>
      </c>
      <c r="F192" s="1" t="str">
        <f t="shared" si="3"/>
        <v>July</v>
      </c>
      <c r="G192" s="1">
        <v>70</v>
      </c>
      <c r="H192" s="1">
        <v>0</v>
      </c>
      <c r="I192" s="1" t="str">
        <f>IF(Table1[[#This Row],[Temperature_F]]&lt;32,"Yes","No")</f>
        <v>No</v>
      </c>
      <c r="J192" s="1" t="str" cm="1">
        <f t="array" ref="J1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2" s="1" t="str" cm="1">
        <f t="array" ref="K192">_xlfn.IFS(
H192=0,"No Rain",
H192&lt;10,"Light",
H192&lt;50,"Moderate",
TRUE,"Heavy")</f>
        <v>No Rain</v>
      </c>
      <c r="L192" s="1" t="str">
        <f>IF(Table1[[#This Row],[Precipitation_mm]]&lt;&gt;0,"Wet","Dry")</f>
        <v>Dry</v>
      </c>
      <c r="M192" t="b">
        <f>OR(ISBLANK(Table1[[#This Row],[Temperature_F]]),ISERROR(Table1[[#This Row],[Temperature_F]]))</f>
        <v>0</v>
      </c>
    </row>
    <row r="193" spans="1:13" hidden="1" x14ac:dyDescent="0.25">
      <c r="A193" s="1" t="s">
        <v>1</v>
      </c>
      <c r="B193" s="1" t="s">
        <v>2</v>
      </c>
      <c r="C193" s="1">
        <v>42.360599999999998</v>
      </c>
      <c r="D193" s="1">
        <v>-71.010599999999997</v>
      </c>
      <c r="E193" s="5">
        <v>40375</v>
      </c>
      <c r="F193" s="1" t="str">
        <f t="shared" si="3"/>
        <v>July</v>
      </c>
      <c r="G193" s="1">
        <v>87</v>
      </c>
      <c r="H193" s="1">
        <v>5</v>
      </c>
      <c r="I193" s="1" t="str">
        <f>IF(Table1[[#This Row],[Temperature_F]]&lt;32,"Yes","No")</f>
        <v>No</v>
      </c>
      <c r="J193" s="1" t="str" cm="1">
        <f t="array" ref="J1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93" s="1" t="str" cm="1">
        <f t="array" ref="K193">_xlfn.IFS(
H193=0,"No Rain",
H193&lt;10,"Light",
H193&lt;50,"Moderate",
TRUE,"Heavy")</f>
        <v>Light</v>
      </c>
      <c r="L193" s="1" t="str">
        <f>IF(Table1[[#This Row],[Precipitation_mm]]&lt;&gt;0,"Wet","Dry")</f>
        <v>Wet</v>
      </c>
      <c r="M193" t="b">
        <f>OR(ISBLANK(Table1[[#This Row],[Temperature_F]]),ISERROR(Table1[[#This Row],[Temperature_F]]))</f>
        <v>0</v>
      </c>
    </row>
    <row r="194" spans="1:13" hidden="1" x14ac:dyDescent="0.25">
      <c r="A194" s="1" t="s">
        <v>1</v>
      </c>
      <c r="B194" s="1" t="s">
        <v>2</v>
      </c>
      <c r="C194" s="1">
        <v>42.360599999999998</v>
      </c>
      <c r="D194" s="1">
        <v>-71.010599999999997</v>
      </c>
      <c r="E194" s="5">
        <v>40376</v>
      </c>
      <c r="F194" s="1" t="str">
        <f t="shared" si="3"/>
        <v>July</v>
      </c>
      <c r="G194" s="1">
        <v>77</v>
      </c>
      <c r="H194" s="1">
        <v>0</v>
      </c>
      <c r="I194" s="1" t="str">
        <f>IF(Table1[[#This Row],[Temperature_F]]&lt;32,"Yes","No")</f>
        <v>No</v>
      </c>
      <c r="J194" s="1" t="str" cm="1">
        <f t="array" ref="J1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4" s="1" t="str" cm="1">
        <f t="array" ref="K194">_xlfn.IFS(
H194=0,"No Rain",
H194&lt;10,"Light",
H194&lt;50,"Moderate",
TRUE,"Heavy")</f>
        <v>No Rain</v>
      </c>
      <c r="L194" s="1" t="str">
        <f>IF(Table1[[#This Row],[Precipitation_mm]]&lt;&gt;0,"Wet","Dry")</f>
        <v>Dry</v>
      </c>
      <c r="M194" t="b">
        <f>OR(ISBLANK(Table1[[#This Row],[Temperature_F]]),ISERROR(Table1[[#This Row],[Temperature_F]]))</f>
        <v>0</v>
      </c>
    </row>
    <row r="195" spans="1:13" hidden="1" x14ac:dyDescent="0.25">
      <c r="A195" s="1" t="s">
        <v>1</v>
      </c>
      <c r="B195" s="1" t="s">
        <v>2</v>
      </c>
      <c r="C195" s="1">
        <v>42.360599999999998</v>
      </c>
      <c r="D195" s="1">
        <v>-71.010599999999997</v>
      </c>
      <c r="E195" s="5">
        <v>40377</v>
      </c>
      <c r="F195" s="1" t="str">
        <f t="shared" si="3"/>
        <v>July</v>
      </c>
      <c r="G195" s="1">
        <v>71</v>
      </c>
      <c r="H195" s="1">
        <v>0</v>
      </c>
      <c r="I195" s="1" t="str">
        <f>IF(Table1[[#This Row],[Temperature_F]]&lt;32,"Yes","No")</f>
        <v>No</v>
      </c>
      <c r="J195" s="1" t="str" cm="1">
        <f t="array" ref="J1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5" s="1" t="str" cm="1">
        <f t="array" ref="K195">_xlfn.IFS(
H195=0,"No Rain",
H195&lt;10,"Light",
H195&lt;50,"Moderate",
TRUE,"Heavy")</f>
        <v>No Rain</v>
      </c>
      <c r="L195" s="1" t="str">
        <f>IF(Table1[[#This Row],[Precipitation_mm]]&lt;&gt;0,"Wet","Dry")</f>
        <v>Dry</v>
      </c>
      <c r="M195" t="b">
        <f>OR(ISBLANK(Table1[[#This Row],[Temperature_F]]),ISERROR(Table1[[#This Row],[Temperature_F]]))</f>
        <v>0</v>
      </c>
    </row>
    <row r="196" spans="1:13" hidden="1" x14ac:dyDescent="0.25">
      <c r="A196" s="1" t="s">
        <v>1</v>
      </c>
      <c r="B196" s="1" t="s">
        <v>2</v>
      </c>
      <c r="C196" s="1">
        <v>42.360599999999998</v>
      </c>
      <c r="D196" s="1">
        <v>-71.010599999999997</v>
      </c>
      <c r="E196" s="5">
        <v>40378</v>
      </c>
      <c r="F196" s="1" t="str">
        <f t="shared" si="3"/>
        <v>July</v>
      </c>
      <c r="G196" s="1">
        <v>85</v>
      </c>
      <c r="H196" s="1">
        <v>0</v>
      </c>
      <c r="I196" s="1" t="str">
        <f>IF(Table1[[#This Row],[Temperature_F]]&lt;32,"Yes","No")</f>
        <v>No</v>
      </c>
      <c r="J196" s="1" t="str" cm="1">
        <f t="array" ref="J1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6" s="1" t="str" cm="1">
        <f t="array" ref="K196">_xlfn.IFS(
H196=0,"No Rain",
H196&lt;10,"Light",
H196&lt;50,"Moderate",
TRUE,"Heavy")</f>
        <v>No Rain</v>
      </c>
      <c r="L196" s="1" t="str">
        <f>IF(Table1[[#This Row],[Precipitation_mm]]&lt;&gt;0,"Wet","Dry")</f>
        <v>Dry</v>
      </c>
      <c r="M196" t="b">
        <f>OR(ISBLANK(Table1[[#This Row],[Temperature_F]]),ISERROR(Table1[[#This Row],[Temperature_F]]))</f>
        <v>0</v>
      </c>
    </row>
    <row r="197" spans="1:13" hidden="1" x14ac:dyDescent="0.25">
      <c r="A197" s="1" t="s">
        <v>1</v>
      </c>
      <c r="B197" s="1" t="s">
        <v>2</v>
      </c>
      <c r="C197" s="1">
        <v>42.360599999999998</v>
      </c>
      <c r="D197" s="1">
        <v>-71.010599999999997</v>
      </c>
      <c r="E197" s="5">
        <v>40379</v>
      </c>
      <c r="F197" s="1" t="str">
        <f t="shared" si="3"/>
        <v>July</v>
      </c>
      <c r="G197" s="1">
        <v>73</v>
      </c>
      <c r="H197" s="1">
        <v>0</v>
      </c>
      <c r="I197" s="1" t="str">
        <f>IF(Table1[[#This Row],[Temperature_F]]&lt;32,"Yes","No")</f>
        <v>No</v>
      </c>
      <c r="J197" s="1" t="str" cm="1">
        <f t="array" ref="J1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7" s="1" t="str" cm="1">
        <f t="array" ref="K197">_xlfn.IFS(
H197=0,"No Rain",
H197&lt;10,"Light",
H197&lt;50,"Moderate",
TRUE,"Heavy")</f>
        <v>No Rain</v>
      </c>
      <c r="L197" s="1" t="str">
        <f>IF(Table1[[#This Row],[Precipitation_mm]]&lt;&gt;0,"Wet","Dry")</f>
        <v>Dry</v>
      </c>
      <c r="M197" t="b">
        <f>OR(ISBLANK(Table1[[#This Row],[Temperature_F]]),ISERROR(Table1[[#This Row],[Temperature_F]]))</f>
        <v>0</v>
      </c>
    </row>
    <row r="198" spans="1:13" hidden="1" x14ac:dyDescent="0.25">
      <c r="A198" s="1" t="s">
        <v>1</v>
      </c>
      <c r="B198" s="1" t="s">
        <v>2</v>
      </c>
      <c r="C198" s="1">
        <v>42.360599999999998</v>
      </c>
      <c r="D198" s="1">
        <v>-71.010599999999997</v>
      </c>
      <c r="E198" s="5">
        <v>40380</v>
      </c>
      <c r="F198" s="1" t="str">
        <f t="shared" si="3"/>
        <v>July</v>
      </c>
      <c r="G198" s="1">
        <v>70</v>
      </c>
      <c r="H198" s="1">
        <v>13</v>
      </c>
      <c r="I198" s="1" t="str">
        <f>IF(Table1[[#This Row],[Temperature_F]]&lt;32,"Yes","No")</f>
        <v>No</v>
      </c>
      <c r="J198" s="1" t="str" cm="1">
        <f t="array" ref="J1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8" s="1" t="str" cm="1">
        <f t="array" ref="K198">_xlfn.IFS(
H198=0,"No Rain",
H198&lt;10,"Light",
H198&lt;50,"Moderate",
TRUE,"Heavy")</f>
        <v>Moderate</v>
      </c>
      <c r="L198" s="1" t="str">
        <f>IF(Table1[[#This Row],[Precipitation_mm]]&lt;&gt;0,"Wet","Dry")</f>
        <v>Wet</v>
      </c>
      <c r="M198" t="b">
        <f>OR(ISBLANK(Table1[[#This Row],[Temperature_F]]),ISERROR(Table1[[#This Row],[Temperature_F]]))</f>
        <v>0</v>
      </c>
    </row>
    <row r="199" spans="1:13" hidden="1" x14ac:dyDescent="0.25">
      <c r="A199" s="1" t="s">
        <v>1</v>
      </c>
      <c r="B199" s="1" t="s">
        <v>2</v>
      </c>
      <c r="C199" s="1">
        <v>42.360599999999998</v>
      </c>
      <c r="D199" s="1">
        <v>-71.010599999999997</v>
      </c>
      <c r="E199" s="5">
        <v>40381</v>
      </c>
      <c r="F199" s="1" t="str">
        <f t="shared" si="3"/>
        <v>July</v>
      </c>
      <c r="G199" s="1">
        <v>86</v>
      </c>
      <c r="H199" s="1">
        <v>0</v>
      </c>
      <c r="I199" s="1" t="str">
        <f>IF(Table1[[#This Row],[Temperature_F]]&lt;32,"Yes","No")</f>
        <v>No</v>
      </c>
      <c r="J199" s="1" t="str" cm="1">
        <f t="array" ref="J1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99" s="1" t="str" cm="1">
        <f t="array" ref="K199">_xlfn.IFS(
H199=0,"No Rain",
H199&lt;10,"Light",
H199&lt;50,"Moderate",
TRUE,"Heavy")</f>
        <v>No Rain</v>
      </c>
      <c r="L199" s="1" t="str">
        <f>IF(Table1[[#This Row],[Precipitation_mm]]&lt;&gt;0,"Wet","Dry")</f>
        <v>Dry</v>
      </c>
      <c r="M199" t="b">
        <f>OR(ISBLANK(Table1[[#This Row],[Temperature_F]]),ISERROR(Table1[[#This Row],[Temperature_F]]))</f>
        <v>0</v>
      </c>
    </row>
    <row r="200" spans="1:13" hidden="1" x14ac:dyDescent="0.25">
      <c r="A200" s="1" t="s">
        <v>1</v>
      </c>
      <c r="B200" s="1" t="s">
        <v>2</v>
      </c>
      <c r="C200" s="1">
        <v>42.360599999999998</v>
      </c>
      <c r="D200" s="1">
        <v>-71.010599999999997</v>
      </c>
      <c r="E200" s="5">
        <v>40382</v>
      </c>
      <c r="F200" s="1" t="str">
        <f t="shared" si="3"/>
        <v>July</v>
      </c>
      <c r="G200" s="1">
        <v>89</v>
      </c>
      <c r="H200" s="1">
        <v>124</v>
      </c>
      <c r="I200" s="1" t="str">
        <f>IF(Table1[[#This Row],[Temperature_F]]&lt;32,"Yes","No")</f>
        <v>No</v>
      </c>
      <c r="J200" s="1" t="str" cm="1">
        <f t="array" ref="J2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200" s="1" t="str" cm="1">
        <f t="array" ref="K200">_xlfn.IFS(
H200=0,"No Rain",
H200&lt;10,"Light",
H200&lt;50,"Moderate",
TRUE,"Heavy")</f>
        <v>Heavy</v>
      </c>
      <c r="L200" s="1" t="str">
        <f>IF(Table1[[#This Row],[Precipitation_mm]]&lt;&gt;0,"Wet","Dry")</f>
        <v>Wet</v>
      </c>
      <c r="M200" t="b">
        <f>OR(ISBLANK(Table1[[#This Row],[Temperature_F]]),ISERROR(Table1[[#This Row],[Temperature_F]]))</f>
        <v>0</v>
      </c>
    </row>
    <row r="201" spans="1:13" hidden="1" x14ac:dyDescent="0.25">
      <c r="A201" s="1" t="s">
        <v>1</v>
      </c>
      <c r="B201" s="1" t="s">
        <v>2</v>
      </c>
      <c r="C201" s="1">
        <v>42.360599999999998</v>
      </c>
      <c r="D201" s="1">
        <v>-71.010599999999997</v>
      </c>
      <c r="E201" s="5">
        <v>40383</v>
      </c>
      <c r="F201" s="1" t="str">
        <f t="shared" si="3"/>
        <v>July</v>
      </c>
      <c r="G201" s="1">
        <v>87</v>
      </c>
      <c r="H201" s="1">
        <v>0</v>
      </c>
      <c r="I201" s="1" t="str">
        <f>IF(Table1[[#This Row],[Temperature_F]]&lt;32,"Yes","No")</f>
        <v>No</v>
      </c>
      <c r="J201" s="1" t="str" cm="1">
        <f t="array" ref="J2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201" s="1" t="str" cm="1">
        <f t="array" ref="K201">_xlfn.IFS(
H201=0,"No Rain",
H201&lt;10,"Light",
H201&lt;50,"Moderate",
TRUE,"Heavy")</f>
        <v>No Rain</v>
      </c>
      <c r="L201" s="1" t="str">
        <f>IF(Table1[[#This Row],[Precipitation_mm]]&lt;&gt;0,"Wet","Dry")</f>
        <v>Dry</v>
      </c>
      <c r="M201" t="b">
        <f>OR(ISBLANK(Table1[[#This Row],[Temperature_F]]),ISERROR(Table1[[#This Row],[Temperature_F]]))</f>
        <v>0</v>
      </c>
    </row>
    <row r="202" spans="1:13" hidden="1" x14ac:dyDescent="0.25">
      <c r="A202" s="1" t="s">
        <v>1</v>
      </c>
      <c r="B202" s="1" t="s">
        <v>2</v>
      </c>
      <c r="C202" s="1">
        <v>42.360599999999998</v>
      </c>
      <c r="D202" s="1">
        <v>-71.010599999999997</v>
      </c>
      <c r="E202" s="5">
        <v>40384</v>
      </c>
      <c r="F202" s="1" t="str">
        <f t="shared" si="3"/>
        <v>July</v>
      </c>
      <c r="G202" s="1">
        <v>87</v>
      </c>
      <c r="H202" s="1">
        <v>0</v>
      </c>
      <c r="I202" s="1" t="str">
        <f>IF(Table1[[#This Row],[Temperature_F]]&lt;32,"Yes","No")</f>
        <v>No</v>
      </c>
      <c r="J202" s="1" t="str" cm="1">
        <f t="array" ref="J2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202" s="1" t="str" cm="1">
        <f t="array" ref="K202">_xlfn.IFS(
H202=0,"No Rain",
H202&lt;10,"Light",
H202&lt;50,"Moderate",
TRUE,"Heavy")</f>
        <v>No Rain</v>
      </c>
      <c r="L202" s="1" t="str">
        <f>IF(Table1[[#This Row],[Precipitation_mm]]&lt;&gt;0,"Wet","Dry")</f>
        <v>Dry</v>
      </c>
      <c r="M202" t="b">
        <f>OR(ISBLANK(Table1[[#This Row],[Temperature_F]]),ISERROR(Table1[[#This Row],[Temperature_F]]))</f>
        <v>0</v>
      </c>
    </row>
    <row r="203" spans="1:13" hidden="1" x14ac:dyDescent="0.25">
      <c r="A203" s="1" t="s">
        <v>1</v>
      </c>
      <c r="B203" s="1" t="s">
        <v>2</v>
      </c>
      <c r="C203" s="1">
        <v>42.360599999999998</v>
      </c>
      <c r="D203" s="1">
        <v>-71.010599999999997</v>
      </c>
      <c r="E203" s="5">
        <v>40385</v>
      </c>
      <c r="F203" s="1" t="str">
        <f t="shared" si="3"/>
        <v>July</v>
      </c>
      <c r="G203" s="1">
        <v>81</v>
      </c>
      <c r="H203" s="1">
        <v>0</v>
      </c>
      <c r="I203" s="1" t="str">
        <f>IF(Table1[[#This Row],[Temperature_F]]&lt;32,"Yes","No")</f>
        <v>No</v>
      </c>
      <c r="J203" s="1" t="str" cm="1">
        <f t="array" ref="J2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03" s="1" t="str" cm="1">
        <f t="array" ref="K203">_xlfn.IFS(
H203=0,"No Rain",
H203&lt;10,"Light",
H203&lt;50,"Moderate",
TRUE,"Heavy")</f>
        <v>No Rain</v>
      </c>
      <c r="L203" s="1" t="str">
        <f>IF(Table1[[#This Row],[Precipitation_mm]]&lt;&gt;0,"Wet","Dry")</f>
        <v>Dry</v>
      </c>
      <c r="M203" t="b">
        <f>OR(ISBLANK(Table1[[#This Row],[Temperature_F]]),ISERROR(Table1[[#This Row],[Temperature_F]]))</f>
        <v>0</v>
      </c>
    </row>
    <row r="204" spans="1:13" hidden="1" x14ac:dyDescent="0.25">
      <c r="A204" s="1" t="s">
        <v>1</v>
      </c>
      <c r="B204" s="1" t="s">
        <v>2</v>
      </c>
      <c r="C204" s="1">
        <v>42.360599999999998</v>
      </c>
      <c r="D204" s="1">
        <v>-71.010599999999997</v>
      </c>
      <c r="E204" s="5">
        <v>40386</v>
      </c>
      <c r="F204" s="1" t="str">
        <f t="shared" si="3"/>
        <v>July</v>
      </c>
      <c r="G204" s="1">
        <v>74</v>
      </c>
      <c r="H204" s="1">
        <v>0</v>
      </c>
      <c r="I204" s="1" t="str">
        <f>IF(Table1[[#This Row],[Temperature_F]]&lt;32,"Yes","No")</f>
        <v>No</v>
      </c>
      <c r="J204" s="1" t="str" cm="1">
        <f t="array" ref="J2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04" s="1" t="str" cm="1">
        <f t="array" ref="K204">_xlfn.IFS(
H204=0,"No Rain",
H204&lt;10,"Light",
H204&lt;50,"Moderate",
TRUE,"Heavy")</f>
        <v>No Rain</v>
      </c>
      <c r="L204" s="1" t="str">
        <f>IF(Table1[[#This Row],[Precipitation_mm]]&lt;&gt;0,"Wet","Dry")</f>
        <v>Dry</v>
      </c>
      <c r="M204" t="b">
        <f>OR(ISBLANK(Table1[[#This Row],[Temperature_F]]),ISERROR(Table1[[#This Row],[Temperature_F]]))</f>
        <v>0</v>
      </c>
    </row>
    <row r="205" spans="1:13" hidden="1" x14ac:dyDescent="0.25">
      <c r="A205" s="1" t="s">
        <v>1</v>
      </c>
      <c r="B205" s="1" t="s">
        <v>2</v>
      </c>
      <c r="C205" s="1">
        <v>42.360599999999998</v>
      </c>
      <c r="D205" s="1">
        <v>-71.010599999999997</v>
      </c>
      <c r="E205" s="5">
        <v>40387</v>
      </c>
      <c r="F205" s="1" t="str">
        <f t="shared" si="3"/>
        <v>July</v>
      </c>
      <c r="G205" s="1">
        <v>82</v>
      </c>
      <c r="H205" s="1">
        <v>0</v>
      </c>
      <c r="I205" s="1" t="str">
        <f>IF(Table1[[#This Row],[Temperature_F]]&lt;32,"Yes","No")</f>
        <v>No</v>
      </c>
      <c r="J205" s="1" t="str" cm="1">
        <f t="array" ref="J2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05" s="1" t="str" cm="1">
        <f t="array" ref="K205">_xlfn.IFS(
H205=0,"No Rain",
H205&lt;10,"Light",
H205&lt;50,"Moderate",
TRUE,"Heavy")</f>
        <v>No Rain</v>
      </c>
      <c r="L205" s="1" t="str">
        <f>IF(Table1[[#This Row],[Precipitation_mm]]&lt;&gt;0,"Wet","Dry")</f>
        <v>Dry</v>
      </c>
      <c r="M205" t="b">
        <f>OR(ISBLANK(Table1[[#This Row],[Temperature_F]]),ISERROR(Table1[[#This Row],[Temperature_F]]))</f>
        <v>0</v>
      </c>
    </row>
    <row r="206" spans="1:13" hidden="1" x14ac:dyDescent="0.25">
      <c r="A206" s="1" t="s">
        <v>1</v>
      </c>
      <c r="B206" s="1" t="s">
        <v>2</v>
      </c>
      <c r="C206" s="1">
        <v>42.360599999999998</v>
      </c>
      <c r="D206" s="1">
        <v>-71.010599999999997</v>
      </c>
      <c r="E206" s="5">
        <v>40388</v>
      </c>
      <c r="F206" s="1" t="str">
        <f t="shared" si="3"/>
        <v>July</v>
      </c>
      <c r="G206" s="1">
        <v>73</v>
      </c>
      <c r="H206" s="1">
        <v>10</v>
      </c>
      <c r="I206" s="1" t="str">
        <f>IF(Table1[[#This Row],[Temperature_F]]&lt;32,"Yes","No")</f>
        <v>No</v>
      </c>
      <c r="J206" s="1" t="str" cm="1">
        <f t="array" ref="J2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06" s="1" t="str" cm="1">
        <f t="array" ref="K206">_xlfn.IFS(
H206=0,"No Rain",
H206&lt;10,"Light",
H206&lt;50,"Moderate",
TRUE,"Heavy")</f>
        <v>Moderate</v>
      </c>
      <c r="L206" s="1" t="str">
        <f>IF(Table1[[#This Row],[Precipitation_mm]]&lt;&gt;0,"Wet","Dry")</f>
        <v>Wet</v>
      </c>
      <c r="M206" t="b">
        <f>OR(ISBLANK(Table1[[#This Row],[Temperature_F]]),ISERROR(Table1[[#This Row],[Temperature_F]]))</f>
        <v>0</v>
      </c>
    </row>
    <row r="207" spans="1:13" hidden="1" x14ac:dyDescent="0.25">
      <c r="A207" s="1" t="s">
        <v>1</v>
      </c>
      <c r="B207" s="1" t="s">
        <v>2</v>
      </c>
      <c r="C207" s="1">
        <v>42.360599999999998</v>
      </c>
      <c r="D207" s="1">
        <v>-71.010599999999997</v>
      </c>
      <c r="E207" s="5">
        <v>40389</v>
      </c>
      <c r="F207" s="1" t="str">
        <f t="shared" si="3"/>
        <v>July</v>
      </c>
      <c r="G207" s="1">
        <v>80</v>
      </c>
      <c r="H207" s="1">
        <v>0</v>
      </c>
      <c r="I207" s="1" t="str">
        <f>IF(Table1[[#This Row],[Temperature_F]]&lt;32,"Yes","No")</f>
        <v>No</v>
      </c>
      <c r="J207" s="1" t="str" cm="1">
        <f t="array" ref="J2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07" s="1" t="str" cm="1">
        <f t="array" ref="K207">_xlfn.IFS(
H207=0,"No Rain",
H207&lt;10,"Light",
H207&lt;50,"Moderate",
TRUE,"Heavy")</f>
        <v>No Rain</v>
      </c>
      <c r="L207" s="1" t="str">
        <f>IF(Table1[[#This Row],[Precipitation_mm]]&lt;&gt;0,"Wet","Dry")</f>
        <v>Dry</v>
      </c>
      <c r="M207" t="b">
        <f>OR(ISBLANK(Table1[[#This Row],[Temperature_F]]),ISERROR(Table1[[#This Row],[Temperature_F]]))</f>
        <v>0</v>
      </c>
    </row>
    <row r="208" spans="1:13" hidden="1" x14ac:dyDescent="0.25">
      <c r="A208" s="1" t="s">
        <v>1</v>
      </c>
      <c r="B208" s="1" t="s">
        <v>2</v>
      </c>
      <c r="C208" s="1">
        <v>42.360599999999998</v>
      </c>
      <c r="D208" s="1">
        <v>-71.010599999999997</v>
      </c>
      <c r="E208" s="5">
        <v>40390</v>
      </c>
      <c r="F208" s="1" t="str">
        <f t="shared" si="3"/>
        <v>July</v>
      </c>
      <c r="G208" s="1">
        <v>73</v>
      </c>
      <c r="H208" s="1">
        <v>0</v>
      </c>
      <c r="I208" s="1" t="str">
        <f>IF(Table1[[#This Row],[Temperature_F]]&lt;32,"Yes","No")</f>
        <v>No</v>
      </c>
      <c r="J208" s="1" t="str" cm="1">
        <f t="array" ref="J2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08" s="1" t="str" cm="1">
        <f t="array" ref="K208">_xlfn.IFS(
H208=0,"No Rain",
H208&lt;10,"Light",
H208&lt;50,"Moderate",
TRUE,"Heavy")</f>
        <v>No Rain</v>
      </c>
      <c r="L208" s="1" t="str">
        <f>IF(Table1[[#This Row],[Precipitation_mm]]&lt;&gt;0,"Wet","Dry")</f>
        <v>Dry</v>
      </c>
      <c r="M208" t="b">
        <f>OR(ISBLANK(Table1[[#This Row],[Temperature_F]]),ISERROR(Table1[[#This Row],[Temperature_F]]))</f>
        <v>0</v>
      </c>
    </row>
    <row r="209" spans="1:13" hidden="1" x14ac:dyDescent="0.25">
      <c r="A209" s="1" t="s">
        <v>1</v>
      </c>
      <c r="B209" s="1" t="s">
        <v>2</v>
      </c>
      <c r="C209" s="1">
        <v>42.360599999999998</v>
      </c>
      <c r="D209" s="1">
        <v>-71.010599999999997</v>
      </c>
      <c r="E209" s="5">
        <v>40391</v>
      </c>
      <c r="F209" s="1" t="str">
        <f t="shared" si="3"/>
        <v>August</v>
      </c>
      <c r="G209" s="1">
        <v>68</v>
      </c>
      <c r="H209" s="1">
        <v>0</v>
      </c>
      <c r="I209" s="1" t="str">
        <f>IF(Table1[[#This Row],[Temperature_F]]&lt;32,"Yes","No")</f>
        <v>No</v>
      </c>
      <c r="J209" s="1" t="str" cm="1">
        <f t="array" ref="J2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09" s="1" t="str" cm="1">
        <f t="array" ref="K209">_xlfn.IFS(
H209=0,"No Rain",
H209&lt;10,"Light",
H209&lt;50,"Moderate",
TRUE,"Heavy")</f>
        <v>No Rain</v>
      </c>
      <c r="L209" s="1" t="str">
        <f>IF(Table1[[#This Row],[Precipitation_mm]]&lt;&gt;0,"Wet","Dry")</f>
        <v>Dry</v>
      </c>
      <c r="M209" t="b">
        <f>OR(ISBLANK(Table1[[#This Row],[Temperature_F]]),ISERROR(Table1[[#This Row],[Temperature_F]]))</f>
        <v>0</v>
      </c>
    </row>
    <row r="210" spans="1:13" hidden="1" x14ac:dyDescent="0.25">
      <c r="A210" s="1" t="s">
        <v>1</v>
      </c>
      <c r="B210" s="1" t="s">
        <v>2</v>
      </c>
      <c r="C210" s="1">
        <v>42.360599999999998</v>
      </c>
      <c r="D210" s="1">
        <v>-71.010599999999997</v>
      </c>
      <c r="E210" s="5">
        <v>40392</v>
      </c>
      <c r="F210" s="1" t="str">
        <f t="shared" si="3"/>
        <v>August</v>
      </c>
      <c r="G210" s="1">
        <v>80</v>
      </c>
      <c r="H210" s="1">
        <v>0</v>
      </c>
      <c r="I210" s="1" t="str">
        <f>IF(Table1[[#This Row],[Temperature_F]]&lt;32,"Yes","No")</f>
        <v>No</v>
      </c>
      <c r="J210" s="1" t="str" cm="1">
        <f t="array" ref="J2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0" s="1" t="str" cm="1">
        <f t="array" ref="K210">_xlfn.IFS(
H210=0,"No Rain",
H210&lt;10,"Light",
H210&lt;50,"Moderate",
TRUE,"Heavy")</f>
        <v>No Rain</v>
      </c>
      <c r="L210" s="1" t="str">
        <f>IF(Table1[[#This Row],[Precipitation_mm]]&lt;&gt;0,"Wet","Dry")</f>
        <v>Dry</v>
      </c>
      <c r="M210" t="b">
        <f>OR(ISBLANK(Table1[[#This Row],[Temperature_F]]),ISERROR(Table1[[#This Row],[Temperature_F]]))</f>
        <v>0</v>
      </c>
    </row>
    <row r="211" spans="1:13" hidden="1" x14ac:dyDescent="0.25">
      <c r="A211" s="1" t="s">
        <v>1</v>
      </c>
      <c r="B211" s="1" t="s">
        <v>2</v>
      </c>
      <c r="C211" s="1">
        <v>42.360599999999998</v>
      </c>
      <c r="D211" s="1">
        <v>-71.010599999999997</v>
      </c>
      <c r="E211" s="5">
        <v>40393</v>
      </c>
      <c r="F211" s="1" t="str">
        <f t="shared" si="3"/>
        <v>August</v>
      </c>
      <c r="G211" s="1">
        <v>67</v>
      </c>
      <c r="H211" s="1">
        <v>0</v>
      </c>
      <c r="I211" s="1" t="str">
        <f>IF(Table1[[#This Row],[Temperature_F]]&lt;32,"Yes","No")</f>
        <v>No</v>
      </c>
      <c r="J211" s="1" t="str" cm="1">
        <f t="array" ref="J2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11" s="1" t="str" cm="1">
        <f t="array" ref="K211">_xlfn.IFS(
H211=0,"No Rain",
H211&lt;10,"Light",
H211&lt;50,"Moderate",
TRUE,"Heavy")</f>
        <v>No Rain</v>
      </c>
      <c r="L211" s="1" t="str">
        <f>IF(Table1[[#This Row],[Precipitation_mm]]&lt;&gt;0,"Wet","Dry")</f>
        <v>Dry</v>
      </c>
      <c r="M211" t="b">
        <f>OR(ISBLANK(Table1[[#This Row],[Temperature_F]]),ISERROR(Table1[[#This Row],[Temperature_F]]))</f>
        <v>0</v>
      </c>
    </row>
    <row r="212" spans="1:13" hidden="1" x14ac:dyDescent="0.25">
      <c r="A212" s="1" t="s">
        <v>1</v>
      </c>
      <c r="B212" s="1" t="s">
        <v>2</v>
      </c>
      <c r="C212" s="1">
        <v>42.360599999999998</v>
      </c>
      <c r="D212" s="1">
        <v>-71.010599999999997</v>
      </c>
      <c r="E212" s="5">
        <v>40394</v>
      </c>
      <c r="F212" s="1" t="str">
        <f t="shared" si="3"/>
        <v>August</v>
      </c>
      <c r="G212" s="1">
        <v>65</v>
      </c>
      <c r="H212" s="1">
        <v>0</v>
      </c>
      <c r="I212" s="1" t="str">
        <f>IF(Table1[[#This Row],[Temperature_F]]&lt;32,"Yes","No")</f>
        <v>No</v>
      </c>
      <c r="J212" s="1" t="str" cm="1">
        <f t="array" ref="J2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12" s="1" t="str" cm="1">
        <f t="array" ref="K212">_xlfn.IFS(
H212=0,"No Rain",
H212&lt;10,"Light",
H212&lt;50,"Moderate",
TRUE,"Heavy")</f>
        <v>No Rain</v>
      </c>
      <c r="L212" s="1" t="str">
        <f>IF(Table1[[#This Row],[Precipitation_mm]]&lt;&gt;0,"Wet","Dry")</f>
        <v>Dry</v>
      </c>
      <c r="M212" t="b">
        <f>OR(ISBLANK(Table1[[#This Row],[Temperature_F]]),ISERROR(Table1[[#This Row],[Temperature_F]]))</f>
        <v>0</v>
      </c>
    </row>
    <row r="213" spans="1:13" hidden="1" x14ac:dyDescent="0.25">
      <c r="A213" s="1" t="s">
        <v>1</v>
      </c>
      <c r="B213" s="1" t="s">
        <v>2</v>
      </c>
      <c r="C213" s="1">
        <v>42.360599999999998</v>
      </c>
      <c r="D213" s="1">
        <v>-71.010599999999997</v>
      </c>
      <c r="E213" s="5">
        <v>40395</v>
      </c>
      <c r="F213" s="1" t="str">
        <f t="shared" si="3"/>
        <v>August</v>
      </c>
      <c r="G213" s="1">
        <v>87</v>
      </c>
      <c r="H213" s="1">
        <v>251</v>
      </c>
      <c r="I213" s="1" t="str">
        <f>IF(Table1[[#This Row],[Temperature_F]]&lt;32,"Yes","No")</f>
        <v>No</v>
      </c>
      <c r="J213" s="1" t="str" cm="1">
        <f t="array" ref="J2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213" s="1" t="str" cm="1">
        <f t="array" ref="K213">_xlfn.IFS(
H213=0,"No Rain",
H213&lt;10,"Light",
H213&lt;50,"Moderate",
TRUE,"Heavy")</f>
        <v>Heavy</v>
      </c>
      <c r="L213" s="1" t="str">
        <f>IF(Table1[[#This Row],[Precipitation_mm]]&lt;&gt;0,"Wet","Dry")</f>
        <v>Wet</v>
      </c>
      <c r="M213" t="b">
        <f>OR(ISBLANK(Table1[[#This Row],[Temperature_F]]),ISERROR(Table1[[#This Row],[Temperature_F]]))</f>
        <v>0</v>
      </c>
    </row>
    <row r="214" spans="1:13" hidden="1" x14ac:dyDescent="0.25">
      <c r="A214" s="1" t="s">
        <v>1</v>
      </c>
      <c r="B214" s="1" t="s">
        <v>2</v>
      </c>
      <c r="C214" s="1">
        <v>42.360599999999998</v>
      </c>
      <c r="D214" s="1">
        <v>-71.010599999999997</v>
      </c>
      <c r="E214" s="5">
        <v>40396</v>
      </c>
      <c r="F214" s="1" t="str">
        <f t="shared" si="3"/>
        <v>August</v>
      </c>
      <c r="G214" s="1">
        <v>86</v>
      </c>
      <c r="H214" s="1">
        <v>0</v>
      </c>
      <c r="I214" s="1" t="str">
        <f>IF(Table1[[#This Row],[Temperature_F]]&lt;32,"Yes","No")</f>
        <v>No</v>
      </c>
      <c r="J214" s="1" t="str" cm="1">
        <f t="array" ref="J2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4" s="1" t="str" cm="1">
        <f t="array" ref="K214">_xlfn.IFS(
H214=0,"No Rain",
H214&lt;10,"Light",
H214&lt;50,"Moderate",
TRUE,"Heavy")</f>
        <v>No Rain</v>
      </c>
      <c r="L214" s="1" t="str">
        <f>IF(Table1[[#This Row],[Precipitation_mm]]&lt;&gt;0,"Wet","Dry")</f>
        <v>Dry</v>
      </c>
      <c r="M214" t="b">
        <f>OR(ISBLANK(Table1[[#This Row],[Temperature_F]]),ISERROR(Table1[[#This Row],[Temperature_F]]))</f>
        <v>0</v>
      </c>
    </row>
    <row r="215" spans="1:13" hidden="1" x14ac:dyDescent="0.25">
      <c r="A215" s="1" t="s">
        <v>1</v>
      </c>
      <c r="B215" s="1" t="s">
        <v>2</v>
      </c>
      <c r="C215" s="1">
        <v>42.360599999999998</v>
      </c>
      <c r="D215" s="1">
        <v>-71.010599999999997</v>
      </c>
      <c r="E215" s="5">
        <v>40397</v>
      </c>
      <c r="F215" s="1" t="str">
        <f t="shared" si="3"/>
        <v>August</v>
      </c>
      <c r="G215" s="1">
        <v>83</v>
      </c>
      <c r="H215" s="1">
        <v>0</v>
      </c>
      <c r="I215" s="1" t="str">
        <f>IF(Table1[[#This Row],[Temperature_F]]&lt;32,"Yes","No")</f>
        <v>No</v>
      </c>
      <c r="J215" s="1" t="str" cm="1">
        <f t="array" ref="J2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5" s="1" t="str" cm="1">
        <f t="array" ref="K215">_xlfn.IFS(
H215=0,"No Rain",
H215&lt;10,"Light",
H215&lt;50,"Moderate",
TRUE,"Heavy")</f>
        <v>No Rain</v>
      </c>
      <c r="L215" s="1" t="str">
        <f>IF(Table1[[#This Row],[Precipitation_mm]]&lt;&gt;0,"Wet","Dry")</f>
        <v>Dry</v>
      </c>
      <c r="M215" t="b">
        <f>OR(ISBLANK(Table1[[#This Row],[Temperature_F]]),ISERROR(Table1[[#This Row],[Temperature_F]]))</f>
        <v>0</v>
      </c>
    </row>
    <row r="216" spans="1:13" hidden="1" x14ac:dyDescent="0.25">
      <c r="A216" s="1" t="s">
        <v>1</v>
      </c>
      <c r="B216" s="1" t="s">
        <v>2</v>
      </c>
      <c r="C216" s="1">
        <v>42.360599999999998</v>
      </c>
      <c r="D216" s="1">
        <v>-71.010599999999997</v>
      </c>
      <c r="E216" s="5">
        <v>40398</v>
      </c>
      <c r="F216" s="1" t="str">
        <f t="shared" si="3"/>
        <v>August</v>
      </c>
      <c r="G216" s="1">
        <v>71</v>
      </c>
      <c r="H216" s="1">
        <v>0</v>
      </c>
      <c r="I216" s="1" t="str">
        <f>IF(Table1[[#This Row],[Temperature_F]]&lt;32,"Yes","No")</f>
        <v>No</v>
      </c>
      <c r="J216" s="1" t="str" cm="1">
        <f t="array" ref="J2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6" s="1" t="str" cm="1">
        <f t="array" ref="K216">_xlfn.IFS(
H216=0,"No Rain",
H216&lt;10,"Light",
H216&lt;50,"Moderate",
TRUE,"Heavy")</f>
        <v>No Rain</v>
      </c>
      <c r="L216" s="1" t="str">
        <f>IF(Table1[[#This Row],[Precipitation_mm]]&lt;&gt;0,"Wet","Dry")</f>
        <v>Dry</v>
      </c>
      <c r="M216" t="b">
        <f>OR(ISBLANK(Table1[[#This Row],[Temperature_F]]),ISERROR(Table1[[#This Row],[Temperature_F]]))</f>
        <v>0</v>
      </c>
    </row>
    <row r="217" spans="1:13" hidden="1" x14ac:dyDescent="0.25">
      <c r="A217" s="1" t="s">
        <v>1</v>
      </c>
      <c r="B217" s="1" t="s">
        <v>2</v>
      </c>
      <c r="C217" s="1">
        <v>42.360599999999998</v>
      </c>
      <c r="D217" s="1">
        <v>-71.010599999999997</v>
      </c>
      <c r="E217" s="5">
        <v>40399</v>
      </c>
      <c r="F217" s="1" t="str">
        <f t="shared" si="3"/>
        <v>August</v>
      </c>
      <c r="G217" s="1">
        <v>75</v>
      </c>
      <c r="H217" s="1">
        <v>0</v>
      </c>
      <c r="I217" s="1" t="str">
        <f>IF(Table1[[#This Row],[Temperature_F]]&lt;32,"Yes","No")</f>
        <v>No</v>
      </c>
      <c r="J217" s="1" t="str" cm="1">
        <f t="array" ref="J2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7" s="1" t="str" cm="1">
        <f t="array" ref="K217">_xlfn.IFS(
H217=0,"No Rain",
H217&lt;10,"Light",
H217&lt;50,"Moderate",
TRUE,"Heavy")</f>
        <v>No Rain</v>
      </c>
      <c r="L217" s="1" t="str">
        <f>IF(Table1[[#This Row],[Precipitation_mm]]&lt;&gt;0,"Wet","Dry")</f>
        <v>Dry</v>
      </c>
      <c r="M217" t="b">
        <f>OR(ISBLANK(Table1[[#This Row],[Temperature_F]]),ISERROR(Table1[[#This Row],[Temperature_F]]))</f>
        <v>0</v>
      </c>
    </row>
    <row r="218" spans="1:13" hidden="1" x14ac:dyDescent="0.25">
      <c r="A218" s="1" t="s">
        <v>1</v>
      </c>
      <c r="B218" s="1" t="s">
        <v>2</v>
      </c>
      <c r="C218" s="1">
        <v>42.360599999999998</v>
      </c>
      <c r="D218" s="1">
        <v>-71.010599999999997</v>
      </c>
      <c r="E218" s="5">
        <v>40400</v>
      </c>
      <c r="F218" s="1" t="str">
        <f t="shared" si="3"/>
        <v>August</v>
      </c>
      <c r="G218" s="1">
        <v>81</v>
      </c>
      <c r="H218" s="1">
        <v>18</v>
      </c>
      <c r="I218" s="1" t="str">
        <f>IF(Table1[[#This Row],[Temperature_F]]&lt;32,"Yes","No")</f>
        <v>No</v>
      </c>
      <c r="J218" s="1" t="str" cm="1">
        <f t="array" ref="J2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8" s="1" t="str" cm="1">
        <f t="array" ref="K218">_xlfn.IFS(
H218=0,"No Rain",
H218&lt;10,"Light",
H218&lt;50,"Moderate",
TRUE,"Heavy")</f>
        <v>Moderate</v>
      </c>
      <c r="L218" s="1" t="str">
        <f>IF(Table1[[#This Row],[Precipitation_mm]]&lt;&gt;0,"Wet","Dry")</f>
        <v>Wet</v>
      </c>
      <c r="M218" t="b">
        <f>OR(ISBLANK(Table1[[#This Row],[Temperature_F]]),ISERROR(Table1[[#This Row],[Temperature_F]]))</f>
        <v>0</v>
      </c>
    </row>
    <row r="219" spans="1:13" hidden="1" x14ac:dyDescent="0.25">
      <c r="A219" s="1" t="s">
        <v>1</v>
      </c>
      <c r="B219" s="1" t="s">
        <v>2</v>
      </c>
      <c r="C219" s="1">
        <v>42.360599999999998</v>
      </c>
      <c r="D219" s="1">
        <v>-71.010599999999997</v>
      </c>
      <c r="E219" s="5">
        <v>40401</v>
      </c>
      <c r="F219" s="1" t="str">
        <f t="shared" si="3"/>
        <v>August</v>
      </c>
      <c r="G219" s="1">
        <v>78</v>
      </c>
      <c r="H219" s="1">
        <v>0</v>
      </c>
      <c r="I219" s="1" t="str">
        <f>IF(Table1[[#This Row],[Temperature_F]]&lt;32,"Yes","No")</f>
        <v>No</v>
      </c>
      <c r="J219" s="1" t="str" cm="1">
        <f t="array" ref="J2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19" s="1" t="str" cm="1">
        <f t="array" ref="K219">_xlfn.IFS(
H219=0,"No Rain",
H219&lt;10,"Light",
H219&lt;50,"Moderate",
TRUE,"Heavy")</f>
        <v>No Rain</v>
      </c>
      <c r="L219" s="1" t="str">
        <f>IF(Table1[[#This Row],[Precipitation_mm]]&lt;&gt;0,"Wet","Dry")</f>
        <v>Dry</v>
      </c>
      <c r="M219" t="b">
        <f>OR(ISBLANK(Table1[[#This Row],[Temperature_F]]),ISERROR(Table1[[#This Row],[Temperature_F]]))</f>
        <v>0</v>
      </c>
    </row>
    <row r="220" spans="1:13" hidden="1" x14ac:dyDescent="0.25">
      <c r="A220" s="1" t="s">
        <v>1</v>
      </c>
      <c r="B220" s="1" t="s">
        <v>2</v>
      </c>
      <c r="C220" s="1">
        <v>42.360599999999998</v>
      </c>
      <c r="D220" s="1">
        <v>-71.010599999999997</v>
      </c>
      <c r="E220" s="5">
        <v>40402</v>
      </c>
      <c r="F220" s="1" t="str">
        <f t="shared" si="3"/>
        <v>August</v>
      </c>
      <c r="G220" s="1">
        <v>81</v>
      </c>
      <c r="H220" s="1">
        <v>0</v>
      </c>
      <c r="I220" s="1" t="str">
        <f>IF(Table1[[#This Row],[Temperature_F]]&lt;32,"Yes","No")</f>
        <v>No</v>
      </c>
      <c r="J220" s="1" t="str" cm="1">
        <f t="array" ref="J2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0" s="1" t="str" cm="1">
        <f t="array" ref="K220">_xlfn.IFS(
H220=0,"No Rain",
H220&lt;10,"Light",
H220&lt;50,"Moderate",
TRUE,"Heavy")</f>
        <v>No Rain</v>
      </c>
      <c r="L220" s="1" t="str">
        <f>IF(Table1[[#This Row],[Precipitation_mm]]&lt;&gt;0,"Wet","Dry")</f>
        <v>Dry</v>
      </c>
      <c r="M220" t="b">
        <f>OR(ISBLANK(Table1[[#This Row],[Temperature_F]]),ISERROR(Table1[[#This Row],[Temperature_F]]))</f>
        <v>0</v>
      </c>
    </row>
    <row r="221" spans="1:13" hidden="1" x14ac:dyDescent="0.25">
      <c r="A221" s="1" t="s">
        <v>1</v>
      </c>
      <c r="B221" s="1" t="s">
        <v>2</v>
      </c>
      <c r="C221" s="1">
        <v>42.360599999999998</v>
      </c>
      <c r="D221" s="1">
        <v>-71.010599999999997</v>
      </c>
      <c r="E221" s="5">
        <v>40405</v>
      </c>
      <c r="F221" s="1" t="str">
        <f t="shared" si="3"/>
        <v>August</v>
      </c>
      <c r="G221" s="1">
        <v>65</v>
      </c>
      <c r="H221" s="1">
        <v>0</v>
      </c>
      <c r="I221" s="1" t="str">
        <f>IF(Table1[[#This Row],[Temperature_F]]&lt;32,"Yes","No")</f>
        <v>No</v>
      </c>
      <c r="J221" s="1" t="str" cm="1">
        <f t="array" ref="J2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21" s="1" t="str" cm="1">
        <f t="array" ref="K221">_xlfn.IFS(
H221=0,"No Rain",
H221&lt;10,"Light",
H221&lt;50,"Moderate",
TRUE,"Heavy")</f>
        <v>No Rain</v>
      </c>
      <c r="L221" s="1" t="str">
        <f>IF(Table1[[#This Row],[Precipitation_mm]]&lt;&gt;0,"Wet","Dry")</f>
        <v>Dry</v>
      </c>
      <c r="M221" t="b">
        <f>OR(ISBLANK(Table1[[#This Row],[Temperature_F]]),ISERROR(Table1[[#This Row],[Temperature_F]]))</f>
        <v>0</v>
      </c>
    </row>
    <row r="222" spans="1:13" hidden="1" x14ac:dyDescent="0.25">
      <c r="A222" s="1" t="s">
        <v>1</v>
      </c>
      <c r="B222" s="1" t="s">
        <v>2</v>
      </c>
      <c r="C222" s="1">
        <v>42.360599999999998</v>
      </c>
      <c r="D222" s="1">
        <v>-71.010599999999997</v>
      </c>
      <c r="E222" s="5">
        <v>40406</v>
      </c>
      <c r="F222" s="1" t="str">
        <f t="shared" si="3"/>
        <v>August</v>
      </c>
      <c r="G222" s="1">
        <v>85</v>
      </c>
      <c r="H222" s="1">
        <v>53</v>
      </c>
      <c r="I222" s="1" t="str">
        <f>IF(Table1[[#This Row],[Temperature_F]]&lt;32,"Yes","No")</f>
        <v>No</v>
      </c>
      <c r="J222" s="1" t="str" cm="1">
        <f t="array" ref="J2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2" s="1" t="str" cm="1">
        <f t="array" ref="K222">_xlfn.IFS(
H222=0,"No Rain",
H222&lt;10,"Light",
H222&lt;50,"Moderate",
TRUE,"Heavy")</f>
        <v>Heavy</v>
      </c>
      <c r="L222" s="1" t="str">
        <f>IF(Table1[[#This Row],[Precipitation_mm]]&lt;&gt;0,"Wet","Dry")</f>
        <v>Wet</v>
      </c>
      <c r="M222" t="b">
        <f>OR(ISBLANK(Table1[[#This Row],[Temperature_F]]),ISERROR(Table1[[#This Row],[Temperature_F]]))</f>
        <v>0</v>
      </c>
    </row>
    <row r="223" spans="1:13" hidden="1" x14ac:dyDescent="0.25">
      <c r="A223" s="1" t="s">
        <v>1</v>
      </c>
      <c r="B223" s="1" t="s">
        <v>2</v>
      </c>
      <c r="C223" s="1">
        <v>42.360599999999998</v>
      </c>
      <c r="D223" s="1">
        <v>-71.010599999999997</v>
      </c>
      <c r="E223" s="5">
        <v>40407</v>
      </c>
      <c r="F223" s="1" t="str">
        <f t="shared" si="3"/>
        <v>August</v>
      </c>
      <c r="G223" s="1">
        <v>85</v>
      </c>
      <c r="H223" s="1">
        <v>0</v>
      </c>
      <c r="I223" s="1" t="str">
        <f>IF(Table1[[#This Row],[Temperature_F]]&lt;32,"Yes","No")</f>
        <v>No</v>
      </c>
      <c r="J223" s="1" t="str" cm="1">
        <f t="array" ref="J2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3" s="1" t="str" cm="1">
        <f t="array" ref="K223">_xlfn.IFS(
H223=0,"No Rain",
H223&lt;10,"Light",
H223&lt;50,"Moderate",
TRUE,"Heavy")</f>
        <v>No Rain</v>
      </c>
      <c r="L223" s="1" t="str">
        <f>IF(Table1[[#This Row],[Precipitation_mm]]&lt;&gt;0,"Wet","Dry")</f>
        <v>Dry</v>
      </c>
      <c r="M223" t="b">
        <f>OR(ISBLANK(Table1[[#This Row],[Temperature_F]]),ISERROR(Table1[[#This Row],[Temperature_F]]))</f>
        <v>0</v>
      </c>
    </row>
    <row r="224" spans="1:13" hidden="1" x14ac:dyDescent="0.25">
      <c r="A224" s="1" t="s">
        <v>1</v>
      </c>
      <c r="B224" s="1" t="s">
        <v>2</v>
      </c>
      <c r="C224" s="1">
        <v>42.360599999999998</v>
      </c>
      <c r="D224" s="1">
        <v>-71.010599999999997</v>
      </c>
      <c r="E224" s="5">
        <v>40408</v>
      </c>
      <c r="F224" s="1" t="str">
        <f t="shared" si="3"/>
        <v>August</v>
      </c>
      <c r="G224" s="1">
        <v>71</v>
      </c>
      <c r="H224" s="1">
        <v>0</v>
      </c>
      <c r="I224" s="1" t="str">
        <f>IF(Table1[[#This Row],[Temperature_F]]&lt;32,"Yes","No")</f>
        <v>No</v>
      </c>
      <c r="J224" s="1" t="str" cm="1">
        <f t="array" ref="J2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4" s="1" t="str" cm="1">
        <f t="array" ref="K224">_xlfn.IFS(
H224=0,"No Rain",
H224&lt;10,"Light",
H224&lt;50,"Moderate",
TRUE,"Heavy")</f>
        <v>No Rain</v>
      </c>
      <c r="L224" s="1" t="str">
        <f>IF(Table1[[#This Row],[Precipitation_mm]]&lt;&gt;0,"Wet","Dry")</f>
        <v>Dry</v>
      </c>
      <c r="M224" t="b">
        <f>OR(ISBLANK(Table1[[#This Row],[Temperature_F]]),ISERROR(Table1[[#This Row],[Temperature_F]]))</f>
        <v>0</v>
      </c>
    </row>
    <row r="225" spans="1:13" hidden="1" x14ac:dyDescent="0.25">
      <c r="A225" s="1" t="s">
        <v>1</v>
      </c>
      <c r="B225" s="1" t="s">
        <v>2</v>
      </c>
      <c r="C225" s="1">
        <v>42.360599999999998</v>
      </c>
      <c r="D225" s="1">
        <v>-71.010599999999997</v>
      </c>
      <c r="E225" s="5">
        <v>40409</v>
      </c>
      <c r="F225" s="1" t="str">
        <f t="shared" si="3"/>
        <v>August</v>
      </c>
      <c r="G225" s="1">
        <v>82</v>
      </c>
      <c r="H225" s="1">
        <v>0</v>
      </c>
      <c r="I225" s="1" t="str">
        <f>IF(Table1[[#This Row],[Temperature_F]]&lt;32,"Yes","No")</f>
        <v>No</v>
      </c>
      <c r="J225" s="1" t="str" cm="1">
        <f t="array" ref="J2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5" s="1" t="str" cm="1">
        <f t="array" ref="K225">_xlfn.IFS(
H225=0,"No Rain",
H225&lt;10,"Light",
H225&lt;50,"Moderate",
TRUE,"Heavy")</f>
        <v>No Rain</v>
      </c>
      <c r="L225" s="1" t="str">
        <f>IF(Table1[[#This Row],[Precipitation_mm]]&lt;&gt;0,"Wet","Dry")</f>
        <v>Dry</v>
      </c>
      <c r="M225" t="b">
        <f>OR(ISBLANK(Table1[[#This Row],[Temperature_F]]),ISERROR(Table1[[#This Row],[Temperature_F]]))</f>
        <v>0</v>
      </c>
    </row>
    <row r="226" spans="1:13" hidden="1" x14ac:dyDescent="0.25">
      <c r="A226" s="1" t="s">
        <v>1</v>
      </c>
      <c r="B226" s="1" t="s">
        <v>2</v>
      </c>
      <c r="C226" s="1">
        <v>42.360599999999998</v>
      </c>
      <c r="D226" s="1">
        <v>-71.010599999999997</v>
      </c>
      <c r="E226" s="5">
        <v>40410</v>
      </c>
      <c r="F226" s="1" t="str">
        <f t="shared" si="3"/>
        <v>August</v>
      </c>
      <c r="G226" s="1">
        <v>84</v>
      </c>
      <c r="H226" s="1">
        <v>0</v>
      </c>
      <c r="I226" s="1" t="str">
        <f>IF(Table1[[#This Row],[Temperature_F]]&lt;32,"Yes","No")</f>
        <v>No</v>
      </c>
      <c r="J226" s="1" t="str" cm="1">
        <f t="array" ref="J2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6" s="1" t="str" cm="1">
        <f t="array" ref="K226">_xlfn.IFS(
H226=0,"No Rain",
H226&lt;10,"Light",
H226&lt;50,"Moderate",
TRUE,"Heavy")</f>
        <v>No Rain</v>
      </c>
      <c r="L226" s="1" t="str">
        <f>IF(Table1[[#This Row],[Precipitation_mm]]&lt;&gt;0,"Wet","Dry")</f>
        <v>Dry</v>
      </c>
      <c r="M226" t="b">
        <f>OR(ISBLANK(Table1[[#This Row],[Temperature_F]]),ISERROR(Table1[[#This Row],[Temperature_F]]))</f>
        <v>0</v>
      </c>
    </row>
    <row r="227" spans="1:13" hidden="1" x14ac:dyDescent="0.25">
      <c r="A227" s="1" t="s">
        <v>1</v>
      </c>
      <c r="B227" s="1" t="s">
        <v>2</v>
      </c>
      <c r="C227" s="1">
        <v>42.360599999999998</v>
      </c>
      <c r="D227" s="1">
        <v>-71.010599999999997</v>
      </c>
      <c r="E227" s="5">
        <v>40411</v>
      </c>
      <c r="F227" s="1" t="str">
        <f t="shared" si="3"/>
        <v>August</v>
      </c>
      <c r="G227" s="1">
        <v>75</v>
      </c>
      <c r="H227" s="1">
        <v>0</v>
      </c>
      <c r="I227" s="1" t="str">
        <f>IF(Table1[[#This Row],[Temperature_F]]&lt;32,"Yes","No")</f>
        <v>No</v>
      </c>
      <c r="J227" s="1" t="str" cm="1">
        <f t="array" ref="J2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7" s="1" t="str" cm="1">
        <f t="array" ref="K227">_xlfn.IFS(
H227=0,"No Rain",
H227&lt;10,"Light",
H227&lt;50,"Moderate",
TRUE,"Heavy")</f>
        <v>No Rain</v>
      </c>
      <c r="L227" s="1" t="str">
        <f>IF(Table1[[#This Row],[Precipitation_mm]]&lt;&gt;0,"Wet","Dry")</f>
        <v>Dry</v>
      </c>
      <c r="M227" t="b">
        <f>OR(ISBLANK(Table1[[#This Row],[Temperature_F]]),ISERROR(Table1[[#This Row],[Temperature_F]]))</f>
        <v>0</v>
      </c>
    </row>
    <row r="228" spans="1:13" hidden="1" x14ac:dyDescent="0.25">
      <c r="A228" s="1" t="s">
        <v>1</v>
      </c>
      <c r="B228" s="1" t="s">
        <v>2</v>
      </c>
      <c r="C228" s="1">
        <v>42.360599999999998</v>
      </c>
      <c r="D228" s="1">
        <v>-71.010599999999997</v>
      </c>
      <c r="E228" s="5">
        <v>40412</v>
      </c>
      <c r="F228" s="1" t="str">
        <f t="shared" si="3"/>
        <v>August</v>
      </c>
      <c r="G228" s="1">
        <v>75</v>
      </c>
      <c r="H228" s="1">
        <v>61</v>
      </c>
      <c r="I228" s="1" t="str">
        <f>IF(Table1[[#This Row],[Temperature_F]]&lt;32,"Yes","No")</f>
        <v>No</v>
      </c>
      <c r="J228" s="1" t="str" cm="1">
        <f t="array" ref="J2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28" s="1" t="str" cm="1">
        <f t="array" ref="K228">_xlfn.IFS(
H228=0,"No Rain",
H228&lt;10,"Light",
H228&lt;50,"Moderate",
TRUE,"Heavy")</f>
        <v>Heavy</v>
      </c>
      <c r="L228" s="1" t="str">
        <f>IF(Table1[[#This Row],[Precipitation_mm]]&lt;&gt;0,"Wet","Dry")</f>
        <v>Wet</v>
      </c>
      <c r="M228" t="b">
        <f>OR(ISBLANK(Table1[[#This Row],[Temperature_F]]),ISERROR(Table1[[#This Row],[Temperature_F]]))</f>
        <v>0</v>
      </c>
    </row>
    <row r="229" spans="1:13" hidden="1" x14ac:dyDescent="0.25">
      <c r="A229" s="1" t="s">
        <v>1</v>
      </c>
      <c r="B229" s="1" t="s">
        <v>2</v>
      </c>
      <c r="C229" s="1">
        <v>42.360599999999998</v>
      </c>
      <c r="D229" s="1">
        <v>-71.010599999999997</v>
      </c>
      <c r="E229" s="5">
        <v>40413</v>
      </c>
      <c r="F229" s="1" t="str">
        <f t="shared" si="3"/>
        <v>August</v>
      </c>
      <c r="G229" s="1">
        <v>88</v>
      </c>
      <c r="H229" s="1">
        <v>178</v>
      </c>
      <c r="I229" s="1" t="str">
        <f>IF(Table1[[#This Row],[Temperature_F]]&lt;32,"Yes","No")</f>
        <v>No</v>
      </c>
      <c r="J229" s="1" t="str" cm="1">
        <f t="array" ref="J2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229" s="1" t="str" cm="1">
        <f t="array" ref="K229">_xlfn.IFS(
H229=0,"No Rain",
H229&lt;10,"Light",
H229&lt;50,"Moderate",
TRUE,"Heavy")</f>
        <v>Heavy</v>
      </c>
      <c r="L229" s="1" t="str">
        <f>IF(Table1[[#This Row],[Precipitation_mm]]&lt;&gt;0,"Wet","Dry")</f>
        <v>Wet</v>
      </c>
      <c r="M229" t="b">
        <f>OR(ISBLANK(Table1[[#This Row],[Temperature_F]]),ISERROR(Table1[[#This Row],[Temperature_F]]))</f>
        <v>0</v>
      </c>
    </row>
    <row r="230" spans="1:13" hidden="1" x14ac:dyDescent="0.25">
      <c r="A230" s="1" t="s">
        <v>1</v>
      </c>
      <c r="B230" s="1" t="s">
        <v>2</v>
      </c>
      <c r="C230" s="1">
        <v>42.360599999999998</v>
      </c>
      <c r="D230" s="1">
        <v>-71.010599999999997</v>
      </c>
      <c r="E230" s="5">
        <v>40414</v>
      </c>
      <c r="F230" s="1" t="str">
        <f t="shared" si="3"/>
        <v>August</v>
      </c>
      <c r="G230" s="1">
        <v>73</v>
      </c>
      <c r="H230" s="1">
        <v>198</v>
      </c>
      <c r="I230" s="1" t="str">
        <f>IF(Table1[[#This Row],[Temperature_F]]&lt;32,"Yes","No")</f>
        <v>No</v>
      </c>
      <c r="J230" s="1" t="str" cm="1">
        <f t="array" ref="J2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0" s="1" t="str" cm="1">
        <f t="array" ref="K230">_xlfn.IFS(
H230=0,"No Rain",
H230&lt;10,"Light",
H230&lt;50,"Moderate",
TRUE,"Heavy")</f>
        <v>Heavy</v>
      </c>
      <c r="L230" s="1" t="str">
        <f>IF(Table1[[#This Row],[Precipitation_mm]]&lt;&gt;0,"Wet","Dry")</f>
        <v>Wet</v>
      </c>
      <c r="M230" t="b">
        <f>OR(ISBLANK(Table1[[#This Row],[Temperature_F]]),ISERROR(Table1[[#This Row],[Temperature_F]]))</f>
        <v>0</v>
      </c>
    </row>
    <row r="231" spans="1:13" hidden="1" x14ac:dyDescent="0.25">
      <c r="A231" s="1" t="s">
        <v>1</v>
      </c>
      <c r="B231" s="1" t="s">
        <v>2</v>
      </c>
      <c r="C231" s="1">
        <v>42.360599999999998</v>
      </c>
      <c r="D231" s="1">
        <v>-71.010599999999997</v>
      </c>
      <c r="E231" s="5">
        <v>40415</v>
      </c>
      <c r="F231" s="1" t="str">
        <f t="shared" si="3"/>
        <v>August</v>
      </c>
      <c r="G231" s="1">
        <v>86</v>
      </c>
      <c r="H231" s="1">
        <v>701</v>
      </c>
      <c r="I231" s="1" t="str">
        <f>IF(Table1[[#This Row],[Temperature_F]]&lt;32,"Yes","No")</f>
        <v>No</v>
      </c>
      <c r="J231" s="1" t="str" cm="1">
        <f t="array" ref="J2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1" s="1" t="str" cm="1">
        <f t="array" ref="K231">_xlfn.IFS(
H231=0,"No Rain",
H231&lt;10,"Light",
H231&lt;50,"Moderate",
TRUE,"Heavy")</f>
        <v>Heavy</v>
      </c>
      <c r="L231" s="1" t="str">
        <f>IF(Table1[[#This Row],[Precipitation_mm]]&lt;&gt;0,"Wet","Dry")</f>
        <v>Wet</v>
      </c>
      <c r="M231" t="b">
        <f>OR(ISBLANK(Table1[[#This Row],[Temperature_F]]),ISERROR(Table1[[#This Row],[Temperature_F]]))</f>
        <v>0</v>
      </c>
    </row>
    <row r="232" spans="1:13" hidden="1" x14ac:dyDescent="0.25">
      <c r="A232" s="1" t="s">
        <v>1</v>
      </c>
      <c r="B232" s="1" t="s">
        <v>2</v>
      </c>
      <c r="C232" s="1">
        <v>42.360599999999998</v>
      </c>
      <c r="D232" s="1">
        <v>-71.010599999999997</v>
      </c>
      <c r="E232" s="5">
        <v>40416</v>
      </c>
      <c r="F232" s="1" t="str">
        <f t="shared" si="3"/>
        <v>August</v>
      </c>
      <c r="G232" s="1">
        <v>81</v>
      </c>
      <c r="H232" s="1">
        <v>0</v>
      </c>
      <c r="I232" s="1" t="str">
        <f>IF(Table1[[#This Row],[Temperature_F]]&lt;32,"Yes","No")</f>
        <v>No</v>
      </c>
      <c r="J232" s="1" t="str" cm="1">
        <f t="array" ref="J2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2" s="1" t="str" cm="1">
        <f t="array" ref="K232">_xlfn.IFS(
H232=0,"No Rain",
H232&lt;10,"Light",
H232&lt;50,"Moderate",
TRUE,"Heavy")</f>
        <v>No Rain</v>
      </c>
      <c r="L232" s="1" t="str">
        <f>IF(Table1[[#This Row],[Precipitation_mm]]&lt;&gt;0,"Wet","Dry")</f>
        <v>Dry</v>
      </c>
      <c r="M232" t="b">
        <f>OR(ISBLANK(Table1[[#This Row],[Temperature_F]]),ISERROR(Table1[[#This Row],[Temperature_F]]))</f>
        <v>0</v>
      </c>
    </row>
    <row r="233" spans="1:13" hidden="1" x14ac:dyDescent="0.25">
      <c r="A233" s="1" t="s">
        <v>1</v>
      </c>
      <c r="B233" s="1" t="s">
        <v>2</v>
      </c>
      <c r="C233" s="1">
        <v>42.360599999999998</v>
      </c>
      <c r="D233" s="1">
        <v>-71.010599999999997</v>
      </c>
      <c r="E233" s="5">
        <v>40417</v>
      </c>
      <c r="F233" s="1" t="str">
        <f t="shared" si="3"/>
        <v>August</v>
      </c>
      <c r="G233" s="1">
        <v>74</v>
      </c>
      <c r="H233" s="1">
        <v>0</v>
      </c>
      <c r="I233" s="1" t="str">
        <f>IF(Table1[[#This Row],[Temperature_F]]&lt;32,"Yes","No")</f>
        <v>No</v>
      </c>
      <c r="J233" s="1" t="str" cm="1">
        <f t="array" ref="J2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3" s="1" t="str" cm="1">
        <f t="array" ref="K233">_xlfn.IFS(
H233=0,"No Rain",
H233&lt;10,"Light",
H233&lt;50,"Moderate",
TRUE,"Heavy")</f>
        <v>No Rain</v>
      </c>
      <c r="L233" s="1" t="str">
        <f>IF(Table1[[#This Row],[Precipitation_mm]]&lt;&gt;0,"Wet","Dry")</f>
        <v>Dry</v>
      </c>
      <c r="M233" t="b">
        <f>OR(ISBLANK(Table1[[#This Row],[Temperature_F]]),ISERROR(Table1[[#This Row],[Temperature_F]]))</f>
        <v>0</v>
      </c>
    </row>
    <row r="234" spans="1:13" hidden="1" x14ac:dyDescent="0.25">
      <c r="A234" s="1" t="s">
        <v>1</v>
      </c>
      <c r="B234" s="1" t="s">
        <v>2</v>
      </c>
      <c r="C234" s="1">
        <v>42.360599999999998</v>
      </c>
      <c r="D234" s="1">
        <v>-71.010599999999997</v>
      </c>
      <c r="E234" s="5">
        <v>40418</v>
      </c>
      <c r="F234" s="1" t="str">
        <f t="shared" si="3"/>
        <v>August</v>
      </c>
      <c r="G234" s="1">
        <v>82</v>
      </c>
      <c r="H234" s="1">
        <v>0</v>
      </c>
      <c r="I234" s="1" t="str">
        <f>IF(Table1[[#This Row],[Temperature_F]]&lt;32,"Yes","No")</f>
        <v>No</v>
      </c>
      <c r="J234" s="1" t="str" cm="1">
        <f t="array" ref="J2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4" s="1" t="str" cm="1">
        <f t="array" ref="K234">_xlfn.IFS(
H234=0,"No Rain",
H234&lt;10,"Light",
H234&lt;50,"Moderate",
TRUE,"Heavy")</f>
        <v>No Rain</v>
      </c>
      <c r="L234" s="1" t="str">
        <f>IF(Table1[[#This Row],[Precipitation_mm]]&lt;&gt;0,"Wet","Dry")</f>
        <v>Dry</v>
      </c>
      <c r="M234" t="b">
        <f>OR(ISBLANK(Table1[[#This Row],[Temperature_F]]),ISERROR(Table1[[#This Row],[Temperature_F]]))</f>
        <v>0</v>
      </c>
    </row>
    <row r="235" spans="1:13" hidden="1" x14ac:dyDescent="0.25">
      <c r="A235" s="1" t="s">
        <v>1</v>
      </c>
      <c r="B235" s="1" t="s">
        <v>2</v>
      </c>
      <c r="C235" s="1">
        <v>42.360599999999998</v>
      </c>
      <c r="D235" s="1">
        <v>-71.010599999999997</v>
      </c>
      <c r="E235" s="5">
        <v>40419</v>
      </c>
      <c r="F235" s="1" t="str">
        <f t="shared" si="3"/>
        <v>August</v>
      </c>
      <c r="G235" s="1">
        <v>80</v>
      </c>
      <c r="H235" s="1">
        <v>0</v>
      </c>
      <c r="I235" s="1" t="str">
        <f>IF(Table1[[#This Row],[Temperature_F]]&lt;32,"Yes","No")</f>
        <v>No</v>
      </c>
      <c r="J235" s="1" t="str" cm="1">
        <f t="array" ref="J2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5" s="1" t="str" cm="1">
        <f t="array" ref="K235">_xlfn.IFS(
H235=0,"No Rain",
H235&lt;10,"Light",
H235&lt;50,"Moderate",
TRUE,"Heavy")</f>
        <v>No Rain</v>
      </c>
      <c r="L235" s="1" t="str">
        <f>IF(Table1[[#This Row],[Precipitation_mm]]&lt;&gt;0,"Wet","Dry")</f>
        <v>Dry</v>
      </c>
      <c r="M235" t="b">
        <f>OR(ISBLANK(Table1[[#This Row],[Temperature_F]]),ISERROR(Table1[[#This Row],[Temperature_F]]))</f>
        <v>0</v>
      </c>
    </row>
    <row r="236" spans="1:13" hidden="1" x14ac:dyDescent="0.25">
      <c r="A236" s="1" t="s">
        <v>1</v>
      </c>
      <c r="B236" s="1" t="s">
        <v>2</v>
      </c>
      <c r="C236" s="1">
        <v>42.360599999999998</v>
      </c>
      <c r="D236" s="1">
        <v>-71.010599999999997</v>
      </c>
      <c r="E236" s="5">
        <v>40420</v>
      </c>
      <c r="F236" s="1" t="str">
        <f t="shared" si="3"/>
        <v>August</v>
      </c>
      <c r="G236" s="1">
        <v>73</v>
      </c>
      <c r="H236" s="1">
        <v>0</v>
      </c>
      <c r="I236" s="1" t="str">
        <f>IF(Table1[[#This Row],[Temperature_F]]&lt;32,"Yes","No")</f>
        <v>No</v>
      </c>
      <c r="J236" s="1" t="str" cm="1">
        <f t="array" ref="J2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6" s="1" t="str" cm="1">
        <f t="array" ref="K236">_xlfn.IFS(
H236=0,"No Rain",
H236&lt;10,"Light",
H236&lt;50,"Moderate",
TRUE,"Heavy")</f>
        <v>No Rain</v>
      </c>
      <c r="L236" s="1" t="str">
        <f>IF(Table1[[#This Row],[Precipitation_mm]]&lt;&gt;0,"Wet","Dry")</f>
        <v>Dry</v>
      </c>
      <c r="M236" t="b">
        <f>OR(ISBLANK(Table1[[#This Row],[Temperature_F]]),ISERROR(Table1[[#This Row],[Temperature_F]]))</f>
        <v>0</v>
      </c>
    </row>
    <row r="237" spans="1:13" hidden="1" x14ac:dyDescent="0.25">
      <c r="A237" s="1" t="s">
        <v>1</v>
      </c>
      <c r="B237" s="1" t="s">
        <v>2</v>
      </c>
      <c r="C237" s="1">
        <v>42.360599999999998</v>
      </c>
      <c r="D237" s="1">
        <v>-71.010599999999997</v>
      </c>
      <c r="E237" s="5">
        <v>40421</v>
      </c>
      <c r="F237" s="1" t="str">
        <f t="shared" si="3"/>
        <v>August</v>
      </c>
      <c r="G237" s="1">
        <v>69</v>
      </c>
      <c r="H237" s="1">
        <v>0</v>
      </c>
      <c r="I237" s="1" t="str">
        <f>IF(Table1[[#This Row],[Temperature_F]]&lt;32,"Yes","No")</f>
        <v>No</v>
      </c>
      <c r="J237" s="1" t="str" cm="1">
        <f t="array" ref="J2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37" s="1" t="str" cm="1">
        <f t="array" ref="K237">_xlfn.IFS(
H237=0,"No Rain",
H237&lt;10,"Light",
H237&lt;50,"Moderate",
TRUE,"Heavy")</f>
        <v>No Rain</v>
      </c>
      <c r="L237" s="1" t="str">
        <f>IF(Table1[[#This Row],[Precipitation_mm]]&lt;&gt;0,"Wet","Dry")</f>
        <v>Dry</v>
      </c>
      <c r="M237" t="b">
        <f>OR(ISBLANK(Table1[[#This Row],[Temperature_F]]),ISERROR(Table1[[#This Row],[Temperature_F]]))</f>
        <v>0</v>
      </c>
    </row>
    <row r="238" spans="1:13" x14ac:dyDescent="0.25">
      <c r="A238" s="1" t="s">
        <v>1</v>
      </c>
      <c r="B238" s="1" t="s">
        <v>2</v>
      </c>
      <c r="C238" s="1">
        <v>42.360599999999998</v>
      </c>
      <c r="D238" s="1">
        <v>-71.010599999999997</v>
      </c>
      <c r="E238" s="5">
        <v>40422</v>
      </c>
      <c r="F238" s="1" t="str">
        <f t="shared" si="3"/>
        <v>September</v>
      </c>
      <c r="G238" s="1">
        <v>42</v>
      </c>
      <c r="H238" s="1">
        <v>0</v>
      </c>
      <c r="I238" s="1" t="str">
        <f>IF(Table1[[#This Row],[Temperature_F]]&lt;32,"Yes","No")</f>
        <v>No</v>
      </c>
      <c r="J238" s="1" t="str" cm="1">
        <f t="array" ref="J2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38" s="1" t="str" cm="1">
        <f t="array" ref="K238">_xlfn.IFS(
H238=0,"No Rain",
H238&lt;10,"Light",
H238&lt;50,"Moderate",
TRUE,"Heavy")</f>
        <v>No Rain</v>
      </c>
      <c r="L238" s="1" t="str">
        <f>IF(Table1[[#This Row],[Precipitation_mm]]&lt;&gt;0,"Wet","Dry")</f>
        <v>Dry</v>
      </c>
      <c r="M238" t="b">
        <f>OR(ISBLANK(Table1[[#This Row],[Temperature_F]]),ISERROR(Table1[[#This Row],[Temperature_F]]))</f>
        <v>0</v>
      </c>
    </row>
    <row r="239" spans="1:13" x14ac:dyDescent="0.25">
      <c r="A239" s="1" t="s">
        <v>1</v>
      </c>
      <c r="B239" s="1" t="s">
        <v>2</v>
      </c>
      <c r="C239" s="1">
        <v>42.360599999999998</v>
      </c>
      <c r="D239" s="1">
        <v>-71.010599999999997</v>
      </c>
      <c r="E239" s="5">
        <v>40423</v>
      </c>
      <c r="F239" s="1" t="str">
        <f t="shared" si="3"/>
        <v>September</v>
      </c>
      <c r="G239" s="1">
        <v>40</v>
      </c>
      <c r="H239" s="1">
        <v>0</v>
      </c>
      <c r="I239" s="1" t="str">
        <f>IF(Table1[[#This Row],[Temperature_F]]&lt;32,"Yes","No")</f>
        <v>No</v>
      </c>
      <c r="J239" s="1" t="str" cm="1">
        <f t="array" ref="J2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39" s="1" t="str" cm="1">
        <f t="array" ref="K239">_xlfn.IFS(
H239=0,"No Rain",
H239&lt;10,"Light",
H239&lt;50,"Moderate",
TRUE,"Heavy")</f>
        <v>No Rain</v>
      </c>
      <c r="L239" s="1" t="str">
        <f>IF(Table1[[#This Row],[Precipitation_mm]]&lt;&gt;0,"Wet","Dry")</f>
        <v>Dry</v>
      </c>
      <c r="M239" t="b">
        <f>OR(ISBLANK(Table1[[#This Row],[Temperature_F]]),ISERROR(Table1[[#This Row],[Temperature_F]]))</f>
        <v>0</v>
      </c>
    </row>
    <row r="240" spans="1:13" hidden="1" x14ac:dyDescent="0.25">
      <c r="A240" s="1" t="s">
        <v>1</v>
      </c>
      <c r="B240" s="1" t="s">
        <v>2</v>
      </c>
      <c r="C240" s="1">
        <v>42.360599999999998</v>
      </c>
      <c r="D240" s="1">
        <v>-71.010599999999997</v>
      </c>
      <c r="E240" s="5">
        <v>40424</v>
      </c>
      <c r="F240" s="1" t="str">
        <f t="shared" si="3"/>
        <v>September</v>
      </c>
      <c r="G240" s="1">
        <v>51</v>
      </c>
      <c r="H240" s="1">
        <v>86</v>
      </c>
      <c r="I240" s="1" t="str">
        <f>IF(Table1[[#This Row],[Temperature_F]]&lt;32,"Yes","No")</f>
        <v>No</v>
      </c>
      <c r="J240" s="1" t="str" cm="1">
        <f t="array" ref="J2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40" s="1" t="str" cm="1">
        <f t="array" ref="K240">_xlfn.IFS(
H240=0,"No Rain",
H240&lt;10,"Light",
H240&lt;50,"Moderate",
TRUE,"Heavy")</f>
        <v>Heavy</v>
      </c>
      <c r="L240" s="1" t="str">
        <f>IF(Table1[[#This Row],[Precipitation_mm]]&lt;&gt;0,"Wet","Dry")</f>
        <v>Wet</v>
      </c>
      <c r="M240" t="b">
        <f>OR(ISBLANK(Table1[[#This Row],[Temperature_F]]),ISERROR(Table1[[#This Row],[Temperature_F]]))</f>
        <v>0</v>
      </c>
    </row>
    <row r="241" spans="1:13" hidden="1" x14ac:dyDescent="0.25">
      <c r="A241" s="1" t="s">
        <v>1</v>
      </c>
      <c r="B241" s="1" t="s">
        <v>2</v>
      </c>
      <c r="C241" s="1">
        <v>42.360599999999998</v>
      </c>
      <c r="D241" s="1">
        <v>-71.010599999999997</v>
      </c>
      <c r="E241" s="5">
        <v>40425</v>
      </c>
      <c r="F241" s="1" t="str">
        <f t="shared" si="3"/>
        <v>September</v>
      </c>
      <c r="G241" s="1">
        <v>53</v>
      </c>
      <c r="H241" s="1">
        <v>5</v>
      </c>
      <c r="I241" s="1" t="str">
        <f>IF(Table1[[#This Row],[Temperature_F]]&lt;32,"Yes","No")</f>
        <v>No</v>
      </c>
      <c r="J241" s="1" t="str" cm="1">
        <f t="array" ref="J2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41" s="1" t="str" cm="1">
        <f t="array" ref="K241">_xlfn.IFS(
H241=0,"No Rain",
H241&lt;10,"Light",
H241&lt;50,"Moderate",
TRUE,"Heavy")</f>
        <v>Light</v>
      </c>
      <c r="L241" s="1" t="str">
        <f>IF(Table1[[#This Row],[Precipitation_mm]]&lt;&gt;0,"Wet","Dry")</f>
        <v>Wet</v>
      </c>
      <c r="M241" t="b">
        <f>OR(ISBLANK(Table1[[#This Row],[Temperature_F]]),ISERROR(Table1[[#This Row],[Temperature_F]]))</f>
        <v>0</v>
      </c>
    </row>
    <row r="242" spans="1:13" x14ac:dyDescent="0.25">
      <c r="A242" s="1" t="s">
        <v>1</v>
      </c>
      <c r="B242" s="1" t="s">
        <v>2</v>
      </c>
      <c r="C242" s="1">
        <v>42.360599999999998</v>
      </c>
      <c r="D242" s="1">
        <v>-71.010599999999997</v>
      </c>
      <c r="E242" s="5">
        <v>40426</v>
      </c>
      <c r="F242" s="1" t="str">
        <f t="shared" si="3"/>
        <v>September</v>
      </c>
      <c r="G242" s="1">
        <v>45</v>
      </c>
      <c r="H242" s="1">
        <v>0</v>
      </c>
      <c r="I242" s="1" t="str">
        <f>IF(Table1[[#This Row],[Temperature_F]]&lt;32,"Yes","No")</f>
        <v>No</v>
      </c>
      <c r="J242" s="1" t="str" cm="1">
        <f t="array" ref="J2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42" s="1" t="str" cm="1">
        <f t="array" ref="K242">_xlfn.IFS(
H242=0,"No Rain",
H242&lt;10,"Light",
H242&lt;50,"Moderate",
TRUE,"Heavy")</f>
        <v>No Rain</v>
      </c>
      <c r="L242" s="1" t="str">
        <f>IF(Table1[[#This Row],[Precipitation_mm]]&lt;&gt;0,"Wet","Dry")</f>
        <v>Dry</v>
      </c>
      <c r="M242" t="b">
        <f>OR(ISBLANK(Table1[[#This Row],[Temperature_F]]),ISERROR(Table1[[#This Row],[Temperature_F]]))</f>
        <v>0</v>
      </c>
    </row>
    <row r="243" spans="1:13" hidden="1" x14ac:dyDescent="0.25">
      <c r="A243" s="1" t="s">
        <v>1</v>
      </c>
      <c r="B243" s="1" t="s">
        <v>2</v>
      </c>
      <c r="C243" s="1">
        <v>42.360599999999998</v>
      </c>
      <c r="D243" s="1">
        <v>-71.010599999999997</v>
      </c>
      <c r="E243" s="5">
        <v>40427</v>
      </c>
      <c r="F243" s="1" t="str">
        <f t="shared" si="3"/>
        <v>September</v>
      </c>
      <c r="G243" s="1">
        <v>69</v>
      </c>
      <c r="H243" s="1">
        <v>0</v>
      </c>
      <c r="I243" s="1" t="str">
        <f>IF(Table1[[#This Row],[Temperature_F]]&lt;32,"Yes","No")</f>
        <v>No</v>
      </c>
      <c r="J243" s="1" t="str" cm="1">
        <f t="array" ref="J2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43" s="1" t="str" cm="1">
        <f t="array" ref="K243">_xlfn.IFS(
H243=0,"No Rain",
H243&lt;10,"Light",
H243&lt;50,"Moderate",
TRUE,"Heavy")</f>
        <v>No Rain</v>
      </c>
      <c r="L243" s="1" t="str">
        <f>IF(Table1[[#This Row],[Precipitation_mm]]&lt;&gt;0,"Wet","Dry")</f>
        <v>Dry</v>
      </c>
      <c r="M243" t="b">
        <f>OR(ISBLANK(Table1[[#This Row],[Temperature_F]]),ISERROR(Table1[[#This Row],[Temperature_F]]))</f>
        <v>0</v>
      </c>
    </row>
    <row r="244" spans="1:13" hidden="1" x14ac:dyDescent="0.25">
      <c r="A244" s="1" t="s">
        <v>1</v>
      </c>
      <c r="B244" s="1" t="s">
        <v>2</v>
      </c>
      <c r="C244" s="1">
        <v>42.360599999999998</v>
      </c>
      <c r="D244" s="1">
        <v>-71.010599999999997</v>
      </c>
      <c r="E244" s="5">
        <v>40428</v>
      </c>
      <c r="F244" s="1" t="str">
        <f t="shared" si="3"/>
        <v>September</v>
      </c>
      <c r="G244" s="1">
        <v>64</v>
      </c>
      <c r="H244" s="1">
        <v>0</v>
      </c>
      <c r="I244" s="1" t="str">
        <f>IF(Table1[[#This Row],[Temperature_F]]&lt;32,"Yes","No")</f>
        <v>No</v>
      </c>
      <c r="J244" s="1" t="str" cm="1">
        <f t="array" ref="J2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44" s="1" t="str" cm="1">
        <f t="array" ref="K244">_xlfn.IFS(
H244=0,"No Rain",
H244&lt;10,"Light",
H244&lt;50,"Moderate",
TRUE,"Heavy")</f>
        <v>No Rain</v>
      </c>
      <c r="L244" s="1" t="str">
        <f>IF(Table1[[#This Row],[Precipitation_mm]]&lt;&gt;0,"Wet","Dry")</f>
        <v>Dry</v>
      </c>
      <c r="M244" t="b">
        <f>OR(ISBLANK(Table1[[#This Row],[Temperature_F]]),ISERROR(Table1[[#This Row],[Temperature_F]]))</f>
        <v>0</v>
      </c>
    </row>
    <row r="245" spans="1:13" hidden="1" x14ac:dyDescent="0.25">
      <c r="A245" s="1" t="s">
        <v>1</v>
      </c>
      <c r="B245" s="1" t="s">
        <v>2</v>
      </c>
      <c r="C245" s="1">
        <v>42.360599999999998</v>
      </c>
      <c r="D245" s="1">
        <v>-71.010599999999997</v>
      </c>
      <c r="E245" s="5">
        <v>40429</v>
      </c>
      <c r="F245" s="1" t="str">
        <f t="shared" si="3"/>
        <v>September</v>
      </c>
      <c r="G245" s="1">
        <v>60</v>
      </c>
      <c r="H245" s="1">
        <v>71</v>
      </c>
      <c r="I245" s="1" t="str">
        <f>IF(Table1[[#This Row],[Temperature_F]]&lt;32,"Yes","No")</f>
        <v>No</v>
      </c>
      <c r="J245" s="1" t="str" cm="1">
        <f t="array" ref="J2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45" s="1" t="str" cm="1">
        <f t="array" ref="K245">_xlfn.IFS(
H245=0,"No Rain",
H245&lt;10,"Light",
H245&lt;50,"Moderate",
TRUE,"Heavy")</f>
        <v>Heavy</v>
      </c>
      <c r="L245" s="1" t="str">
        <f>IF(Table1[[#This Row],[Precipitation_mm]]&lt;&gt;0,"Wet","Dry")</f>
        <v>Wet</v>
      </c>
      <c r="M245" t="b">
        <f>OR(ISBLANK(Table1[[#This Row],[Temperature_F]]),ISERROR(Table1[[#This Row],[Temperature_F]]))</f>
        <v>0</v>
      </c>
    </row>
    <row r="246" spans="1:13" x14ac:dyDescent="0.25">
      <c r="A246" s="1" t="s">
        <v>1</v>
      </c>
      <c r="B246" s="1" t="s">
        <v>2</v>
      </c>
      <c r="C246" s="1">
        <v>42.360599999999998</v>
      </c>
      <c r="D246" s="1">
        <v>-71.010599999999997</v>
      </c>
      <c r="E246" s="5">
        <v>40430</v>
      </c>
      <c r="F246" s="1" t="str">
        <f t="shared" si="3"/>
        <v>September</v>
      </c>
      <c r="G246" s="1">
        <v>40</v>
      </c>
      <c r="H246" s="1">
        <v>0</v>
      </c>
      <c r="I246" s="1" t="str">
        <f>IF(Table1[[#This Row],[Temperature_F]]&lt;32,"Yes","No")</f>
        <v>No</v>
      </c>
      <c r="J246" s="1" t="str" cm="1">
        <f t="array" ref="J2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46" s="1" t="str" cm="1">
        <f t="array" ref="K246">_xlfn.IFS(
H246=0,"No Rain",
H246&lt;10,"Light",
H246&lt;50,"Moderate",
TRUE,"Heavy")</f>
        <v>No Rain</v>
      </c>
      <c r="L246" s="1" t="str">
        <f>IF(Table1[[#This Row],[Precipitation_mm]]&lt;&gt;0,"Wet","Dry")</f>
        <v>Dry</v>
      </c>
      <c r="M246" t="b">
        <f>OR(ISBLANK(Table1[[#This Row],[Temperature_F]]),ISERROR(Table1[[#This Row],[Temperature_F]]))</f>
        <v>0</v>
      </c>
    </row>
    <row r="247" spans="1:13" hidden="1" x14ac:dyDescent="0.25">
      <c r="A247" s="1" t="s">
        <v>1</v>
      </c>
      <c r="B247" s="1" t="s">
        <v>2</v>
      </c>
      <c r="C247" s="1">
        <v>42.360599999999998</v>
      </c>
      <c r="D247" s="1">
        <v>-71.010599999999997</v>
      </c>
      <c r="E247" s="5">
        <v>40431</v>
      </c>
      <c r="F247" s="1" t="str">
        <f t="shared" si="3"/>
        <v>September</v>
      </c>
      <c r="G247" s="1">
        <v>69</v>
      </c>
      <c r="H247" s="1">
        <v>0</v>
      </c>
      <c r="I247" s="1" t="str">
        <f>IF(Table1[[#This Row],[Temperature_F]]&lt;32,"Yes","No")</f>
        <v>No</v>
      </c>
      <c r="J247" s="1" t="str" cm="1">
        <f t="array" ref="J2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47" s="1" t="str" cm="1">
        <f t="array" ref="K247">_xlfn.IFS(
H247=0,"No Rain",
H247&lt;10,"Light",
H247&lt;50,"Moderate",
TRUE,"Heavy")</f>
        <v>No Rain</v>
      </c>
      <c r="L247" s="1" t="str">
        <f>IF(Table1[[#This Row],[Precipitation_mm]]&lt;&gt;0,"Wet","Dry")</f>
        <v>Dry</v>
      </c>
      <c r="M247" t="b">
        <f>OR(ISBLANK(Table1[[#This Row],[Temperature_F]]),ISERROR(Table1[[#This Row],[Temperature_F]]))</f>
        <v>0</v>
      </c>
    </row>
    <row r="248" spans="1:13" x14ac:dyDescent="0.25">
      <c r="A248" s="1" t="s">
        <v>1</v>
      </c>
      <c r="B248" s="1" t="s">
        <v>2</v>
      </c>
      <c r="C248" s="1">
        <v>42.360599999999998</v>
      </c>
      <c r="D248" s="1">
        <v>-71.010599999999997</v>
      </c>
      <c r="E248" s="5">
        <v>40432</v>
      </c>
      <c r="F248" s="1" t="str">
        <f t="shared" si="3"/>
        <v>September</v>
      </c>
      <c r="G248" s="1">
        <v>45</v>
      </c>
      <c r="H248" s="1">
        <v>0</v>
      </c>
      <c r="I248" s="1" t="str">
        <f>IF(Table1[[#This Row],[Temperature_F]]&lt;32,"Yes","No")</f>
        <v>No</v>
      </c>
      <c r="J248" s="1" t="str" cm="1">
        <f t="array" ref="J2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48" s="1" t="str" cm="1">
        <f t="array" ref="K248">_xlfn.IFS(
H248=0,"No Rain",
H248&lt;10,"Light",
H248&lt;50,"Moderate",
TRUE,"Heavy")</f>
        <v>No Rain</v>
      </c>
      <c r="L248" s="1" t="str">
        <f>IF(Table1[[#This Row],[Precipitation_mm]]&lt;&gt;0,"Wet","Dry")</f>
        <v>Dry</v>
      </c>
      <c r="M248" t="b">
        <f>OR(ISBLANK(Table1[[#This Row],[Temperature_F]]),ISERROR(Table1[[#This Row],[Temperature_F]]))</f>
        <v>0</v>
      </c>
    </row>
    <row r="249" spans="1:13" x14ac:dyDescent="0.25">
      <c r="A249" s="1" t="s">
        <v>1</v>
      </c>
      <c r="B249" s="1" t="s">
        <v>2</v>
      </c>
      <c r="C249" s="1">
        <v>42.360599999999998</v>
      </c>
      <c r="D249" s="1">
        <v>-71.010599999999997</v>
      </c>
      <c r="E249" s="5">
        <v>40433</v>
      </c>
      <c r="F249" s="1" t="str">
        <f t="shared" si="3"/>
        <v>September</v>
      </c>
      <c r="G249" s="1">
        <v>41</v>
      </c>
      <c r="H249" s="1">
        <v>0</v>
      </c>
      <c r="I249" s="1" t="str">
        <f>IF(Table1[[#This Row],[Temperature_F]]&lt;32,"Yes","No")</f>
        <v>No</v>
      </c>
      <c r="J249" s="1" t="str" cm="1">
        <f t="array" ref="J2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49" s="1" t="str" cm="1">
        <f t="array" ref="K249">_xlfn.IFS(
H249=0,"No Rain",
H249&lt;10,"Light",
H249&lt;50,"Moderate",
TRUE,"Heavy")</f>
        <v>No Rain</v>
      </c>
      <c r="L249" s="1" t="str">
        <f>IF(Table1[[#This Row],[Precipitation_mm]]&lt;&gt;0,"Wet","Dry")</f>
        <v>Dry</v>
      </c>
      <c r="M249" t="b">
        <f>OR(ISBLANK(Table1[[#This Row],[Temperature_F]]),ISERROR(Table1[[#This Row],[Temperature_F]]))</f>
        <v>0</v>
      </c>
    </row>
    <row r="250" spans="1:13" x14ac:dyDescent="0.25">
      <c r="A250" s="1" t="s">
        <v>1</v>
      </c>
      <c r="B250" s="1" t="s">
        <v>2</v>
      </c>
      <c r="C250" s="1">
        <v>42.360599999999998</v>
      </c>
      <c r="D250" s="1">
        <v>-71.010599999999997</v>
      </c>
      <c r="E250" s="5">
        <v>40434</v>
      </c>
      <c r="F250" s="1" t="str">
        <f t="shared" si="3"/>
        <v>September</v>
      </c>
      <c r="G250" s="1">
        <v>42</v>
      </c>
      <c r="H250" s="1">
        <v>25</v>
      </c>
      <c r="I250" s="1" t="str">
        <f>IF(Table1[[#This Row],[Temperature_F]]&lt;32,"Yes","No")</f>
        <v>No</v>
      </c>
      <c r="J250" s="1" t="str" cm="1">
        <f t="array" ref="J2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50" s="1" t="str" cm="1">
        <f t="array" ref="K250">_xlfn.IFS(
H250=0,"No Rain",
H250&lt;10,"Light",
H250&lt;50,"Moderate",
TRUE,"Heavy")</f>
        <v>Moderate</v>
      </c>
      <c r="L250" s="1" t="str">
        <f>IF(Table1[[#This Row],[Precipitation_mm]]&lt;&gt;0,"Wet","Dry")</f>
        <v>Wet</v>
      </c>
      <c r="M250" t="b">
        <f>OR(ISBLANK(Table1[[#This Row],[Temperature_F]]),ISERROR(Table1[[#This Row],[Temperature_F]]))</f>
        <v>0</v>
      </c>
    </row>
    <row r="251" spans="1:13" hidden="1" x14ac:dyDescent="0.25">
      <c r="A251" s="1" t="s">
        <v>1</v>
      </c>
      <c r="B251" s="1" t="s">
        <v>2</v>
      </c>
      <c r="C251" s="1">
        <v>42.360599999999998</v>
      </c>
      <c r="D251" s="1">
        <v>-71.010599999999997</v>
      </c>
      <c r="E251" s="5">
        <v>40435</v>
      </c>
      <c r="F251" s="1" t="str">
        <f t="shared" si="3"/>
        <v>September</v>
      </c>
      <c r="G251" s="1">
        <v>53</v>
      </c>
      <c r="H251" s="1">
        <v>13</v>
      </c>
      <c r="I251" s="1" t="str">
        <f>IF(Table1[[#This Row],[Temperature_F]]&lt;32,"Yes","No")</f>
        <v>No</v>
      </c>
      <c r="J251" s="1" t="str" cm="1">
        <f t="array" ref="J2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51" s="1" t="str" cm="1">
        <f t="array" ref="K251">_xlfn.IFS(
H251=0,"No Rain",
H251&lt;10,"Light",
H251&lt;50,"Moderate",
TRUE,"Heavy")</f>
        <v>Moderate</v>
      </c>
      <c r="L251" s="1" t="str">
        <f>IF(Table1[[#This Row],[Precipitation_mm]]&lt;&gt;0,"Wet","Dry")</f>
        <v>Wet</v>
      </c>
      <c r="M251" t="b">
        <f>OR(ISBLANK(Table1[[#This Row],[Temperature_F]]),ISERROR(Table1[[#This Row],[Temperature_F]]))</f>
        <v>0</v>
      </c>
    </row>
    <row r="252" spans="1:13" x14ac:dyDescent="0.25">
      <c r="A252" s="1" t="s">
        <v>1</v>
      </c>
      <c r="B252" s="1" t="s">
        <v>2</v>
      </c>
      <c r="C252" s="1">
        <v>42.360599999999998</v>
      </c>
      <c r="D252" s="1">
        <v>-71.010599999999997</v>
      </c>
      <c r="E252" s="5">
        <v>40436</v>
      </c>
      <c r="F252" s="1" t="str">
        <f t="shared" ref="F252:F315" si="4">TEXT(E252,"mmmm")</f>
        <v>September</v>
      </c>
      <c r="G252" s="1">
        <v>44</v>
      </c>
      <c r="H252" s="1">
        <v>0</v>
      </c>
      <c r="I252" s="1" t="str">
        <f>IF(Table1[[#This Row],[Temperature_F]]&lt;32,"Yes","No")</f>
        <v>No</v>
      </c>
      <c r="J252" s="1" t="str" cm="1">
        <f t="array" ref="J2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52" s="1" t="str" cm="1">
        <f t="array" ref="K252">_xlfn.IFS(
H252=0,"No Rain",
H252&lt;10,"Light",
H252&lt;50,"Moderate",
TRUE,"Heavy")</f>
        <v>No Rain</v>
      </c>
      <c r="L252" s="1" t="str">
        <f>IF(Table1[[#This Row],[Precipitation_mm]]&lt;&gt;0,"Wet","Dry")</f>
        <v>Dry</v>
      </c>
      <c r="M252" t="b">
        <f>OR(ISBLANK(Table1[[#This Row],[Temperature_F]]),ISERROR(Table1[[#This Row],[Temperature_F]]))</f>
        <v>0</v>
      </c>
    </row>
    <row r="253" spans="1:13" hidden="1" x14ac:dyDescent="0.25">
      <c r="A253" s="1" t="s">
        <v>1</v>
      </c>
      <c r="B253" s="1" t="s">
        <v>2</v>
      </c>
      <c r="C253" s="1">
        <v>42.360599999999998</v>
      </c>
      <c r="D253" s="1">
        <v>-71.010599999999997</v>
      </c>
      <c r="E253" s="5">
        <v>40437</v>
      </c>
      <c r="F253" s="1" t="str">
        <f t="shared" si="4"/>
        <v>September</v>
      </c>
      <c r="G253" s="1">
        <v>69</v>
      </c>
      <c r="H253" s="1">
        <v>36</v>
      </c>
      <c r="I253" s="1" t="str">
        <f>IF(Table1[[#This Row],[Temperature_F]]&lt;32,"Yes","No")</f>
        <v>No</v>
      </c>
      <c r="J253" s="1" t="str" cm="1">
        <f t="array" ref="J2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53" s="1" t="str" cm="1">
        <f t="array" ref="K253">_xlfn.IFS(
H253=0,"No Rain",
H253&lt;10,"Light",
H253&lt;50,"Moderate",
TRUE,"Heavy")</f>
        <v>Moderate</v>
      </c>
      <c r="L253" s="1" t="str">
        <f>IF(Table1[[#This Row],[Precipitation_mm]]&lt;&gt;0,"Wet","Dry")</f>
        <v>Wet</v>
      </c>
      <c r="M253" t="b">
        <f>OR(ISBLANK(Table1[[#This Row],[Temperature_F]]),ISERROR(Table1[[#This Row],[Temperature_F]]))</f>
        <v>0</v>
      </c>
    </row>
    <row r="254" spans="1:13" hidden="1" x14ac:dyDescent="0.25">
      <c r="A254" s="1" t="s">
        <v>1</v>
      </c>
      <c r="B254" s="1" t="s">
        <v>2</v>
      </c>
      <c r="C254" s="1">
        <v>42.360599999999998</v>
      </c>
      <c r="D254" s="1">
        <v>-71.010599999999997</v>
      </c>
      <c r="E254" s="5">
        <v>40438</v>
      </c>
      <c r="F254" s="1" t="str">
        <f t="shared" si="4"/>
        <v>September</v>
      </c>
      <c r="G254" s="1">
        <v>63</v>
      </c>
      <c r="H254" s="1">
        <v>38</v>
      </c>
      <c r="I254" s="1" t="str">
        <f>IF(Table1[[#This Row],[Temperature_F]]&lt;32,"Yes","No")</f>
        <v>No</v>
      </c>
      <c r="J254" s="1" t="str" cm="1">
        <f t="array" ref="J2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54" s="1" t="str" cm="1">
        <f t="array" ref="K254">_xlfn.IFS(
H254=0,"No Rain",
H254&lt;10,"Light",
H254&lt;50,"Moderate",
TRUE,"Heavy")</f>
        <v>Moderate</v>
      </c>
      <c r="L254" s="1" t="str">
        <f>IF(Table1[[#This Row],[Precipitation_mm]]&lt;&gt;0,"Wet","Dry")</f>
        <v>Wet</v>
      </c>
      <c r="M254" t="b">
        <f>OR(ISBLANK(Table1[[#This Row],[Temperature_F]]),ISERROR(Table1[[#This Row],[Temperature_F]]))</f>
        <v>0</v>
      </c>
    </row>
    <row r="255" spans="1:13" x14ac:dyDescent="0.25">
      <c r="A255" s="1" t="s">
        <v>1</v>
      </c>
      <c r="B255" s="1" t="s">
        <v>2</v>
      </c>
      <c r="C255" s="1">
        <v>42.360599999999998</v>
      </c>
      <c r="D255" s="1">
        <v>-71.010599999999997</v>
      </c>
      <c r="E255" s="5">
        <v>40439</v>
      </c>
      <c r="F255" s="1" t="str">
        <f t="shared" si="4"/>
        <v>September</v>
      </c>
      <c r="G255" s="1">
        <v>41</v>
      </c>
      <c r="H255" s="1">
        <v>0</v>
      </c>
      <c r="I255" s="1" t="str">
        <f>IF(Table1[[#This Row],[Temperature_F]]&lt;32,"Yes","No")</f>
        <v>No</v>
      </c>
      <c r="J255" s="1" t="str" cm="1">
        <f t="array" ref="J2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55" s="1" t="str" cm="1">
        <f t="array" ref="K255">_xlfn.IFS(
H255=0,"No Rain",
H255&lt;10,"Light",
H255&lt;50,"Moderate",
TRUE,"Heavy")</f>
        <v>No Rain</v>
      </c>
      <c r="L255" s="1" t="str">
        <f>IF(Table1[[#This Row],[Precipitation_mm]]&lt;&gt;0,"Wet","Dry")</f>
        <v>Dry</v>
      </c>
      <c r="M255" t="b">
        <f>OR(ISBLANK(Table1[[#This Row],[Temperature_F]]),ISERROR(Table1[[#This Row],[Temperature_F]]))</f>
        <v>0</v>
      </c>
    </row>
    <row r="256" spans="1:13" x14ac:dyDescent="0.25">
      <c r="A256" s="1" t="s">
        <v>1</v>
      </c>
      <c r="B256" s="1" t="s">
        <v>2</v>
      </c>
      <c r="C256" s="1">
        <v>42.360599999999998</v>
      </c>
      <c r="D256" s="1">
        <v>-71.010599999999997</v>
      </c>
      <c r="E256" s="5">
        <v>40440</v>
      </c>
      <c r="F256" s="1" t="str">
        <f t="shared" si="4"/>
        <v>September</v>
      </c>
      <c r="G256" s="1">
        <v>43</v>
      </c>
      <c r="H256" s="1">
        <v>0</v>
      </c>
      <c r="I256" s="1" t="str">
        <f>IF(Table1[[#This Row],[Temperature_F]]&lt;32,"Yes","No")</f>
        <v>No</v>
      </c>
      <c r="J256" s="1" t="str" cm="1">
        <f t="array" ref="J2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56" s="1" t="str" cm="1">
        <f t="array" ref="K256">_xlfn.IFS(
H256=0,"No Rain",
H256&lt;10,"Light",
H256&lt;50,"Moderate",
TRUE,"Heavy")</f>
        <v>No Rain</v>
      </c>
      <c r="L256" s="1" t="str">
        <f>IF(Table1[[#This Row],[Precipitation_mm]]&lt;&gt;0,"Wet","Dry")</f>
        <v>Dry</v>
      </c>
      <c r="M256" t="b">
        <f>OR(ISBLANK(Table1[[#This Row],[Temperature_F]]),ISERROR(Table1[[#This Row],[Temperature_F]]))</f>
        <v>0</v>
      </c>
    </row>
    <row r="257" spans="1:13" x14ac:dyDescent="0.25">
      <c r="A257" s="1" t="s">
        <v>1</v>
      </c>
      <c r="B257" s="1" t="s">
        <v>2</v>
      </c>
      <c r="C257" s="1">
        <v>42.360599999999998</v>
      </c>
      <c r="D257" s="1">
        <v>-71.010599999999997</v>
      </c>
      <c r="E257" s="5">
        <v>40441</v>
      </c>
      <c r="F257" s="1" t="str">
        <f t="shared" si="4"/>
        <v>September</v>
      </c>
      <c r="G257" s="1">
        <v>44</v>
      </c>
      <c r="H257" s="1">
        <v>0</v>
      </c>
      <c r="I257" s="1" t="str">
        <f>IF(Table1[[#This Row],[Temperature_F]]&lt;32,"Yes","No")</f>
        <v>No</v>
      </c>
      <c r="J257" s="1" t="str" cm="1">
        <f t="array" ref="J2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57" s="1" t="str" cm="1">
        <f t="array" ref="K257">_xlfn.IFS(
H257=0,"No Rain",
H257&lt;10,"Light",
H257&lt;50,"Moderate",
TRUE,"Heavy")</f>
        <v>No Rain</v>
      </c>
      <c r="L257" s="1" t="str">
        <f>IF(Table1[[#This Row],[Precipitation_mm]]&lt;&gt;0,"Wet","Dry")</f>
        <v>Dry</v>
      </c>
      <c r="M257" t="b">
        <f>OR(ISBLANK(Table1[[#This Row],[Temperature_F]]),ISERROR(Table1[[#This Row],[Temperature_F]]))</f>
        <v>0</v>
      </c>
    </row>
    <row r="258" spans="1:13" hidden="1" x14ac:dyDescent="0.25">
      <c r="A258" s="1" t="s">
        <v>1</v>
      </c>
      <c r="B258" s="1" t="s">
        <v>2</v>
      </c>
      <c r="C258" s="1">
        <v>42.360599999999998</v>
      </c>
      <c r="D258" s="1">
        <v>-71.010599999999997</v>
      </c>
      <c r="E258" s="5">
        <v>40442</v>
      </c>
      <c r="F258" s="1" t="str">
        <f t="shared" si="4"/>
        <v>September</v>
      </c>
      <c r="G258" s="1">
        <v>67</v>
      </c>
      <c r="H258" s="1">
        <v>0</v>
      </c>
      <c r="I258" s="1" t="str">
        <f>IF(Table1[[#This Row],[Temperature_F]]&lt;32,"Yes","No")</f>
        <v>No</v>
      </c>
      <c r="J258" s="1" t="str" cm="1">
        <f t="array" ref="J2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58" s="1" t="str" cm="1">
        <f t="array" ref="K258">_xlfn.IFS(
H258=0,"No Rain",
H258&lt;10,"Light",
H258&lt;50,"Moderate",
TRUE,"Heavy")</f>
        <v>No Rain</v>
      </c>
      <c r="L258" s="1" t="str">
        <f>IF(Table1[[#This Row],[Precipitation_mm]]&lt;&gt;0,"Wet","Dry")</f>
        <v>Dry</v>
      </c>
      <c r="M258" t="b">
        <f>OR(ISBLANK(Table1[[#This Row],[Temperature_F]]),ISERROR(Table1[[#This Row],[Temperature_F]]))</f>
        <v>0</v>
      </c>
    </row>
    <row r="259" spans="1:13" hidden="1" x14ac:dyDescent="0.25">
      <c r="A259" s="1" t="s">
        <v>1</v>
      </c>
      <c r="B259" s="1" t="s">
        <v>2</v>
      </c>
      <c r="C259" s="1">
        <v>42.360599999999998</v>
      </c>
      <c r="D259" s="1">
        <v>-71.010599999999997</v>
      </c>
      <c r="E259" s="5">
        <v>40443</v>
      </c>
      <c r="F259" s="1" t="str">
        <f t="shared" si="4"/>
        <v>September</v>
      </c>
      <c r="G259" s="1">
        <v>60</v>
      </c>
      <c r="H259" s="1">
        <v>0</v>
      </c>
      <c r="I259" s="1" t="str">
        <f>IF(Table1[[#This Row],[Temperature_F]]&lt;32,"Yes","No")</f>
        <v>No</v>
      </c>
      <c r="J259" s="1" t="str" cm="1">
        <f t="array" ref="J2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59" s="1" t="str" cm="1">
        <f t="array" ref="K259">_xlfn.IFS(
H259=0,"No Rain",
H259&lt;10,"Light",
H259&lt;50,"Moderate",
TRUE,"Heavy")</f>
        <v>No Rain</v>
      </c>
      <c r="L259" s="1" t="str">
        <f>IF(Table1[[#This Row],[Precipitation_mm]]&lt;&gt;0,"Wet","Dry")</f>
        <v>Dry</v>
      </c>
      <c r="M259" t="b">
        <f>OR(ISBLANK(Table1[[#This Row],[Temperature_F]]),ISERROR(Table1[[#This Row],[Temperature_F]]))</f>
        <v>0</v>
      </c>
    </row>
    <row r="260" spans="1:13" hidden="1" x14ac:dyDescent="0.25">
      <c r="A260" s="1" t="s">
        <v>1</v>
      </c>
      <c r="B260" s="1" t="s">
        <v>2</v>
      </c>
      <c r="C260" s="1">
        <v>42.360599999999998</v>
      </c>
      <c r="D260" s="1">
        <v>-71.010599999999997</v>
      </c>
      <c r="E260" s="5">
        <v>40444</v>
      </c>
      <c r="F260" s="1" t="str">
        <f t="shared" si="4"/>
        <v>September</v>
      </c>
      <c r="G260" s="1">
        <v>67</v>
      </c>
      <c r="H260" s="1">
        <v>0</v>
      </c>
      <c r="I260" s="1" t="str">
        <f>IF(Table1[[#This Row],[Temperature_F]]&lt;32,"Yes","No")</f>
        <v>No</v>
      </c>
      <c r="J260" s="1" t="str" cm="1">
        <f t="array" ref="J2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60" s="1" t="str" cm="1">
        <f t="array" ref="K260">_xlfn.IFS(
H260=0,"No Rain",
H260&lt;10,"Light",
H260&lt;50,"Moderate",
TRUE,"Heavy")</f>
        <v>No Rain</v>
      </c>
      <c r="L260" s="1" t="str">
        <f>IF(Table1[[#This Row],[Precipitation_mm]]&lt;&gt;0,"Wet","Dry")</f>
        <v>Dry</v>
      </c>
      <c r="M260" t="b">
        <f>OR(ISBLANK(Table1[[#This Row],[Temperature_F]]),ISERROR(Table1[[#This Row],[Temperature_F]]))</f>
        <v>0</v>
      </c>
    </row>
    <row r="261" spans="1:13" hidden="1" x14ac:dyDescent="0.25">
      <c r="A261" s="1" t="s">
        <v>1</v>
      </c>
      <c r="B261" s="1" t="s">
        <v>2</v>
      </c>
      <c r="C261" s="1">
        <v>42.360599999999998</v>
      </c>
      <c r="D261" s="1">
        <v>-71.010599999999997</v>
      </c>
      <c r="E261" s="5">
        <v>40445</v>
      </c>
      <c r="F261" s="1" t="str">
        <f t="shared" si="4"/>
        <v>September</v>
      </c>
      <c r="G261" s="1">
        <v>70</v>
      </c>
      <c r="H261" s="1">
        <v>0</v>
      </c>
      <c r="I261" s="1" t="str">
        <f>IF(Table1[[#This Row],[Temperature_F]]&lt;32,"Yes","No")</f>
        <v>No</v>
      </c>
      <c r="J261" s="1" t="str" cm="1">
        <f t="array" ref="J2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261" s="1" t="str" cm="1">
        <f t="array" ref="K261">_xlfn.IFS(
H261=0,"No Rain",
H261&lt;10,"Light",
H261&lt;50,"Moderate",
TRUE,"Heavy")</f>
        <v>No Rain</v>
      </c>
      <c r="L261" s="1" t="str">
        <f>IF(Table1[[#This Row],[Precipitation_mm]]&lt;&gt;0,"Wet","Dry")</f>
        <v>Dry</v>
      </c>
      <c r="M261" t="b">
        <f>OR(ISBLANK(Table1[[#This Row],[Temperature_F]]),ISERROR(Table1[[#This Row],[Temperature_F]]))</f>
        <v>0</v>
      </c>
    </row>
    <row r="262" spans="1:13" x14ac:dyDescent="0.25">
      <c r="A262" s="1" t="s">
        <v>1</v>
      </c>
      <c r="B262" s="1" t="s">
        <v>2</v>
      </c>
      <c r="C262" s="1">
        <v>42.360599999999998</v>
      </c>
      <c r="D262" s="1">
        <v>-71.010599999999997</v>
      </c>
      <c r="E262" s="5">
        <v>40446</v>
      </c>
      <c r="F262" s="1" t="str">
        <f t="shared" si="4"/>
        <v>September</v>
      </c>
      <c r="G262" s="1">
        <v>40</v>
      </c>
      <c r="H262" s="1">
        <v>0</v>
      </c>
      <c r="I262" s="1" t="str">
        <f>IF(Table1[[#This Row],[Temperature_F]]&lt;32,"Yes","No")</f>
        <v>No</v>
      </c>
      <c r="J262" s="1" t="str" cm="1">
        <f t="array" ref="J2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62" s="1" t="str" cm="1">
        <f t="array" ref="K262">_xlfn.IFS(
H262=0,"No Rain",
H262&lt;10,"Light",
H262&lt;50,"Moderate",
TRUE,"Heavy")</f>
        <v>No Rain</v>
      </c>
      <c r="L262" s="1" t="str">
        <f>IF(Table1[[#This Row],[Precipitation_mm]]&lt;&gt;0,"Wet","Dry")</f>
        <v>Dry</v>
      </c>
      <c r="M262" t="b">
        <f>OR(ISBLANK(Table1[[#This Row],[Temperature_F]]),ISERROR(Table1[[#This Row],[Temperature_F]]))</f>
        <v>0</v>
      </c>
    </row>
    <row r="263" spans="1:13" hidden="1" x14ac:dyDescent="0.25">
      <c r="A263" s="1" t="s">
        <v>1</v>
      </c>
      <c r="B263" s="1" t="s">
        <v>2</v>
      </c>
      <c r="C263" s="1">
        <v>42.360599999999998</v>
      </c>
      <c r="D263" s="1">
        <v>-71.010599999999997</v>
      </c>
      <c r="E263" s="5">
        <v>40447</v>
      </c>
      <c r="F263" s="1" t="str">
        <f t="shared" si="4"/>
        <v>September</v>
      </c>
      <c r="G263" s="1">
        <v>65</v>
      </c>
      <c r="H263" s="1">
        <v>0</v>
      </c>
      <c r="I263" s="1" t="str">
        <f>IF(Table1[[#This Row],[Temperature_F]]&lt;32,"Yes","No")</f>
        <v>No</v>
      </c>
      <c r="J263" s="1" t="str" cm="1">
        <f t="array" ref="J2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63" s="1" t="str" cm="1">
        <f t="array" ref="K263">_xlfn.IFS(
H263=0,"No Rain",
H263&lt;10,"Light",
H263&lt;50,"Moderate",
TRUE,"Heavy")</f>
        <v>No Rain</v>
      </c>
      <c r="L263" s="1" t="str">
        <f>IF(Table1[[#This Row],[Precipitation_mm]]&lt;&gt;0,"Wet","Dry")</f>
        <v>Dry</v>
      </c>
      <c r="M263" t="b">
        <f>OR(ISBLANK(Table1[[#This Row],[Temperature_F]]),ISERROR(Table1[[#This Row],[Temperature_F]]))</f>
        <v>0</v>
      </c>
    </row>
    <row r="264" spans="1:13" hidden="1" x14ac:dyDescent="0.25">
      <c r="A264" s="1" t="s">
        <v>1</v>
      </c>
      <c r="B264" s="1" t="s">
        <v>2</v>
      </c>
      <c r="C264" s="1">
        <v>42.360599999999998</v>
      </c>
      <c r="D264" s="1">
        <v>-71.010599999999997</v>
      </c>
      <c r="E264" s="5">
        <v>40448</v>
      </c>
      <c r="F264" s="1" t="str">
        <f t="shared" si="4"/>
        <v>September</v>
      </c>
      <c r="G264" s="1">
        <v>64</v>
      </c>
      <c r="H264" s="1">
        <v>10</v>
      </c>
      <c r="I264" s="1" t="str">
        <f>IF(Table1[[#This Row],[Temperature_F]]&lt;32,"Yes","No")</f>
        <v>No</v>
      </c>
      <c r="J264" s="1" t="str" cm="1">
        <f t="array" ref="J2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64" s="1" t="str" cm="1">
        <f t="array" ref="K264">_xlfn.IFS(
H264=0,"No Rain",
H264&lt;10,"Light",
H264&lt;50,"Moderate",
TRUE,"Heavy")</f>
        <v>Moderate</v>
      </c>
      <c r="L264" s="1" t="str">
        <f>IF(Table1[[#This Row],[Precipitation_mm]]&lt;&gt;0,"Wet","Dry")</f>
        <v>Wet</v>
      </c>
      <c r="M264" t="b">
        <f>OR(ISBLANK(Table1[[#This Row],[Temperature_F]]),ISERROR(Table1[[#This Row],[Temperature_F]]))</f>
        <v>0</v>
      </c>
    </row>
    <row r="265" spans="1:13" x14ac:dyDescent="0.25">
      <c r="A265" s="1" t="s">
        <v>1</v>
      </c>
      <c r="B265" s="1" t="s">
        <v>2</v>
      </c>
      <c r="C265" s="1">
        <v>42.360599999999998</v>
      </c>
      <c r="D265" s="1">
        <v>-71.010599999999997</v>
      </c>
      <c r="E265" s="5">
        <v>40449</v>
      </c>
      <c r="F265" s="1" t="str">
        <f t="shared" si="4"/>
        <v>September</v>
      </c>
      <c r="G265" s="1">
        <v>50</v>
      </c>
      <c r="H265" s="1">
        <v>173</v>
      </c>
      <c r="I265" s="1" t="str">
        <f>IF(Table1[[#This Row],[Temperature_F]]&lt;32,"Yes","No")</f>
        <v>No</v>
      </c>
      <c r="J265" s="1" t="str" cm="1">
        <f t="array" ref="J2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65" s="1" t="str" cm="1">
        <f t="array" ref="K265">_xlfn.IFS(
H265=0,"No Rain",
H265&lt;10,"Light",
H265&lt;50,"Moderate",
TRUE,"Heavy")</f>
        <v>Heavy</v>
      </c>
      <c r="L265" s="1" t="str">
        <f>IF(Table1[[#This Row],[Precipitation_mm]]&lt;&gt;0,"Wet","Dry")</f>
        <v>Wet</v>
      </c>
      <c r="M265" t="b">
        <f>OR(ISBLANK(Table1[[#This Row],[Temperature_F]]),ISERROR(Table1[[#This Row],[Temperature_F]]))</f>
        <v>0</v>
      </c>
    </row>
    <row r="266" spans="1:13" x14ac:dyDescent="0.25">
      <c r="A266" s="1" t="s">
        <v>1</v>
      </c>
      <c r="B266" s="1" t="s">
        <v>2</v>
      </c>
      <c r="C266" s="1">
        <v>42.360599999999998</v>
      </c>
      <c r="D266" s="1">
        <v>-71.010599999999997</v>
      </c>
      <c r="E266" s="5">
        <v>40450</v>
      </c>
      <c r="F266" s="1" t="str">
        <f t="shared" si="4"/>
        <v>September</v>
      </c>
      <c r="G266" s="1">
        <v>50</v>
      </c>
      <c r="H266" s="1">
        <v>0</v>
      </c>
      <c r="I266" s="1" t="str">
        <f>IF(Table1[[#This Row],[Temperature_F]]&lt;32,"Yes","No")</f>
        <v>No</v>
      </c>
      <c r="J266" s="1" t="str" cm="1">
        <f t="array" ref="J2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66" s="1" t="str" cm="1">
        <f t="array" ref="K266">_xlfn.IFS(
H266=0,"No Rain",
H266&lt;10,"Light",
H266&lt;50,"Moderate",
TRUE,"Heavy")</f>
        <v>No Rain</v>
      </c>
      <c r="L266" s="1" t="str">
        <f>IF(Table1[[#This Row],[Precipitation_mm]]&lt;&gt;0,"Wet","Dry")</f>
        <v>Dry</v>
      </c>
      <c r="M266" t="b">
        <f>OR(ISBLANK(Table1[[#This Row],[Temperature_F]]),ISERROR(Table1[[#This Row],[Temperature_F]]))</f>
        <v>0</v>
      </c>
    </row>
    <row r="267" spans="1:13" x14ac:dyDescent="0.25">
      <c r="A267" s="1" t="s">
        <v>1</v>
      </c>
      <c r="B267" s="1" t="s">
        <v>2</v>
      </c>
      <c r="C267" s="1">
        <v>42.360599999999998</v>
      </c>
      <c r="D267" s="1">
        <v>-71.010599999999997</v>
      </c>
      <c r="E267" s="5">
        <v>40451</v>
      </c>
      <c r="F267" s="1" t="str">
        <f t="shared" si="4"/>
        <v>September</v>
      </c>
      <c r="G267" s="1">
        <v>49</v>
      </c>
      <c r="H267" s="1">
        <v>0</v>
      </c>
      <c r="I267" s="1" t="str">
        <f>IF(Table1[[#This Row],[Temperature_F]]&lt;32,"Yes","No")</f>
        <v>No</v>
      </c>
      <c r="J267" s="1" t="str" cm="1">
        <f t="array" ref="J2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67" s="1" t="str" cm="1">
        <f t="array" ref="K267">_xlfn.IFS(
H267=0,"No Rain",
H267&lt;10,"Light",
H267&lt;50,"Moderate",
TRUE,"Heavy")</f>
        <v>No Rain</v>
      </c>
      <c r="L267" s="1" t="str">
        <f>IF(Table1[[#This Row],[Precipitation_mm]]&lt;&gt;0,"Wet","Dry")</f>
        <v>Dry</v>
      </c>
      <c r="M267" t="b">
        <f>OR(ISBLANK(Table1[[#This Row],[Temperature_F]]),ISERROR(Table1[[#This Row],[Temperature_F]]))</f>
        <v>0</v>
      </c>
    </row>
    <row r="268" spans="1:13" x14ac:dyDescent="0.25">
      <c r="A268" s="1" t="s">
        <v>1</v>
      </c>
      <c r="B268" s="1" t="s">
        <v>2</v>
      </c>
      <c r="C268" s="1">
        <v>42.360599999999998</v>
      </c>
      <c r="D268" s="1">
        <v>-71.010599999999997</v>
      </c>
      <c r="E268" s="5">
        <v>40452</v>
      </c>
      <c r="F268" s="1" t="str">
        <f t="shared" si="4"/>
        <v>October</v>
      </c>
      <c r="G268" s="1">
        <v>45</v>
      </c>
      <c r="H268" s="1">
        <v>89</v>
      </c>
      <c r="I268" s="1" t="str">
        <f>IF(Table1[[#This Row],[Temperature_F]]&lt;32,"Yes","No")</f>
        <v>No</v>
      </c>
      <c r="J268" s="1" t="str" cm="1">
        <f t="array" ref="J2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68" s="1" t="str" cm="1">
        <f t="array" ref="K268">_xlfn.IFS(
H268=0,"No Rain",
H268&lt;10,"Light",
H268&lt;50,"Moderate",
TRUE,"Heavy")</f>
        <v>Heavy</v>
      </c>
      <c r="L268" s="1" t="str">
        <f>IF(Table1[[#This Row],[Precipitation_mm]]&lt;&gt;0,"Wet","Dry")</f>
        <v>Wet</v>
      </c>
      <c r="M268" t="b">
        <f>OR(ISBLANK(Table1[[#This Row],[Temperature_F]]),ISERROR(Table1[[#This Row],[Temperature_F]]))</f>
        <v>0</v>
      </c>
    </row>
    <row r="269" spans="1:13" hidden="1" x14ac:dyDescent="0.25">
      <c r="A269" s="1" t="s">
        <v>1</v>
      </c>
      <c r="B269" s="1" t="s">
        <v>2</v>
      </c>
      <c r="C269" s="1">
        <v>42.360599999999998</v>
      </c>
      <c r="D269" s="1">
        <v>-71.010599999999997</v>
      </c>
      <c r="E269" s="5">
        <v>40453</v>
      </c>
      <c r="F269" s="1" t="str">
        <f t="shared" si="4"/>
        <v>October</v>
      </c>
      <c r="G269" s="1">
        <v>52</v>
      </c>
      <c r="H269" s="1">
        <v>0</v>
      </c>
      <c r="I269" s="1" t="str">
        <f>IF(Table1[[#This Row],[Temperature_F]]&lt;32,"Yes","No")</f>
        <v>No</v>
      </c>
      <c r="J269" s="1" t="str" cm="1">
        <f t="array" ref="J2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69" s="1" t="str" cm="1">
        <f t="array" ref="K269">_xlfn.IFS(
H269=0,"No Rain",
H269&lt;10,"Light",
H269&lt;50,"Moderate",
TRUE,"Heavy")</f>
        <v>No Rain</v>
      </c>
      <c r="L269" s="1" t="str">
        <f>IF(Table1[[#This Row],[Precipitation_mm]]&lt;&gt;0,"Wet","Dry")</f>
        <v>Dry</v>
      </c>
      <c r="M269" t="b">
        <f>OR(ISBLANK(Table1[[#This Row],[Temperature_F]]),ISERROR(Table1[[#This Row],[Temperature_F]]))</f>
        <v>0</v>
      </c>
    </row>
    <row r="270" spans="1:13" hidden="1" x14ac:dyDescent="0.25">
      <c r="A270" s="1" t="s">
        <v>1</v>
      </c>
      <c r="B270" s="1" t="s">
        <v>2</v>
      </c>
      <c r="C270" s="1">
        <v>42.360599999999998</v>
      </c>
      <c r="D270" s="1">
        <v>-71.010599999999997</v>
      </c>
      <c r="E270" s="5">
        <v>40454</v>
      </c>
      <c r="F270" s="1" t="str">
        <f t="shared" si="4"/>
        <v>October</v>
      </c>
      <c r="G270" s="1">
        <v>66</v>
      </c>
      <c r="H270" s="1">
        <v>0</v>
      </c>
      <c r="I270" s="1" t="str">
        <f>IF(Table1[[#This Row],[Temperature_F]]&lt;32,"Yes","No")</f>
        <v>No</v>
      </c>
      <c r="J270" s="1" t="str" cm="1">
        <f t="array" ref="J2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70" s="1" t="str" cm="1">
        <f t="array" ref="K270">_xlfn.IFS(
H270=0,"No Rain",
H270&lt;10,"Light",
H270&lt;50,"Moderate",
TRUE,"Heavy")</f>
        <v>No Rain</v>
      </c>
      <c r="L270" s="1" t="str">
        <f>IF(Table1[[#This Row],[Precipitation_mm]]&lt;&gt;0,"Wet","Dry")</f>
        <v>Dry</v>
      </c>
      <c r="M270" t="b">
        <f>OR(ISBLANK(Table1[[#This Row],[Temperature_F]]),ISERROR(Table1[[#This Row],[Temperature_F]]))</f>
        <v>0</v>
      </c>
    </row>
    <row r="271" spans="1:13" hidden="1" x14ac:dyDescent="0.25">
      <c r="A271" s="1" t="s">
        <v>1</v>
      </c>
      <c r="B271" s="1" t="s">
        <v>2</v>
      </c>
      <c r="C271" s="1">
        <v>42.360599999999998</v>
      </c>
      <c r="D271" s="1">
        <v>-71.010599999999997</v>
      </c>
      <c r="E271" s="5">
        <v>40455</v>
      </c>
      <c r="F271" s="1" t="str">
        <f t="shared" si="4"/>
        <v>October</v>
      </c>
      <c r="G271" s="1">
        <v>65</v>
      </c>
      <c r="H271" s="1">
        <v>130</v>
      </c>
      <c r="I271" s="1" t="str">
        <f>IF(Table1[[#This Row],[Temperature_F]]&lt;32,"Yes","No")</f>
        <v>No</v>
      </c>
      <c r="J271" s="1" t="str" cm="1">
        <f t="array" ref="J2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71" s="1" t="str" cm="1">
        <f t="array" ref="K271">_xlfn.IFS(
H271=0,"No Rain",
H271&lt;10,"Light",
H271&lt;50,"Moderate",
TRUE,"Heavy")</f>
        <v>Heavy</v>
      </c>
      <c r="L271" s="1" t="str">
        <f>IF(Table1[[#This Row],[Precipitation_mm]]&lt;&gt;0,"Wet","Dry")</f>
        <v>Wet</v>
      </c>
      <c r="M271" t="b">
        <f>OR(ISBLANK(Table1[[#This Row],[Temperature_F]]),ISERROR(Table1[[#This Row],[Temperature_F]]))</f>
        <v>0</v>
      </c>
    </row>
    <row r="272" spans="1:13" x14ac:dyDescent="0.25">
      <c r="A272" s="1" t="s">
        <v>1</v>
      </c>
      <c r="B272" s="1" t="s">
        <v>2</v>
      </c>
      <c r="C272" s="1">
        <v>42.360599999999998</v>
      </c>
      <c r="D272" s="1">
        <v>-71.010599999999997</v>
      </c>
      <c r="E272" s="5">
        <v>40456</v>
      </c>
      <c r="F272" s="1" t="str">
        <f t="shared" si="4"/>
        <v>October</v>
      </c>
      <c r="G272" s="1">
        <v>46</v>
      </c>
      <c r="H272" s="1">
        <v>23</v>
      </c>
      <c r="I272" s="1" t="str">
        <f>IF(Table1[[#This Row],[Temperature_F]]&lt;32,"Yes","No")</f>
        <v>No</v>
      </c>
      <c r="J272" s="1" t="str" cm="1">
        <f t="array" ref="J2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72" s="1" t="str" cm="1">
        <f t="array" ref="K272">_xlfn.IFS(
H272=0,"No Rain",
H272&lt;10,"Light",
H272&lt;50,"Moderate",
TRUE,"Heavy")</f>
        <v>Moderate</v>
      </c>
      <c r="L272" s="1" t="str">
        <f>IF(Table1[[#This Row],[Precipitation_mm]]&lt;&gt;0,"Wet","Dry")</f>
        <v>Wet</v>
      </c>
      <c r="M272" t="b">
        <f>OR(ISBLANK(Table1[[#This Row],[Temperature_F]]),ISERROR(Table1[[#This Row],[Temperature_F]]))</f>
        <v>0</v>
      </c>
    </row>
    <row r="273" spans="1:13" hidden="1" x14ac:dyDescent="0.25">
      <c r="A273" s="1" t="s">
        <v>1</v>
      </c>
      <c r="B273" s="1" t="s">
        <v>2</v>
      </c>
      <c r="C273" s="1">
        <v>42.360599999999998</v>
      </c>
      <c r="D273" s="1">
        <v>-71.010599999999997</v>
      </c>
      <c r="E273" s="5">
        <v>40457</v>
      </c>
      <c r="F273" s="1" t="str">
        <f t="shared" si="4"/>
        <v>October</v>
      </c>
      <c r="G273" s="1">
        <v>61</v>
      </c>
      <c r="H273" s="1">
        <v>328</v>
      </c>
      <c r="I273" s="1" t="str">
        <f>IF(Table1[[#This Row],[Temperature_F]]&lt;32,"Yes","No")</f>
        <v>No</v>
      </c>
      <c r="J273" s="1" t="str" cm="1">
        <f t="array" ref="J2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73" s="1" t="str" cm="1">
        <f t="array" ref="K273">_xlfn.IFS(
H273=0,"No Rain",
H273&lt;10,"Light",
H273&lt;50,"Moderate",
TRUE,"Heavy")</f>
        <v>Heavy</v>
      </c>
      <c r="L273" s="1" t="str">
        <f>IF(Table1[[#This Row],[Precipitation_mm]]&lt;&gt;0,"Wet","Dry")</f>
        <v>Wet</v>
      </c>
      <c r="M273" t="b">
        <f>OR(ISBLANK(Table1[[#This Row],[Temperature_F]]),ISERROR(Table1[[#This Row],[Temperature_F]]))</f>
        <v>0</v>
      </c>
    </row>
    <row r="274" spans="1:13" x14ac:dyDescent="0.25">
      <c r="A274" s="1" t="s">
        <v>1</v>
      </c>
      <c r="B274" s="1" t="s">
        <v>2</v>
      </c>
      <c r="C274" s="1">
        <v>42.360599999999998</v>
      </c>
      <c r="D274" s="1">
        <v>-71.010599999999997</v>
      </c>
      <c r="E274" s="5">
        <v>40458</v>
      </c>
      <c r="F274" s="1" t="str">
        <f t="shared" si="4"/>
        <v>October</v>
      </c>
      <c r="G274" s="1">
        <v>44</v>
      </c>
      <c r="H274" s="1">
        <v>0</v>
      </c>
      <c r="I274" s="1" t="str">
        <f>IF(Table1[[#This Row],[Temperature_F]]&lt;32,"Yes","No")</f>
        <v>No</v>
      </c>
      <c r="J274" s="1" t="str" cm="1">
        <f t="array" ref="J2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74" s="1" t="str" cm="1">
        <f t="array" ref="K274">_xlfn.IFS(
H274=0,"No Rain",
H274&lt;10,"Light",
H274&lt;50,"Moderate",
TRUE,"Heavy")</f>
        <v>No Rain</v>
      </c>
      <c r="L274" s="1" t="str">
        <f>IF(Table1[[#This Row],[Precipitation_mm]]&lt;&gt;0,"Wet","Dry")</f>
        <v>Dry</v>
      </c>
      <c r="M274" t="b">
        <f>OR(ISBLANK(Table1[[#This Row],[Temperature_F]]),ISERROR(Table1[[#This Row],[Temperature_F]]))</f>
        <v>0</v>
      </c>
    </row>
    <row r="275" spans="1:13" hidden="1" x14ac:dyDescent="0.25">
      <c r="A275" s="1" t="s">
        <v>1</v>
      </c>
      <c r="B275" s="1" t="s">
        <v>2</v>
      </c>
      <c r="C275" s="1">
        <v>42.360599999999998</v>
      </c>
      <c r="D275" s="1">
        <v>-71.010599999999997</v>
      </c>
      <c r="E275" s="5">
        <v>40459</v>
      </c>
      <c r="F275" s="1" t="str">
        <f t="shared" si="4"/>
        <v>October</v>
      </c>
      <c r="G275" s="1">
        <v>60</v>
      </c>
      <c r="H275" s="1">
        <v>0</v>
      </c>
      <c r="I275" s="1" t="str">
        <f>IF(Table1[[#This Row],[Temperature_F]]&lt;32,"Yes","No")</f>
        <v>No</v>
      </c>
      <c r="J275" s="1" t="str" cm="1">
        <f t="array" ref="J2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75" s="1" t="str" cm="1">
        <f t="array" ref="K275">_xlfn.IFS(
H275=0,"No Rain",
H275&lt;10,"Light",
H275&lt;50,"Moderate",
TRUE,"Heavy")</f>
        <v>No Rain</v>
      </c>
      <c r="L275" s="1" t="str">
        <f>IF(Table1[[#This Row],[Precipitation_mm]]&lt;&gt;0,"Wet","Dry")</f>
        <v>Dry</v>
      </c>
      <c r="M275" t="b">
        <f>OR(ISBLANK(Table1[[#This Row],[Temperature_F]]),ISERROR(Table1[[#This Row],[Temperature_F]]))</f>
        <v>0</v>
      </c>
    </row>
    <row r="276" spans="1:13" x14ac:dyDescent="0.25">
      <c r="A276" s="1" t="s">
        <v>1</v>
      </c>
      <c r="B276" s="1" t="s">
        <v>2</v>
      </c>
      <c r="C276" s="1">
        <v>42.360599999999998</v>
      </c>
      <c r="D276" s="1">
        <v>-71.010599999999997</v>
      </c>
      <c r="E276" s="5">
        <v>40460</v>
      </c>
      <c r="F276" s="1" t="str">
        <f t="shared" si="4"/>
        <v>October</v>
      </c>
      <c r="G276" s="1">
        <v>44</v>
      </c>
      <c r="H276" s="1">
        <v>0</v>
      </c>
      <c r="I276" s="1" t="str">
        <f>IF(Table1[[#This Row],[Temperature_F]]&lt;32,"Yes","No")</f>
        <v>No</v>
      </c>
      <c r="J276" s="1" t="str" cm="1">
        <f t="array" ref="J2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76" s="1" t="str" cm="1">
        <f t="array" ref="K276">_xlfn.IFS(
H276=0,"No Rain",
H276&lt;10,"Light",
H276&lt;50,"Moderate",
TRUE,"Heavy")</f>
        <v>No Rain</v>
      </c>
      <c r="L276" s="1" t="str">
        <f>IF(Table1[[#This Row],[Precipitation_mm]]&lt;&gt;0,"Wet","Dry")</f>
        <v>Dry</v>
      </c>
      <c r="M276" t="b">
        <f>OR(ISBLANK(Table1[[#This Row],[Temperature_F]]),ISERROR(Table1[[#This Row],[Temperature_F]]))</f>
        <v>0</v>
      </c>
    </row>
    <row r="277" spans="1:13" x14ac:dyDescent="0.25">
      <c r="A277" s="1" t="s">
        <v>1</v>
      </c>
      <c r="B277" s="1" t="s">
        <v>2</v>
      </c>
      <c r="C277" s="1">
        <v>42.360599999999998</v>
      </c>
      <c r="D277" s="1">
        <v>-71.010599999999997</v>
      </c>
      <c r="E277" s="5">
        <v>40461</v>
      </c>
      <c r="F277" s="1" t="str">
        <f t="shared" si="4"/>
        <v>October</v>
      </c>
      <c r="G277" s="1">
        <v>41</v>
      </c>
      <c r="H277" s="1">
        <v>0</v>
      </c>
      <c r="I277" s="1" t="str">
        <f>IF(Table1[[#This Row],[Temperature_F]]&lt;32,"Yes","No")</f>
        <v>No</v>
      </c>
      <c r="J277" s="1" t="str" cm="1">
        <f t="array" ref="J2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77" s="1" t="str" cm="1">
        <f t="array" ref="K277">_xlfn.IFS(
H277=0,"No Rain",
H277&lt;10,"Light",
H277&lt;50,"Moderate",
TRUE,"Heavy")</f>
        <v>No Rain</v>
      </c>
      <c r="L277" s="1" t="str">
        <f>IF(Table1[[#This Row],[Precipitation_mm]]&lt;&gt;0,"Wet","Dry")</f>
        <v>Dry</v>
      </c>
      <c r="M277" t="b">
        <f>OR(ISBLANK(Table1[[#This Row],[Temperature_F]]),ISERROR(Table1[[#This Row],[Temperature_F]]))</f>
        <v>0</v>
      </c>
    </row>
    <row r="278" spans="1:13" hidden="1" x14ac:dyDescent="0.25">
      <c r="A278" s="1" t="s">
        <v>1</v>
      </c>
      <c r="B278" s="1" t="s">
        <v>2</v>
      </c>
      <c r="C278" s="1">
        <v>42.360599999999998</v>
      </c>
      <c r="D278" s="1">
        <v>-71.010599999999997</v>
      </c>
      <c r="E278" s="5">
        <v>40462</v>
      </c>
      <c r="F278" s="1" t="str">
        <f t="shared" si="4"/>
        <v>October</v>
      </c>
      <c r="G278" s="1">
        <v>64</v>
      </c>
      <c r="H278" s="1">
        <v>0</v>
      </c>
      <c r="I278" s="1" t="str">
        <f>IF(Table1[[#This Row],[Temperature_F]]&lt;32,"Yes","No")</f>
        <v>No</v>
      </c>
      <c r="J278" s="1" t="str" cm="1">
        <f t="array" ref="J2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78" s="1" t="str" cm="1">
        <f t="array" ref="K278">_xlfn.IFS(
H278=0,"No Rain",
H278&lt;10,"Light",
H278&lt;50,"Moderate",
TRUE,"Heavy")</f>
        <v>No Rain</v>
      </c>
      <c r="L278" s="1" t="str">
        <f>IF(Table1[[#This Row],[Precipitation_mm]]&lt;&gt;0,"Wet","Dry")</f>
        <v>Dry</v>
      </c>
      <c r="M278" t="b">
        <f>OR(ISBLANK(Table1[[#This Row],[Temperature_F]]),ISERROR(Table1[[#This Row],[Temperature_F]]))</f>
        <v>0</v>
      </c>
    </row>
    <row r="279" spans="1:13" hidden="1" x14ac:dyDescent="0.25">
      <c r="A279" s="1" t="s">
        <v>1</v>
      </c>
      <c r="B279" s="1" t="s">
        <v>2</v>
      </c>
      <c r="C279" s="1">
        <v>42.360599999999998</v>
      </c>
      <c r="D279" s="1">
        <v>-71.010599999999997</v>
      </c>
      <c r="E279" s="5">
        <v>40463</v>
      </c>
      <c r="F279" s="1" t="str">
        <f t="shared" si="4"/>
        <v>October</v>
      </c>
      <c r="G279" s="1">
        <v>55</v>
      </c>
      <c r="H279" s="1">
        <v>13</v>
      </c>
      <c r="I279" s="1" t="str">
        <f>IF(Table1[[#This Row],[Temperature_F]]&lt;32,"Yes","No")</f>
        <v>No</v>
      </c>
      <c r="J279" s="1" t="str" cm="1">
        <f t="array" ref="J2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79" s="1" t="str" cm="1">
        <f t="array" ref="K279">_xlfn.IFS(
H279=0,"No Rain",
H279&lt;10,"Light",
H279&lt;50,"Moderate",
TRUE,"Heavy")</f>
        <v>Moderate</v>
      </c>
      <c r="L279" s="1" t="str">
        <f>IF(Table1[[#This Row],[Precipitation_mm]]&lt;&gt;0,"Wet","Dry")</f>
        <v>Wet</v>
      </c>
      <c r="M279" t="b">
        <f>OR(ISBLANK(Table1[[#This Row],[Temperature_F]]),ISERROR(Table1[[#This Row],[Temperature_F]]))</f>
        <v>0</v>
      </c>
    </row>
    <row r="280" spans="1:13" hidden="1" x14ac:dyDescent="0.25">
      <c r="A280" s="1" t="s">
        <v>1</v>
      </c>
      <c r="B280" s="1" t="s">
        <v>2</v>
      </c>
      <c r="C280" s="1">
        <v>42.360599999999998</v>
      </c>
      <c r="D280" s="1">
        <v>-71.010599999999997</v>
      </c>
      <c r="E280" s="5">
        <v>40464</v>
      </c>
      <c r="F280" s="1" t="str">
        <f t="shared" si="4"/>
        <v>October</v>
      </c>
      <c r="G280" s="1">
        <v>60</v>
      </c>
      <c r="H280" s="1">
        <v>0</v>
      </c>
      <c r="I280" s="1" t="str">
        <f>IF(Table1[[#This Row],[Temperature_F]]&lt;32,"Yes","No")</f>
        <v>No</v>
      </c>
      <c r="J280" s="1" t="str" cm="1">
        <f t="array" ref="J2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0" s="1" t="str" cm="1">
        <f t="array" ref="K280">_xlfn.IFS(
H280=0,"No Rain",
H280&lt;10,"Light",
H280&lt;50,"Moderate",
TRUE,"Heavy")</f>
        <v>No Rain</v>
      </c>
      <c r="L280" s="1" t="str">
        <f>IF(Table1[[#This Row],[Precipitation_mm]]&lt;&gt;0,"Wet","Dry")</f>
        <v>Dry</v>
      </c>
      <c r="M280" t="b">
        <f>OR(ISBLANK(Table1[[#This Row],[Temperature_F]]),ISERROR(Table1[[#This Row],[Temperature_F]]))</f>
        <v>0</v>
      </c>
    </row>
    <row r="281" spans="1:13" hidden="1" x14ac:dyDescent="0.25">
      <c r="A281" s="1" t="s">
        <v>1</v>
      </c>
      <c r="B281" s="1" t="s">
        <v>2</v>
      </c>
      <c r="C281" s="1">
        <v>42.360599999999998</v>
      </c>
      <c r="D281" s="1">
        <v>-71.010599999999997</v>
      </c>
      <c r="E281" s="5">
        <v>40465</v>
      </c>
      <c r="F281" s="1" t="str">
        <f t="shared" si="4"/>
        <v>October</v>
      </c>
      <c r="G281" s="1">
        <v>60</v>
      </c>
      <c r="H281" s="1">
        <v>66</v>
      </c>
      <c r="I281" s="1" t="str">
        <f>IF(Table1[[#This Row],[Temperature_F]]&lt;32,"Yes","No")</f>
        <v>No</v>
      </c>
      <c r="J281" s="1" t="str" cm="1">
        <f t="array" ref="J2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1" s="1" t="str" cm="1">
        <f t="array" ref="K281">_xlfn.IFS(
H281=0,"No Rain",
H281&lt;10,"Light",
H281&lt;50,"Moderate",
TRUE,"Heavy")</f>
        <v>Heavy</v>
      </c>
      <c r="L281" s="1" t="str">
        <f>IF(Table1[[#This Row],[Precipitation_mm]]&lt;&gt;0,"Wet","Dry")</f>
        <v>Wet</v>
      </c>
      <c r="M281" t="b">
        <f>OR(ISBLANK(Table1[[#This Row],[Temperature_F]]),ISERROR(Table1[[#This Row],[Temperature_F]]))</f>
        <v>0</v>
      </c>
    </row>
    <row r="282" spans="1:13" hidden="1" x14ac:dyDescent="0.25">
      <c r="A282" s="1" t="s">
        <v>1</v>
      </c>
      <c r="B282" s="1" t="s">
        <v>2</v>
      </c>
      <c r="C282" s="1">
        <v>42.360599999999998</v>
      </c>
      <c r="D282" s="1">
        <v>-71.010599999999997</v>
      </c>
      <c r="E282" s="5">
        <v>40466</v>
      </c>
      <c r="F282" s="1" t="str">
        <f t="shared" si="4"/>
        <v>October</v>
      </c>
      <c r="G282" s="1">
        <v>56</v>
      </c>
      <c r="H282" s="1">
        <v>300</v>
      </c>
      <c r="I282" s="1" t="str">
        <f>IF(Table1[[#This Row],[Temperature_F]]&lt;32,"Yes","No")</f>
        <v>No</v>
      </c>
      <c r="J282" s="1" t="str" cm="1">
        <f t="array" ref="J2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2" s="1" t="str" cm="1">
        <f t="array" ref="K282">_xlfn.IFS(
H282=0,"No Rain",
H282&lt;10,"Light",
H282&lt;50,"Moderate",
TRUE,"Heavy")</f>
        <v>Heavy</v>
      </c>
      <c r="L282" s="1" t="str">
        <f>IF(Table1[[#This Row],[Precipitation_mm]]&lt;&gt;0,"Wet","Dry")</f>
        <v>Wet</v>
      </c>
      <c r="M282" t="b">
        <f>OR(ISBLANK(Table1[[#This Row],[Temperature_F]]),ISERROR(Table1[[#This Row],[Temperature_F]]))</f>
        <v>0</v>
      </c>
    </row>
    <row r="283" spans="1:13" hidden="1" x14ac:dyDescent="0.25">
      <c r="A283" s="1" t="s">
        <v>1</v>
      </c>
      <c r="B283" s="1" t="s">
        <v>2</v>
      </c>
      <c r="C283" s="1">
        <v>42.360599999999998</v>
      </c>
      <c r="D283" s="1">
        <v>-71.010599999999997</v>
      </c>
      <c r="E283" s="5">
        <v>40467</v>
      </c>
      <c r="F283" s="1" t="str">
        <f t="shared" si="4"/>
        <v>October</v>
      </c>
      <c r="G283" s="1">
        <v>66</v>
      </c>
      <c r="H283" s="1">
        <v>0</v>
      </c>
      <c r="I283" s="1" t="str">
        <f>IF(Table1[[#This Row],[Temperature_F]]&lt;32,"Yes","No")</f>
        <v>No</v>
      </c>
      <c r="J283" s="1" t="str" cm="1">
        <f t="array" ref="J2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3" s="1" t="str" cm="1">
        <f t="array" ref="K283">_xlfn.IFS(
H283=0,"No Rain",
H283&lt;10,"Light",
H283&lt;50,"Moderate",
TRUE,"Heavy")</f>
        <v>No Rain</v>
      </c>
      <c r="L283" s="1" t="str">
        <f>IF(Table1[[#This Row],[Precipitation_mm]]&lt;&gt;0,"Wet","Dry")</f>
        <v>Dry</v>
      </c>
      <c r="M283" t="b">
        <f>OR(ISBLANK(Table1[[#This Row],[Temperature_F]]),ISERROR(Table1[[#This Row],[Temperature_F]]))</f>
        <v>0</v>
      </c>
    </row>
    <row r="284" spans="1:13" hidden="1" x14ac:dyDescent="0.25">
      <c r="A284" s="1" t="s">
        <v>1</v>
      </c>
      <c r="B284" s="1" t="s">
        <v>2</v>
      </c>
      <c r="C284" s="1">
        <v>42.360599999999998</v>
      </c>
      <c r="D284" s="1">
        <v>-71.010599999999997</v>
      </c>
      <c r="E284" s="5">
        <v>40468</v>
      </c>
      <c r="F284" s="1" t="str">
        <f t="shared" si="4"/>
        <v>October</v>
      </c>
      <c r="G284" s="1">
        <v>54</v>
      </c>
      <c r="H284" s="1">
        <v>0</v>
      </c>
      <c r="I284" s="1" t="str">
        <f>IF(Table1[[#This Row],[Temperature_F]]&lt;32,"Yes","No")</f>
        <v>No</v>
      </c>
      <c r="J284" s="1" t="str" cm="1">
        <f t="array" ref="J2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4" s="1" t="str" cm="1">
        <f t="array" ref="K284">_xlfn.IFS(
H284=0,"No Rain",
H284&lt;10,"Light",
H284&lt;50,"Moderate",
TRUE,"Heavy")</f>
        <v>No Rain</v>
      </c>
      <c r="L284" s="1" t="str">
        <f>IF(Table1[[#This Row],[Precipitation_mm]]&lt;&gt;0,"Wet","Dry")</f>
        <v>Dry</v>
      </c>
      <c r="M284" t="b">
        <f>OR(ISBLANK(Table1[[#This Row],[Temperature_F]]),ISERROR(Table1[[#This Row],[Temperature_F]]))</f>
        <v>0</v>
      </c>
    </row>
    <row r="285" spans="1:13" x14ac:dyDescent="0.25">
      <c r="A285" s="1" t="s">
        <v>1</v>
      </c>
      <c r="B285" s="1" t="s">
        <v>2</v>
      </c>
      <c r="C285" s="1">
        <v>42.360599999999998</v>
      </c>
      <c r="D285" s="1">
        <v>-71.010599999999997</v>
      </c>
      <c r="E285" s="5">
        <v>40469</v>
      </c>
      <c r="F285" s="1" t="str">
        <f t="shared" si="4"/>
        <v>October</v>
      </c>
      <c r="G285" s="1">
        <v>44</v>
      </c>
      <c r="H285" s="1">
        <v>0</v>
      </c>
      <c r="I285" s="1" t="str">
        <f>IF(Table1[[#This Row],[Temperature_F]]&lt;32,"Yes","No")</f>
        <v>No</v>
      </c>
      <c r="J285" s="1" t="str" cm="1">
        <f t="array" ref="J2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85" s="1" t="str" cm="1">
        <f t="array" ref="K285">_xlfn.IFS(
H285=0,"No Rain",
H285&lt;10,"Light",
H285&lt;50,"Moderate",
TRUE,"Heavy")</f>
        <v>No Rain</v>
      </c>
      <c r="L285" s="1" t="str">
        <f>IF(Table1[[#This Row],[Precipitation_mm]]&lt;&gt;0,"Wet","Dry")</f>
        <v>Dry</v>
      </c>
      <c r="M285" t="b">
        <f>OR(ISBLANK(Table1[[#This Row],[Temperature_F]]),ISERROR(Table1[[#This Row],[Temperature_F]]))</f>
        <v>0</v>
      </c>
    </row>
    <row r="286" spans="1:13" hidden="1" x14ac:dyDescent="0.25">
      <c r="A286" s="1" t="s">
        <v>1</v>
      </c>
      <c r="B286" s="1" t="s">
        <v>2</v>
      </c>
      <c r="C286" s="1">
        <v>42.360599999999998</v>
      </c>
      <c r="D286" s="1">
        <v>-71.010599999999997</v>
      </c>
      <c r="E286" s="5">
        <v>40470</v>
      </c>
      <c r="F286" s="1" t="str">
        <f t="shared" si="4"/>
        <v>October</v>
      </c>
      <c r="G286" s="1">
        <v>65</v>
      </c>
      <c r="H286" s="1">
        <v>0</v>
      </c>
      <c r="I286" s="1" t="str">
        <f>IF(Table1[[#This Row],[Temperature_F]]&lt;32,"Yes","No")</f>
        <v>No</v>
      </c>
      <c r="J286" s="1" t="str" cm="1">
        <f t="array" ref="J2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6" s="1" t="str" cm="1">
        <f t="array" ref="K286">_xlfn.IFS(
H286=0,"No Rain",
H286&lt;10,"Light",
H286&lt;50,"Moderate",
TRUE,"Heavy")</f>
        <v>No Rain</v>
      </c>
      <c r="L286" s="1" t="str">
        <f>IF(Table1[[#This Row],[Precipitation_mm]]&lt;&gt;0,"Wet","Dry")</f>
        <v>Dry</v>
      </c>
      <c r="M286" t="b">
        <f>OR(ISBLANK(Table1[[#This Row],[Temperature_F]]),ISERROR(Table1[[#This Row],[Temperature_F]]))</f>
        <v>0</v>
      </c>
    </row>
    <row r="287" spans="1:13" hidden="1" x14ac:dyDescent="0.25">
      <c r="A287" s="1" t="s">
        <v>1</v>
      </c>
      <c r="B287" s="1" t="s">
        <v>2</v>
      </c>
      <c r="C287" s="1">
        <v>42.360599999999998</v>
      </c>
      <c r="D287" s="1">
        <v>-71.010599999999997</v>
      </c>
      <c r="E287" s="5">
        <v>40471</v>
      </c>
      <c r="F287" s="1" t="str">
        <f t="shared" si="4"/>
        <v>October</v>
      </c>
      <c r="G287" s="1">
        <v>65</v>
      </c>
      <c r="H287" s="1">
        <v>0</v>
      </c>
      <c r="I287" s="1" t="str">
        <f>IF(Table1[[#This Row],[Temperature_F]]&lt;32,"Yes","No")</f>
        <v>No</v>
      </c>
      <c r="J287" s="1" t="str" cm="1">
        <f t="array" ref="J2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7" s="1" t="str" cm="1">
        <f t="array" ref="K287">_xlfn.IFS(
H287=0,"No Rain",
H287&lt;10,"Light",
H287&lt;50,"Moderate",
TRUE,"Heavy")</f>
        <v>No Rain</v>
      </c>
      <c r="L287" s="1" t="str">
        <f>IF(Table1[[#This Row],[Precipitation_mm]]&lt;&gt;0,"Wet","Dry")</f>
        <v>Dry</v>
      </c>
      <c r="M287" t="b">
        <f>OR(ISBLANK(Table1[[#This Row],[Temperature_F]]),ISERROR(Table1[[#This Row],[Temperature_F]]))</f>
        <v>0</v>
      </c>
    </row>
    <row r="288" spans="1:13" hidden="1" x14ac:dyDescent="0.25">
      <c r="A288" s="1" t="s">
        <v>1</v>
      </c>
      <c r="B288" s="1" t="s">
        <v>2</v>
      </c>
      <c r="C288" s="1">
        <v>42.360599999999998</v>
      </c>
      <c r="D288" s="1">
        <v>-71.010599999999997</v>
      </c>
      <c r="E288" s="5">
        <v>40472</v>
      </c>
      <c r="F288" s="1" t="str">
        <f t="shared" si="4"/>
        <v>October</v>
      </c>
      <c r="G288" s="1">
        <v>60</v>
      </c>
      <c r="H288" s="1">
        <v>5</v>
      </c>
      <c r="I288" s="1" t="str">
        <f>IF(Table1[[#This Row],[Temperature_F]]&lt;32,"Yes","No")</f>
        <v>No</v>
      </c>
      <c r="J288" s="1" t="str" cm="1">
        <f t="array" ref="J2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88" s="1" t="str" cm="1">
        <f t="array" ref="K288">_xlfn.IFS(
H288=0,"No Rain",
H288&lt;10,"Light",
H288&lt;50,"Moderate",
TRUE,"Heavy")</f>
        <v>Light</v>
      </c>
      <c r="L288" s="1" t="str">
        <f>IF(Table1[[#This Row],[Precipitation_mm]]&lt;&gt;0,"Wet","Dry")</f>
        <v>Wet</v>
      </c>
      <c r="M288" t="b">
        <f>OR(ISBLANK(Table1[[#This Row],[Temperature_F]]),ISERROR(Table1[[#This Row],[Temperature_F]]))</f>
        <v>0</v>
      </c>
    </row>
    <row r="289" spans="1:13" x14ac:dyDescent="0.25">
      <c r="A289" s="1" t="s">
        <v>1</v>
      </c>
      <c r="B289" s="1" t="s">
        <v>2</v>
      </c>
      <c r="C289" s="1">
        <v>42.360599999999998</v>
      </c>
      <c r="D289" s="1">
        <v>-71.010599999999997</v>
      </c>
      <c r="E289" s="5">
        <v>40473</v>
      </c>
      <c r="F289" s="1" t="str">
        <f t="shared" si="4"/>
        <v>October</v>
      </c>
      <c r="G289" s="1">
        <v>48</v>
      </c>
      <c r="H289" s="1">
        <v>0</v>
      </c>
      <c r="I289" s="1" t="str">
        <f>IF(Table1[[#This Row],[Temperature_F]]&lt;32,"Yes","No")</f>
        <v>No</v>
      </c>
      <c r="J289" s="1" t="str" cm="1">
        <f t="array" ref="J2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89" s="1" t="str" cm="1">
        <f t="array" ref="K289">_xlfn.IFS(
H289=0,"No Rain",
H289&lt;10,"Light",
H289&lt;50,"Moderate",
TRUE,"Heavy")</f>
        <v>No Rain</v>
      </c>
      <c r="L289" s="1" t="str">
        <f>IF(Table1[[#This Row],[Precipitation_mm]]&lt;&gt;0,"Wet","Dry")</f>
        <v>Dry</v>
      </c>
      <c r="M289" t="b">
        <f>OR(ISBLANK(Table1[[#This Row],[Temperature_F]]),ISERROR(Table1[[#This Row],[Temperature_F]]))</f>
        <v>0</v>
      </c>
    </row>
    <row r="290" spans="1:13" x14ac:dyDescent="0.25">
      <c r="A290" s="1" t="s">
        <v>1</v>
      </c>
      <c r="B290" s="1" t="s">
        <v>2</v>
      </c>
      <c r="C290" s="1">
        <v>42.360599999999998</v>
      </c>
      <c r="D290" s="1">
        <v>-71.010599999999997</v>
      </c>
      <c r="E290" s="5">
        <v>40474</v>
      </c>
      <c r="F290" s="1" t="str">
        <f t="shared" si="4"/>
        <v>October</v>
      </c>
      <c r="G290" s="1">
        <v>45</v>
      </c>
      <c r="H290" s="1">
        <v>0</v>
      </c>
      <c r="I290" s="1" t="str">
        <f>IF(Table1[[#This Row],[Temperature_F]]&lt;32,"Yes","No")</f>
        <v>No</v>
      </c>
      <c r="J290" s="1" t="str" cm="1">
        <f t="array" ref="J2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90" s="1" t="str" cm="1">
        <f t="array" ref="K290">_xlfn.IFS(
H290=0,"No Rain",
H290&lt;10,"Light",
H290&lt;50,"Moderate",
TRUE,"Heavy")</f>
        <v>No Rain</v>
      </c>
      <c r="L290" s="1" t="str">
        <f>IF(Table1[[#This Row],[Precipitation_mm]]&lt;&gt;0,"Wet","Dry")</f>
        <v>Dry</v>
      </c>
      <c r="M290" t="b">
        <f>OR(ISBLANK(Table1[[#This Row],[Temperature_F]]),ISERROR(Table1[[#This Row],[Temperature_F]]))</f>
        <v>0</v>
      </c>
    </row>
    <row r="291" spans="1:13" x14ac:dyDescent="0.25">
      <c r="A291" s="1" t="s">
        <v>1</v>
      </c>
      <c r="B291" s="1" t="s">
        <v>2</v>
      </c>
      <c r="C291" s="1">
        <v>42.360599999999998</v>
      </c>
      <c r="D291" s="1">
        <v>-71.010599999999997</v>
      </c>
      <c r="E291" s="5">
        <v>40475</v>
      </c>
      <c r="F291" s="1" t="str">
        <f t="shared" si="4"/>
        <v>October</v>
      </c>
      <c r="G291" s="1">
        <v>41</v>
      </c>
      <c r="H291" s="1">
        <v>3</v>
      </c>
      <c r="I291" s="1" t="str">
        <f>IF(Table1[[#This Row],[Temperature_F]]&lt;32,"Yes","No")</f>
        <v>No</v>
      </c>
      <c r="J291" s="1" t="str" cm="1">
        <f t="array" ref="J2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91" s="1" t="str" cm="1">
        <f t="array" ref="K291">_xlfn.IFS(
H291=0,"No Rain",
H291&lt;10,"Light",
H291&lt;50,"Moderate",
TRUE,"Heavy")</f>
        <v>Light</v>
      </c>
      <c r="L291" s="1" t="str">
        <f>IF(Table1[[#This Row],[Precipitation_mm]]&lt;&gt;0,"Wet","Dry")</f>
        <v>Wet</v>
      </c>
      <c r="M291" t="b">
        <f>OR(ISBLANK(Table1[[#This Row],[Temperature_F]]),ISERROR(Table1[[#This Row],[Temperature_F]]))</f>
        <v>0</v>
      </c>
    </row>
    <row r="292" spans="1:13" hidden="1" x14ac:dyDescent="0.25">
      <c r="A292" s="1" t="s">
        <v>1</v>
      </c>
      <c r="B292" s="1" t="s">
        <v>2</v>
      </c>
      <c r="C292" s="1">
        <v>42.360599999999998</v>
      </c>
      <c r="D292" s="1">
        <v>-71.010599999999997</v>
      </c>
      <c r="E292" s="5">
        <v>40476</v>
      </c>
      <c r="F292" s="1" t="str">
        <f t="shared" si="4"/>
        <v>October</v>
      </c>
      <c r="G292" s="1">
        <v>56</v>
      </c>
      <c r="H292" s="1">
        <v>3</v>
      </c>
      <c r="I292" s="1" t="str">
        <f>IF(Table1[[#This Row],[Temperature_F]]&lt;32,"Yes","No")</f>
        <v>No</v>
      </c>
      <c r="J292" s="1" t="str" cm="1">
        <f t="array" ref="J2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92" s="1" t="str" cm="1">
        <f t="array" ref="K292">_xlfn.IFS(
H292=0,"No Rain",
H292&lt;10,"Light",
H292&lt;50,"Moderate",
TRUE,"Heavy")</f>
        <v>Light</v>
      </c>
      <c r="L292" s="1" t="str">
        <f>IF(Table1[[#This Row],[Precipitation_mm]]&lt;&gt;0,"Wet","Dry")</f>
        <v>Wet</v>
      </c>
      <c r="M292" t="b">
        <f>OR(ISBLANK(Table1[[#This Row],[Temperature_F]]),ISERROR(Table1[[#This Row],[Temperature_F]]))</f>
        <v>0</v>
      </c>
    </row>
    <row r="293" spans="1:13" hidden="1" x14ac:dyDescent="0.25">
      <c r="A293" s="1" t="s">
        <v>1</v>
      </c>
      <c r="B293" s="1" t="s">
        <v>2</v>
      </c>
      <c r="C293" s="1">
        <v>42.360599999999998</v>
      </c>
      <c r="D293" s="1">
        <v>-71.010599999999997</v>
      </c>
      <c r="E293" s="5">
        <v>40477</v>
      </c>
      <c r="F293" s="1" t="str">
        <f t="shared" si="4"/>
        <v>October</v>
      </c>
      <c r="G293" s="1">
        <v>56</v>
      </c>
      <c r="H293" s="1">
        <v>0</v>
      </c>
      <c r="I293" s="1" t="str">
        <f>IF(Table1[[#This Row],[Temperature_F]]&lt;32,"Yes","No")</f>
        <v>No</v>
      </c>
      <c r="J293" s="1" t="str" cm="1">
        <f t="array" ref="J2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93" s="1" t="str" cm="1">
        <f t="array" ref="K293">_xlfn.IFS(
H293=0,"No Rain",
H293&lt;10,"Light",
H293&lt;50,"Moderate",
TRUE,"Heavy")</f>
        <v>No Rain</v>
      </c>
      <c r="L293" s="1" t="str">
        <f>IF(Table1[[#This Row],[Precipitation_mm]]&lt;&gt;0,"Wet","Dry")</f>
        <v>Dry</v>
      </c>
      <c r="M293" t="b">
        <f>OR(ISBLANK(Table1[[#This Row],[Temperature_F]]),ISERROR(Table1[[#This Row],[Temperature_F]]))</f>
        <v>0</v>
      </c>
    </row>
    <row r="294" spans="1:13" hidden="1" x14ac:dyDescent="0.25">
      <c r="A294" s="1" t="s">
        <v>1</v>
      </c>
      <c r="B294" s="1" t="s">
        <v>2</v>
      </c>
      <c r="C294" s="1">
        <v>42.360599999999998</v>
      </c>
      <c r="D294" s="1">
        <v>-71.010599999999997</v>
      </c>
      <c r="E294" s="5">
        <v>40478</v>
      </c>
      <c r="F294" s="1" t="str">
        <f t="shared" si="4"/>
        <v>October</v>
      </c>
      <c r="G294" s="1">
        <v>58</v>
      </c>
      <c r="H294" s="1">
        <v>33</v>
      </c>
      <c r="I294" s="1" t="str">
        <f>IF(Table1[[#This Row],[Temperature_F]]&lt;32,"Yes","No")</f>
        <v>No</v>
      </c>
      <c r="J294" s="1" t="str" cm="1">
        <f t="array" ref="J2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94" s="1" t="str" cm="1">
        <f t="array" ref="K294">_xlfn.IFS(
H294=0,"No Rain",
H294&lt;10,"Light",
H294&lt;50,"Moderate",
TRUE,"Heavy")</f>
        <v>Moderate</v>
      </c>
      <c r="L294" s="1" t="str">
        <f>IF(Table1[[#This Row],[Precipitation_mm]]&lt;&gt;0,"Wet","Dry")</f>
        <v>Wet</v>
      </c>
      <c r="M294" t="b">
        <f>OR(ISBLANK(Table1[[#This Row],[Temperature_F]]),ISERROR(Table1[[#This Row],[Temperature_F]]))</f>
        <v>0</v>
      </c>
    </row>
    <row r="295" spans="1:13" hidden="1" x14ac:dyDescent="0.25">
      <c r="A295" s="1" t="s">
        <v>1</v>
      </c>
      <c r="B295" s="1" t="s">
        <v>2</v>
      </c>
      <c r="C295" s="1">
        <v>42.360599999999998</v>
      </c>
      <c r="D295" s="1">
        <v>-71.010599999999997</v>
      </c>
      <c r="E295" s="5">
        <v>40479</v>
      </c>
      <c r="F295" s="1" t="str">
        <f t="shared" si="4"/>
        <v>October</v>
      </c>
      <c r="G295" s="1">
        <v>62</v>
      </c>
      <c r="H295" s="1">
        <v>0</v>
      </c>
      <c r="I295" s="1" t="str">
        <f>IF(Table1[[#This Row],[Temperature_F]]&lt;32,"Yes","No")</f>
        <v>No</v>
      </c>
      <c r="J295" s="1" t="str" cm="1">
        <f t="array" ref="J2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95" s="1" t="str" cm="1">
        <f t="array" ref="K295">_xlfn.IFS(
H295=0,"No Rain",
H295&lt;10,"Light",
H295&lt;50,"Moderate",
TRUE,"Heavy")</f>
        <v>No Rain</v>
      </c>
      <c r="L295" s="1" t="str">
        <f>IF(Table1[[#This Row],[Precipitation_mm]]&lt;&gt;0,"Wet","Dry")</f>
        <v>Dry</v>
      </c>
      <c r="M295" t="b">
        <f>OR(ISBLANK(Table1[[#This Row],[Temperature_F]]),ISERROR(Table1[[#This Row],[Temperature_F]]))</f>
        <v>0</v>
      </c>
    </row>
    <row r="296" spans="1:13" x14ac:dyDescent="0.25">
      <c r="A296" s="1" t="s">
        <v>1</v>
      </c>
      <c r="B296" s="1" t="s">
        <v>2</v>
      </c>
      <c r="C296" s="1">
        <v>42.360599999999998</v>
      </c>
      <c r="D296" s="1">
        <v>-71.010599999999997</v>
      </c>
      <c r="E296" s="5">
        <v>40480</v>
      </c>
      <c r="F296" s="1" t="str">
        <f t="shared" si="4"/>
        <v>October</v>
      </c>
      <c r="G296" s="1">
        <v>50</v>
      </c>
      <c r="H296" s="1">
        <v>0</v>
      </c>
      <c r="I296" s="1" t="str">
        <f>IF(Table1[[#This Row],[Temperature_F]]&lt;32,"Yes","No")</f>
        <v>No</v>
      </c>
      <c r="J296" s="1" t="str" cm="1">
        <f t="array" ref="J2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96" s="1" t="str" cm="1">
        <f t="array" ref="K296">_xlfn.IFS(
H296=0,"No Rain",
H296&lt;10,"Light",
H296&lt;50,"Moderate",
TRUE,"Heavy")</f>
        <v>No Rain</v>
      </c>
      <c r="L296" s="1" t="str">
        <f>IF(Table1[[#This Row],[Precipitation_mm]]&lt;&gt;0,"Wet","Dry")</f>
        <v>Dry</v>
      </c>
      <c r="M296" t="b">
        <f>OR(ISBLANK(Table1[[#This Row],[Temperature_F]]),ISERROR(Table1[[#This Row],[Temperature_F]]))</f>
        <v>0</v>
      </c>
    </row>
    <row r="297" spans="1:13" x14ac:dyDescent="0.25">
      <c r="A297" s="1" t="s">
        <v>1</v>
      </c>
      <c r="B297" s="1" t="s">
        <v>2</v>
      </c>
      <c r="C297" s="1">
        <v>42.360599999999998</v>
      </c>
      <c r="D297" s="1">
        <v>-71.010599999999997</v>
      </c>
      <c r="E297" s="5">
        <v>40481</v>
      </c>
      <c r="F297" s="1" t="str">
        <f t="shared" si="4"/>
        <v>October</v>
      </c>
      <c r="G297" s="1">
        <v>42</v>
      </c>
      <c r="H297" s="1">
        <v>0</v>
      </c>
      <c r="I297" s="1" t="str">
        <f>IF(Table1[[#This Row],[Temperature_F]]&lt;32,"Yes","No")</f>
        <v>No</v>
      </c>
      <c r="J297" s="1" t="str" cm="1">
        <f t="array" ref="J2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297" s="1" t="str" cm="1">
        <f t="array" ref="K297">_xlfn.IFS(
H297=0,"No Rain",
H297&lt;10,"Light",
H297&lt;50,"Moderate",
TRUE,"Heavy")</f>
        <v>No Rain</v>
      </c>
      <c r="L297" s="1" t="str">
        <f>IF(Table1[[#This Row],[Precipitation_mm]]&lt;&gt;0,"Wet","Dry")</f>
        <v>Dry</v>
      </c>
      <c r="M297" t="b">
        <f>OR(ISBLANK(Table1[[#This Row],[Temperature_F]]),ISERROR(Table1[[#This Row],[Temperature_F]]))</f>
        <v>0</v>
      </c>
    </row>
    <row r="298" spans="1:13" hidden="1" x14ac:dyDescent="0.25">
      <c r="A298" s="1" t="s">
        <v>1</v>
      </c>
      <c r="B298" s="1" t="s">
        <v>2</v>
      </c>
      <c r="C298" s="1">
        <v>42.360599999999998</v>
      </c>
      <c r="D298" s="1">
        <v>-71.010599999999997</v>
      </c>
      <c r="E298" s="5">
        <v>40482</v>
      </c>
      <c r="F298" s="1" t="str">
        <f t="shared" si="4"/>
        <v>October</v>
      </c>
      <c r="G298" s="1">
        <v>55</v>
      </c>
      <c r="H298" s="1">
        <v>0</v>
      </c>
      <c r="I298" s="1" t="str">
        <f>IF(Table1[[#This Row],[Temperature_F]]&lt;32,"Yes","No")</f>
        <v>No</v>
      </c>
      <c r="J298" s="1" t="str" cm="1">
        <f t="array" ref="J2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98" s="1" t="str" cm="1">
        <f t="array" ref="K298">_xlfn.IFS(
H298=0,"No Rain",
H298&lt;10,"Light",
H298&lt;50,"Moderate",
TRUE,"Heavy")</f>
        <v>No Rain</v>
      </c>
      <c r="L298" s="1" t="str">
        <f>IF(Table1[[#This Row],[Precipitation_mm]]&lt;&gt;0,"Wet","Dry")</f>
        <v>Dry</v>
      </c>
      <c r="M298" t="b">
        <f>OR(ISBLANK(Table1[[#This Row],[Temperature_F]]),ISERROR(Table1[[#This Row],[Temperature_F]]))</f>
        <v>0</v>
      </c>
    </row>
    <row r="299" spans="1:13" hidden="1" x14ac:dyDescent="0.25">
      <c r="A299" s="1" t="s">
        <v>1</v>
      </c>
      <c r="B299" s="1" t="s">
        <v>2</v>
      </c>
      <c r="C299" s="1">
        <v>42.360599999999998</v>
      </c>
      <c r="D299" s="1">
        <v>-71.010599999999997</v>
      </c>
      <c r="E299" s="5">
        <v>40483</v>
      </c>
      <c r="F299" s="1" t="str">
        <f t="shared" si="4"/>
        <v>November</v>
      </c>
      <c r="G299" s="1">
        <v>55</v>
      </c>
      <c r="H299" s="1">
        <v>0</v>
      </c>
      <c r="I299" s="1" t="str">
        <f>IF(Table1[[#This Row],[Temperature_F]]&lt;32,"Yes","No")</f>
        <v>No</v>
      </c>
      <c r="J299" s="1" t="str" cm="1">
        <f t="array" ref="J2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299" s="1" t="str" cm="1">
        <f t="array" ref="K299">_xlfn.IFS(
H299=0,"No Rain",
H299&lt;10,"Light",
H299&lt;50,"Moderate",
TRUE,"Heavy")</f>
        <v>No Rain</v>
      </c>
      <c r="L299" s="1" t="str">
        <f>IF(Table1[[#This Row],[Precipitation_mm]]&lt;&gt;0,"Wet","Dry")</f>
        <v>Dry</v>
      </c>
      <c r="M299" t="b">
        <f>OR(ISBLANK(Table1[[#This Row],[Temperature_F]]),ISERROR(Table1[[#This Row],[Temperature_F]]))</f>
        <v>0</v>
      </c>
    </row>
    <row r="300" spans="1:13" x14ac:dyDescent="0.25">
      <c r="A300" s="1" t="s">
        <v>1</v>
      </c>
      <c r="B300" s="1" t="s">
        <v>2</v>
      </c>
      <c r="C300" s="1">
        <v>42.360599999999998</v>
      </c>
      <c r="D300" s="1">
        <v>-71.010599999999997</v>
      </c>
      <c r="E300" s="5">
        <v>40484</v>
      </c>
      <c r="F300" s="1" t="str">
        <f t="shared" si="4"/>
        <v>November</v>
      </c>
      <c r="G300" s="1">
        <v>49</v>
      </c>
      <c r="H300" s="1">
        <v>0</v>
      </c>
      <c r="I300" s="1" t="str">
        <f>IF(Table1[[#This Row],[Temperature_F]]&lt;32,"Yes","No")</f>
        <v>No</v>
      </c>
      <c r="J300" s="1" t="str" cm="1">
        <f t="array" ref="J3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00" s="1" t="str" cm="1">
        <f t="array" ref="K300">_xlfn.IFS(
H300=0,"No Rain",
H300&lt;10,"Light",
H300&lt;50,"Moderate",
TRUE,"Heavy")</f>
        <v>No Rain</v>
      </c>
      <c r="L300" s="1" t="str">
        <f>IF(Table1[[#This Row],[Precipitation_mm]]&lt;&gt;0,"Wet","Dry")</f>
        <v>Dry</v>
      </c>
      <c r="M300" t="b">
        <f>OR(ISBLANK(Table1[[#This Row],[Temperature_F]]),ISERROR(Table1[[#This Row],[Temperature_F]]))</f>
        <v>0</v>
      </c>
    </row>
    <row r="301" spans="1:13" hidden="1" x14ac:dyDescent="0.25">
      <c r="A301" s="1" t="s">
        <v>1</v>
      </c>
      <c r="B301" s="1" t="s">
        <v>2</v>
      </c>
      <c r="C301" s="1">
        <v>42.360599999999998</v>
      </c>
      <c r="D301" s="1">
        <v>-71.010599999999997</v>
      </c>
      <c r="E301" s="5">
        <v>40485</v>
      </c>
      <c r="F301" s="1" t="str">
        <f t="shared" si="4"/>
        <v>November</v>
      </c>
      <c r="G301" s="1">
        <v>68</v>
      </c>
      <c r="H301" s="1">
        <v>0</v>
      </c>
      <c r="I301" s="1" t="str">
        <f>IF(Table1[[#This Row],[Temperature_F]]&lt;32,"Yes","No")</f>
        <v>No</v>
      </c>
      <c r="J301" s="1" t="str" cm="1">
        <f t="array" ref="J3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1" s="1" t="str" cm="1">
        <f t="array" ref="K301">_xlfn.IFS(
H301=0,"No Rain",
H301&lt;10,"Light",
H301&lt;50,"Moderate",
TRUE,"Heavy")</f>
        <v>No Rain</v>
      </c>
      <c r="L301" s="1" t="str">
        <f>IF(Table1[[#This Row],[Precipitation_mm]]&lt;&gt;0,"Wet","Dry")</f>
        <v>Dry</v>
      </c>
      <c r="M301" t="b">
        <f>OR(ISBLANK(Table1[[#This Row],[Temperature_F]]),ISERROR(Table1[[#This Row],[Temperature_F]]))</f>
        <v>0</v>
      </c>
    </row>
    <row r="302" spans="1:13" x14ac:dyDescent="0.25">
      <c r="A302" s="1" t="s">
        <v>1</v>
      </c>
      <c r="B302" s="1" t="s">
        <v>2</v>
      </c>
      <c r="C302" s="1">
        <v>42.360599999999998</v>
      </c>
      <c r="D302" s="1">
        <v>-71.010599999999997</v>
      </c>
      <c r="E302" s="5">
        <v>40486</v>
      </c>
      <c r="F302" s="1" t="str">
        <f t="shared" si="4"/>
        <v>November</v>
      </c>
      <c r="G302" s="1">
        <v>48</v>
      </c>
      <c r="H302" s="1">
        <v>198</v>
      </c>
      <c r="I302" s="1" t="str">
        <f>IF(Table1[[#This Row],[Temperature_F]]&lt;32,"Yes","No")</f>
        <v>No</v>
      </c>
      <c r="J302" s="1" t="str" cm="1">
        <f t="array" ref="J3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02" s="1" t="str" cm="1">
        <f t="array" ref="K302">_xlfn.IFS(
H302=0,"No Rain",
H302&lt;10,"Light",
H302&lt;50,"Moderate",
TRUE,"Heavy")</f>
        <v>Heavy</v>
      </c>
      <c r="L302" s="1" t="str">
        <f>IF(Table1[[#This Row],[Precipitation_mm]]&lt;&gt;0,"Wet","Dry")</f>
        <v>Wet</v>
      </c>
      <c r="M302" t="b">
        <f>OR(ISBLANK(Table1[[#This Row],[Temperature_F]]),ISERROR(Table1[[#This Row],[Temperature_F]]))</f>
        <v>0</v>
      </c>
    </row>
    <row r="303" spans="1:13" hidden="1" x14ac:dyDescent="0.25">
      <c r="A303" s="1" t="s">
        <v>1</v>
      </c>
      <c r="B303" s="1" t="s">
        <v>2</v>
      </c>
      <c r="C303" s="1">
        <v>42.360599999999998</v>
      </c>
      <c r="D303" s="1">
        <v>-71.010599999999997</v>
      </c>
      <c r="E303" s="5">
        <v>40487</v>
      </c>
      <c r="F303" s="1" t="str">
        <f t="shared" si="4"/>
        <v>November</v>
      </c>
      <c r="G303" s="1">
        <v>58</v>
      </c>
      <c r="H303" s="1">
        <v>97</v>
      </c>
      <c r="I303" s="1" t="str">
        <f>IF(Table1[[#This Row],[Temperature_F]]&lt;32,"Yes","No")</f>
        <v>No</v>
      </c>
      <c r="J303" s="1" t="str" cm="1">
        <f t="array" ref="J3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3" s="1" t="str" cm="1">
        <f t="array" ref="K303">_xlfn.IFS(
H303=0,"No Rain",
H303&lt;10,"Light",
H303&lt;50,"Moderate",
TRUE,"Heavy")</f>
        <v>Heavy</v>
      </c>
      <c r="L303" s="1" t="str">
        <f>IF(Table1[[#This Row],[Precipitation_mm]]&lt;&gt;0,"Wet","Dry")</f>
        <v>Wet</v>
      </c>
      <c r="M303" t="b">
        <f>OR(ISBLANK(Table1[[#This Row],[Temperature_F]]),ISERROR(Table1[[#This Row],[Temperature_F]]))</f>
        <v>0</v>
      </c>
    </row>
    <row r="304" spans="1:13" hidden="1" x14ac:dyDescent="0.25">
      <c r="A304" s="1" t="s">
        <v>1</v>
      </c>
      <c r="B304" s="1" t="s">
        <v>2</v>
      </c>
      <c r="C304" s="1">
        <v>42.360599999999998</v>
      </c>
      <c r="D304" s="1">
        <v>-71.010599999999997</v>
      </c>
      <c r="E304" s="5">
        <v>40488</v>
      </c>
      <c r="F304" s="1" t="str">
        <f t="shared" si="4"/>
        <v>November</v>
      </c>
      <c r="G304" s="1">
        <v>59</v>
      </c>
      <c r="H304" s="1">
        <v>0</v>
      </c>
      <c r="I304" s="1" t="str">
        <f>IF(Table1[[#This Row],[Temperature_F]]&lt;32,"Yes","No")</f>
        <v>No</v>
      </c>
      <c r="J304" s="1" t="str" cm="1">
        <f t="array" ref="J3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4" s="1" t="str" cm="1">
        <f t="array" ref="K304">_xlfn.IFS(
H304=0,"No Rain",
H304&lt;10,"Light",
H304&lt;50,"Moderate",
TRUE,"Heavy")</f>
        <v>No Rain</v>
      </c>
      <c r="L304" s="1" t="str">
        <f>IF(Table1[[#This Row],[Precipitation_mm]]&lt;&gt;0,"Wet","Dry")</f>
        <v>Dry</v>
      </c>
      <c r="M304" t="b">
        <f>OR(ISBLANK(Table1[[#This Row],[Temperature_F]]),ISERROR(Table1[[#This Row],[Temperature_F]]))</f>
        <v>0</v>
      </c>
    </row>
    <row r="305" spans="1:13" hidden="1" x14ac:dyDescent="0.25">
      <c r="A305" s="1" t="s">
        <v>1</v>
      </c>
      <c r="B305" s="1" t="s">
        <v>2</v>
      </c>
      <c r="C305" s="1">
        <v>42.360599999999998</v>
      </c>
      <c r="D305" s="1">
        <v>-71.010599999999997</v>
      </c>
      <c r="E305" s="5">
        <v>40489</v>
      </c>
      <c r="F305" s="1" t="str">
        <f t="shared" si="4"/>
        <v>November</v>
      </c>
      <c r="G305" s="1">
        <v>57</v>
      </c>
      <c r="H305" s="1">
        <v>36</v>
      </c>
      <c r="I305" s="1" t="str">
        <f>IF(Table1[[#This Row],[Temperature_F]]&lt;32,"Yes","No")</f>
        <v>No</v>
      </c>
      <c r="J305" s="1" t="str" cm="1">
        <f t="array" ref="J3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5" s="1" t="str" cm="1">
        <f t="array" ref="K305">_xlfn.IFS(
H305=0,"No Rain",
H305&lt;10,"Light",
H305&lt;50,"Moderate",
TRUE,"Heavy")</f>
        <v>Moderate</v>
      </c>
      <c r="L305" s="1" t="str">
        <f>IF(Table1[[#This Row],[Precipitation_mm]]&lt;&gt;0,"Wet","Dry")</f>
        <v>Wet</v>
      </c>
      <c r="M305" t="b">
        <f>OR(ISBLANK(Table1[[#This Row],[Temperature_F]]),ISERROR(Table1[[#This Row],[Temperature_F]]))</f>
        <v>0</v>
      </c>
    </row>
    <row r="306" spans="1:13" hidden="1" x14ac:dyDescent="0.25">
      <c r="A306" s="1" t="s">
        <v>1</v>
      </c>
      <c r="B306" s="1" t="s">
        <v>2</v>
      </c>
      <c r="C306" s="1">
        <v>42.360599999999998</v>
      </c>
      <c r="D306" s="1">
        <v>-71.010599999999997</v>
      </c>
      <c r="E306" s="5">
        <v>40490</v>
      </c>
      <c r="F306" s="1" t="str">
        <f t="shared" si="4"/>
        <v>November</v>
      </c>
      <c r="G306" s="1">
        <v>52</v>
      </c>
      <c r="H306" s="1">
        <v>109</v>
      </c>
      <c r="I306" s="1" t="str">
        <f>IF(Table1[[#This Row],[Temperature_F]]&lt;32,"Yes","No")</f>
        <v>No</v>
      </c>
      <c r="J306" s="1" t="str" cm="1">
        <f t="array" ref="J3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6" s="1" t="str" cm="1">
        <f t="array" ref="K306">_xlfn.IFS(
H306=0,"No Rain",
H306&lt;10,"Light",
H306&lt;50,"Moderate",
TRUE,"Heavy")</f>
        <v>Heavy</v>
      </c>
      <c r="L306" s="1" t="str">
        <f>IF(Table1[[#This Row],[Precipitation_mm]]&lt;&gt;0,"Wet","Dry")</f>
        <v>Wet</v>
      </c>
      <c r="M306" t="b">
        <f>OR(ISBLANK(Table1[[#This Row],[Temperature_F]]),ISERROR(Table1[[#This Row],[Temperature_F]]))</f>
        <v>0</v>
      </c>
    </row>
    <row r="307" spans="1:13" hidden="1" x14ac:dyDescent="0.25">
      <c r="A307" s="1" t="s">
        <v>1</v>
      </c>
      <c r="B307" s="1" t="s">
        <v>2</v>
      </c>
      <c r="C307" s="1">
        <v>42.360599999999998</v>
      </c>
      <c r="D307" s="1">
        <v>-71.010599999999997</v>
      </c>
      <c r="E307" s="5">
        <v>40491</v>
      </c>
      <c r="F307" s="1" t="str">
        <f t="shared" si="4"/>
        <v>November</v>
      </c>
      <c r="G307" s="1">
        <v>69</v>
      </c>
      <c r="H307" s="1">
        <v>15</v>
      </c>
      <c r="I307" s="1" t="str">
        <f>IF(Table1[[#This Row],[Temperature_F]]&lt;32,"Yes","No")</f>
        <v>No</v>
      </c>
      <c r="J307" s="1" t="str" cm="1">
        <f t="array" ref="J3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307" s="1" t="str" cm="1">
        <f t="array" ref="K307">_xlfn.IFS(
H307=0,"No Rain",
H307&lt;10,"Light",
H307&lt;50,"Moderate",
TRUE,"Heavy")</f>
        <v>Moderate</v>
      </c>
      <c r="L307" s="1" t="str">
        <f>IF(Table1[[#This Row],[Precipitation_mm]]&lt;&gt;0,"Wet","Dry")</f>
        <v>Wet</v>
      </c>
      <c r="M307" t="b">
        <f>OR(ISBLANK(Table1[[#This Row],[Temperature_F]]),ISERROR(Table1[[#This Row],[Temperature_F]]))</f>
        <v>0</v>
      </c>
    </row>
    <row r="308" spans="1:13" hidden="1" x14ac:dyDescent="0.25">
      <c r="A308" s="1" t="s">
        <v>1</v>
      </c>
      <c r="B308" s="1" t="s">
        <v>2</v>
      </c>
      <c r="C308" s="1">
        <v>42.360599999999998</v>
      </c>
      <c r="D308" s="1">
        <v>-71.010599999999997</v>
      </c>
      <c r="E308" s="5">
        <v>40492</v>
      </c>
      <c r="F308" s="1" t="str">
        <f t="shared" si="4"/>
        <v>November</v>
      </c>
      <c r="G308" s="1">
        <v>59</v>
      </c>
      <c r="H308" s="1">
        <v>18</v>
      </c>
      <c r="I308" s="1" t="str">
        <f>IF(Table1[[#This Row],[Temperature_F]]&lt;32,"Yes","No")</f>
        <v>No</v>
      </c>
      <c r="J308" s="1" t="str" cm="1">
        <f t="array" ref="J3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8" s="1" t="str" cm="1">
        <f t="array" ref="K308">_xlfn.IFS(
H308=0,"No Rain",
H308&lt;10,"Light",
H308&lt;50,"Moderate",
TRUE,"Heavy")</f>
        <v>Moderate</v>
      </c>
      <c r="L308" s="1" t="str">
        <f>IF(Table1[[#This Row],[Precipitation_mm]]&lt;&gt;0,"Wet","Dry")</f>
        <v>Wet</v>
      </c>
      <c r="M308" t="b">
        <f>OR(ISBLANK(Table1[[#This Row],[Temperature_F]]),ISERROR(Table1[[#This Row],[Temperature_F]]))</f>
        <v>0</v>
      </c>
    </row>
    <row r="309" spans="1:13" hidden="1" x14ac:dyDescent="0.25">
      <c r="A309" s="1" t="s">
        <v>1</v>
      </c>
      <c r="B309" s="1" t="s">
        <v>2</v>
      </c>
      <c r="C309" s="1">
        <v>42.360599999999998</v>
      </c>
      <c r="D309" s="1">
        <v>-71.010599999999997</v>
      </c>
      <c r="E309" s="5">
        <v>40493</v>
      </c>
      <c r="F309" s="1" t="str">
        <f t="shared" si="4"/>
        <v>November</v>
      </c>
      <c r="G309" s="1">
        <v>54</v>
      </c>
      <c r="H309" s="1">
        <v>0</v>
      </c>
      <c r="I309" s="1" t="str">
        <f>IF(Table1[[#This Row],[Temperature_F]]&lt;32,"Yes","No")</f>
        <v>No</v>
      </c>
      <c r="J309" s="1" t="str" cm="1">
        <f t="array" ref="J3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09" s="1" t="str" cm="1">
        <f t="array" ref="K309">_xlfn.IFS(
H309=0,"No Rain",
H309&lt;10,"Light",
H309&lt;50,"Moderate",
TRUE,"Heavy")</f>
        <v>No Rain</v>
      </c>
      <c r="L309" s="1" t="str">
        <f>IF(Table1[[#This Row],[Precipitation_mm]]&lt;&gt;0,"Wet","Dry")</f>
        <v>Dry</v>
      </c>
      <c r="M309" t="b">
        <f>OR(ISBLANK(Table1[[#This Row],[Temperature_F]]),ISERROR(Table1[[#This Row],[Temperature_F]]))</f>
        <v>0</v>
      </c>
    </row>
    <row r="310" spans="1:13" x14ac:dyDescent="0.25">
      <c r="A310" s="1" t="s">
        <v>1</v>
      </c>
      <c r="B310" s="1" t="s">
        <v>2</v>
      </c>
      <c r="C310" s="1">
        <v>42.360599999999998</v>
      </c>
      <c r="D310" s="1">
        <v>-71.010599999999997</v>
      </c>
      <c r="E310" s="5">
        <v>40494</v>
      </c>
      <c r="F310" s="1" t="str">
        <f t="shared" si="4"/>
        <v>November</v>
      </c>
      <c r="G310" s="1">
        <v>50</v>
      </c>
      <c r="H310" s="1">
        <v>0</v>
      </c>
      <c r="I310" s="1" t="str">
        <f>IF(Table1[[#This Row],[Temperature_F]]&lt;32,"Yes","No")</f>
        <v>No</v>
      </c>
      <c r="J310" s="1" t="str" cm="1">
        <f t="array" ref="J3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10" s="1" t="str" cm="1">
        <f t="array" ref="K310">_xlfn.IFS(
H310=0,"No Rain",
H310&lt;10,"Light",
H310&lt;50,"Moderate",
TRUE,"Heavy")</f>
        <v>No Rain</v>
      </c>
      <c r="L310" s="1" t="str">
        <f>IF(Table1[[#This Row],[Precipitation_mm]]&lt;&gt;0,"Wet","Dry")</f>
        <v>Dry</v>
      </c>
      <c r="M310" t="b">
        <f>OR(ISBLANK(Table1[[#This Row],[Temperature_F]]),ISERROR(Table1[[#This Row],[Temperature_F]]))</f>
        <v>0</v>
      </c>
    </row>
    <row r="311" spans="1:13" x14ac:dyDescent="0.25">
      <c r="A311" s="1" t="s">
        <v>1</v>
      </c>
      <c r="B311" s="1" t="s">
        <v>2</v>
      </c>
      <c r="C311" s="1">
        <v>42.360599999999998</v>
      </c>
      <c r="D311" s="1">
        <v>-71.010599999999997</v>
      </c>
      <c r="E311" s="5">
        <v>40495</v>
      </c>
      <c r="F311" s="1" t="str">
        <f t="shared" si="4"/>
        <v>November</v>
      </c>
      <c r="G311" s="1">
        <v>40</v>
      </c>
      <c r="H311" s="1">
        <v>0</v>
      </c>
      <c r="I311" s="1" t="str">
        <f>IF(Table1[[#This Row],[Temperature_F]]&lt;32,"Yes","No")</f>
        <v>No</v>
      </c>
      <c r="J311" s="1" t="str" cm="1">
        <f t="array" ref="J3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11" s="1" t="str" cm="1">
        <f t="array" ref="K311">_xlfn.IFS(
H311=0,"No Rain",
H311&lt;10,"Light",
H311&lt;50,"Moderate",
TRUE,"Heavy")</f>
        <v>No Rain</v>
      </c>
      <c r="L311" s="1" t="str">
        <f>IF(Table1[[#This Row],[Precipitation_mm]]&lt;&gt;0,"Wet","Dry")</f>
        <v>Dry</v>
      </c>
      <c r="M311" t="b">
        <f>OR(ISBLANK(Table1[[#This Row],[Temperature_F]]),ISERROR(Table1[[#This Row],[Temperature_F]]))</f>
        <v>0</v>
      </c>
    </row>
    <row r="312" spans="1:13" x14ac:dyDescent="0.25">
      <c r="A312" s="1" t="s">
        <v>1</v>
      </c>
      <c r="B312" s="1" t="s">
        <v>2</v>
      </c>
      <c r="C312" s="1">
        <v>42.360599999999998</v>
      </c>
      <c r="D312" s="1">
        <v>-71.010599999999997</v>
      </c>
      <c r="E312" s="5">
        <v>40496</v>
      </c>
      <c r="F312" s="1" t="str">
        <f t="shared" si="4"/>
        <v>November</v>
      </c>
      <c r="G312" s="1">
        <v>46</v>
      </c>
      <c r="H312" s="1">
        <v>0</v>
      </c>
      <c r="I312" s="1" t="str">
        <f>IF(Table1[[#This Row],[Temperature_F]]&lt;32,"Yes","No")</f>
        <v>No</v>
      </c>
      <c r="J312" s="1" t="str" cm="1">
        <f t="array" ref="J3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12" s="1" t="str" cm="1">
        <f t="array" ref="K312">_xlfn.IFS(
H312=0,"No Rain",
H312&lt;10,"Light",
H312&lt;50,"Moderate",
TRUE,"Heavy")</f>
        <v>No Rain</v>
      </c>
      <c r="L312" s="1" t="str">
        <f>IF(Table1[[#This Row],[Precipitation_mm]]&lt;&gt;0,"Wet","Dry")</f>
        <v>Dry</v>
      </c>
      <c r="M312" t="b">
        <f>OR(ISBLANK(Table1[[#This Row],[Temperature_F]]),ISERROR(Table1[[#This Row],[Temperature_F]]))</f>
        <v>0</v>
      </c>
    </row>
    <row r="313" spans="1:13" x14ac:dyDescent="0.25">
      <c r="A313" s="1" t="s">
        <v>1</v>
      </c>
      <c r="B313" s="1" t="s">
        <v>2</v>
      </c>
      <c r="C313" s="1">
        <v>42.360599999999998</v>
      </c>
      <c r="D313" s="1">
        <v>-71.010599999999997</v>
      </c>
      <c r="E313" s="5">
        <v>40497</v>
      </c>
      <c r="F313" s="1" t="str">
        <f t="shared" si="4"/>
        <v>November</v>
      </c>
      <c r="G313" s="1">
        <v>42</v>
      </c>
      <c r="H313" s="1">
        <v>0</v>
      </c>
      <c r="I313" s="1" t="str">
        <f>IF(Table1[[#This Row],[Temperature_F]]&lt;32,"Yes","No")</f>
        <v>No</v>
      </c>
      <c r="J313" s="1" t="str" cm="1">
        <f t="array" ref="J3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13" s="1" t="str" cm="1">
        <f t="array" ref="K313">_xlfn.IFS(
H313=0,"No Rain",
H313&lt;10,"Light",
H313&lt;50,"Moderate",
TRUE,"Heavy")</f>
        <v>No Rain</v>
      </c>
      <c r="L313" s="1" t="str">
        <f>IF(Table1[[#This Row],[Precipitation_mm]]&lt;&gt;0,"Wet","Dry")</f>
        <v>Dry</v>
      </c>
      <c r="M313" t="b">
        <f>OR(ISBLANK(Table1[[#This Row],[Temperature_F]]),ISERROR(Table1[[#This Row],[Temperature_F]]))</f>
        <v>0</v>
      </c>
    </row>
    <row r="314" spans="1:13" hidden="1" x14ac:dyDescent="0.25">
      <c r="A314" s="1" t="s">
        <v>1</v>
      </c>
      <c r="B314" s="1" t="s">
        <v>2</v>
      </c>
      <c r="C314" s="1">
        <v>42.360599999999998</v>
      </c>
      <c r="D314" s="1">
        <v>-71.010599999999997</v>
      </c>
      <c r="E314" s="5">
        <v>40498</v>
      </c>
      <c r="F314" s="1" t="str">
        <f t="shared" si="4"/>
        <v>November</v>
      </c>
      <c r="G314" s="1">
        <v>58</v>
      </c>
      <c r="H314" s="1">
        <v>10</v>
      </c>
      <c r="I314" s="1" t="str">
        <f>IF(Table1[[#This Row],[Temperature_F]]&lt;32,"Yes","No")</f>
        <v>No</v>
      </c>
      <c r="J314" s="1" t="str" cm="1">
        <f t="array" ref="J3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14" s="1" t="str" cm="1">
        <f t="array" ref="K314">_xlfn.IFS(
H314=0,"No Rain",
H314&lt;10,"Light",
H314&lt;50,"Moderate",
TRUE,"Heavy")</f>
        <v>Moderate</v>
      </c>
      <c r="L314" s="1" t="str">
        <f>IF(Table1[[#This Row],[Precipitation_mm]]&lt;&gt;0,"Wet","Dry")</f>
        <v>Wet</v>
      </c>
      <c r="M314" t="b">
        <f>OR(ISBLANK(Table1[[#This Row],[Temperature_F]]),ISERROR(Table1[[#This Row],[Temperature_F]]))</f>
        <v>0</v>
      </c>
    </row>
    <row r="315" spans="1:13" hidden="1" x14ac:dyDescent="0.25">
      <c r="A315" s="1" t="s">
        <v>1</v>
      </c>
      <c r="B315" s="1" t="s">
        <v>2</v>
      </c>
      <c r="C315" s="1">
        <v>42.360599999999998</v>
      </c>
      <c r="D315" s="1">
        <v>-71.010599999999997</v>
      </c>
      <c r="E315" s="5">
        <v>40499</v>
      </c>
      <c r="F315" s="1" t="str">
        <f t="shared" si="4"/>
        <v>November</v>
      </c>
      <c r="G315" s="1">
        <v>68</v>
      </c>
      <c r="H315" s="1">
        <v>229</v>
      </c>
      <c r="I315" s="1" t="str">
        <f>IF(Table1[[#This Row],[Temperature_F]]&lt;32,"Yes","No")</f>
        <v>No</v>
      </c>
      <c r="J315" s="1" t="str" cm="1">
        <f t="array" ref="J3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15" s="1" t="str" cm="1">
        <f t="array" ref="K315">_xlfn.IFS(
H315=0,"No Rain",
H315&lt;10,"Light",
H315&lt;50,"Moderate",
TRUE,"Heavy")</f>
        <v>Heavy</v>
      </c>
      <c r="L315" s="1" t="str">
        <f>IF(Table1[[#This Row],[Precipitation_mm]]&lt;&gt;0,"Wet","Dry")</f>
        <v>Wet</v>
      </c>
      <c r="M315" t="b">
        <f>OR(ISBLANK(Table1[[#This Row],[Temperature_F]]),ISERROR(Table1[[#This Row],[Temperature_F]]))</f>
        <v>0</v>
      </c>
    </row>
    <row r="316" spans="1:13" x14ac:dyDescent="0.25">
      <c r="A316" s="1" t="s">
        <v>1</v>
      </c>
      <c r="B316" s="1" t="s">
        <v>2</v>
      </c>
      <c r="C316" s="1">
        <v>42.360599999999998</v>
      </c>
      <c r="D316" s="1">
        <v>-71.010599999999997</v>
      </c>
      <c r="E316" s="5">
        <v>40500</v>
      </c>
      <c r="F316" s="1" t="str">
        <f t="shared" ref="F316:F378" si="5">TEXT(E316,"mmmm")</f>
        <v>November</v>
      </c>
      <c r="G316" s="1">
        <v>41</v>
      </c>
      <c r="H316" s="1">
        <v>0</v>
      </c>
      <c r="I316" s="1" t="str">
        <f>IF(Table1[[#This Row],[Temperature_F]]&lt;32,"Yes","No")</f>
        <v>No</v>
      </c>
      <c r="J316" s="1" t="str" cm="1">
        <f t="array" ref="J3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16" s="1" t="str" cm="1">
        <f t="array" ref="K316">_xlfn.IFS(
H316=0,"No Rain",
H316&lt;10,"Light",
H316&lt;50,"Moderate",
TRUE,"Heavy")</f>
        <v>No Rain</v>
      </c>
      <c r="L316" s="1" t="str">
        <f>IF(Table1[[#This Row],[Precipitation_mm]]&lt;&gt;0,"Wet","Dry")</f>
        <v>Dry</v>
      </c>
      <c r="M316" t="b">
        <f>OR(ISBLANK(Table1[[#This Row],[Temperature_F]]),ISERROR(Table1[[#This Row],[Temperature_F]]))</f>
        <v>0</v>
      </c>
    </row>
    <row r="317" spans="1:13" hidden="1" x14ac:dyDescent="0.25">
      <c r="A317" s="1" t="s">
        <v>1</v>
      </c>
      <c r="B317" s="1" t="s">
        <v>2</v>
      </c>
      <c r="C317" s="1">
        <v>42.360599999999998</v>
      </c>
      <c r="D317" s="1">
        <v>-71.010599999999997</v>
      </c>
      <c r="E317" s="5">
        <v>40501</v>
      </c>
      <c r="F317" s="1" t="str">
        <f t="shared" si="5"/>
        <v>November</v>
      </c>
      <c r="G317" s="1">
        <v>57</v>
      </c>
      <c r="H317" s="1">
        <v>0</v>
      </c>
      <c r="I317" s="1" t="str">
        <f>IF(Table1[[#This Row],[Temperature_F]]&lt;32,"Yes","No")</f>
        <v>No</v>
      </c>
      <c r="J317" s="1" t="str" cm="1">
        <f t="array" ref="J3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17" s="1" t="str" cm="1">
        <f t="array" ref="K317">_xlfn.IFS(
H317=0,"No Rain",
H317&lt;10,"Light",
H317&lt;50,"Moderate",
TRUE,"Heavy")</f>
        <v>No Rain</v>
      </c>
      <c r="L317" s="1" t="str">
        <f>IF(Table1[[#This Row],[Precipitation_mm]]&lt;&gt;0,"Wet","Dry")</f>
        <v>Dry</v>
      </c>
      <c r="M317" t="b">
        <f>OR(ISBLANK(Table1[[#This Row],[Temperature_F]]),ISERROR(Table1[[#This Row],[Temperature_F]]))</f>
        <v>0</v>
      </c>
    </row>
    <row r="318" spans="1:13" hidden="1" x14ac:dyDescent="0.25">
      <c r="A318" s="1" t="s">
        <v>1</v>
      </c>
      <c r="B318" s="1" t="s">
        <v>2</v>
      </c>
      <c r="C318" s="1">
        <v>42.360599999999998</v>
      </c>
      <c r="D318" s="1">
        <v>-71.010599999999997</v>
      </c>
      <c r="E318" s="5">
        <v>40502</v>
      </c>
      <c r="F318" s="1" t="str">
        <f t="shared" si="5"/>
        <v>November</v>
      </c>
      <c r="G318" s="1">
        <v>54</v>
      </c>
      <c r="H318" s="1">
        <v>0</v>
      </c>
      <c r="I318" s="1" t="str">
        <f>IF(Table1[[#This Row],[Temperature_F]]&lt;32,"Yes","No")</f>
        <v>No</v>
      </c>
      <c r="J318" s="1" t="str" cm="1">
        <f t="array" ref="J3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18" s="1" t="str" cm="1">
        <f t="array" ref="K318">_xlfn.IFS(
H318=0,"No Rain",
H318&lt;10,"Light",
H318&lt;50,"Moderate",
TRUE,"Heavy")</f>
        <v>No Rain</v>
      </c>
      <c r="L318" s="1" t="str">
        <f>IF(Table1[[#This Row],[Precipitation_mm]]&lt;&gt;0,"Wet","Dry")</f>
        <v>Dry</v>
      </c>
      <c r="M318" t="b">
        <f>OR(ISBLANK(Table1[[#This Row],[Temperature_F]]),ISERROR(Table1[[#This Row],[Temperature_F]]))</f>
        <v>0</v>
      </c>
    </row>
    <row r="319" spans="1:13" hidden="1" x14ac:dyDescent="0.25">
      <c r="A319" s="1" t="s">
        <v>1</v>
      </c>
      <c r="B319" s="1" t="s">
        <v>2</v>
      </c>
      <c r="C319" s="1">
        <v>42.360599999999998</v>
      </c>
      <c r="D319" s="1">
        <v>-71.010599999999997</v>
      </c>
      <c r="E319" s="5">
        <v>40503</v>
      </c>
      <c r="F319" s="1" t="str">
        <f t="shared" si="5"/>
        <v>November</v>
      </c>
      <c r="G319" s="1">
        <v>60</v>
      </c>
      <c r="H319" s="1">
        <v>0</v>
      </c>
      <c r="I319" s="1" t="str">
        <f>IF(Table1[[#This Row],[Temperature_F]]&lt;32,"Yes","No")</f>
        <v>No</v>
      </c>
      <c r="J319" s="1" t="str" cm="1">
        <f t="array" ref="J3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19" s="1" t="str" cm="1">
        <f t="array" ref="K319">_xlfn.IFS(
H319=0,"No Rain",
H319&lt;10,"Light",
H319&lt;50,"Moderate",
TRUE,"Heavy")</f>
        <v>No Rain</v>
      </c>
      <c r="L319" s="1" t="str">
        <f>IF(Table1[[#This Row],[Precipitation_mm]]&lt;&gt;0,"Wet","Dry")</f>
        <v>Dry</v>
      </c>
      <c r="M319" t="b">
        <f>OR(ISBLANK(Table1[[#This Row],[Temperature_F]]),ISERROR(Table1[[#This Row],[Temperature_F]]))</f>
        <v>0</v>
      </c>
    </row>
    <row r="320" spans="1:13" hidden="1" x14ac:dyDescent="0.25">
      <c r="A320" s="1" t="s">
        <v>1</v>
      </c>
      <c r="B320" s="1" t="s">
        <v>2</v>
      </c>
      <c r="C320" s="1">
        <v>42.360599999999998</v>
      </c>
      <c r="D320" s="1">
        <v>-71.010599999999997</v>
      </c>
      <c r="E320" s="5">
        <v>40504</v>
      </c>
      <c r="F320" s="1" t="str">
        <f t="shared" si="5"/>
        <v>November</v>
      </c>
      <c r="G320" s="1">
        <v>55</v>
      </c>
      <c r="H320" s="1">
        <v>0</v>
      </c>
      <c r="I320" s="1" t="str">
        <f>IF(Table1[[#This Row],[Temperature_F]]&lt;32,"Yes","No")</f>
        <v>No</v>
      </c>
      <c r="J320" s="1" t="str" cm="1">
        <f t="array" ref="J3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20" s="1" t="str" cm="1">
        <f t="array" ref="K320">_xlfn.IFS(
H320=0,"No Rain",
H320&lt;10,"Light",
H320&lt;50,"Moderate",
TRUE,"Heavy")</f>
        <v>No Rain</v>
      </c>
      <c r="L320" s="1" t="str">
        <f>IF(Table1[[#This Row],[Precipitation_mm]]&lt;&gt;0,"Wet","Dry")</f>
        <v>Dry</v>
      </c>
      <c r="M320" t="b">
        <f>OR(ISBLANK(Table1[[#This Row],[Temperature_F]]),ISERROR(Table1[[#This Row],[Temperature_F]]))</f>
        <v>0</v>
      </c>
    </row>
    <row r="321" spans="1:13" hidden="1" x14ac:dyDescent="0.25">
      <c r="A321" s="1" t="s">
        <v>1</v>
      </c>
      <c r="B321" s="1" t="s">
        <v>2</v>
      </c>
      <c r="C321" s="1">
        <v>42.360599999999998</v>
      </c>
      <c r="D321" s="1">
        <v>-71.010599999999997</v>
      </c>
      <c r="E321" s="5">
        <v>40505</v>
      </c>
      <c r="F321" s="1" t="str">
        <f t="shared" si="5"/>
        <v>November</v>
      </c>
      <c r="G321" s="1">
        <v>64</v>
      </c>
      <c r="H321" s="1">
        <v>0</v>
      </c>
      <c r="I321" s="1" t="str">
        <f>IF(Table1[[#This Row],[Temperature_F]]&lt;32,"Yes","No")</f>
        <v>No</v>
      </c>
      <c r="J321" s="1" t="str" cm="1">
        <f t="array" ref="J3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21" s="1" t="str" cm="1">
        <f t="array" ref="K321">_xlfn.IFS(
H321=0,"No Rain",
H321&lt;10,"Light",
H321&lt;50,"Moderate",
TRUE,"Heavy")</f>
        <v>No Rain</v>
      </c>
      <c r="L321" s="1" t="str">
        <f>IF(Table1[[#This Row],[Precipitation_mm]]&lt;&gt;0,"Wet","Dry")</f>
        <v>Dry</v>
      </c>
      <c r="M321" t="b">
        <f>OR(ISBLANK(Table1[[#This Row],[Temperature_F]]),ISERROR(Table1[[#This Row],[Temperature_F]]))</f>
        <v>0</v>
      </c>
    </row>
    <row r="322" spans="1:13" x14ac:dyDescent="0.25">
      <c r="A322" s="1" t="s">
        <v>1</v>
      </c>
      <c r="B322" s="1" t="s">
        <v>2</v>
      </c>
      <c r="C322" s="1">
        <v>42.360599999999998</v>
      </c>
      <c r="D322" s="1">
        <v>-71.010599999999997</v>
      </c>
      <c r="E322" s="5">
        <v>40506</v>
      </c>
      <c r="F322" s="1" t="str">
        <f t="shared" si="5"/>
        <v>November</v>
      </c>
      <c r="G322" s="1">
        <v>44</v>
      </c>
      <c r="H322" s="1">
        <v>0</v>
      </c>
      <c r="I322" s="1" t="str">
        <f>IF(Table1[[#This Row],[Temperature_F]]&lt;32,"Yes","No")</f>
        <v>No</v>
      </c>
      <c r="J322" s="1" t="str" cm="1">
        <f t="array" ref="J3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22" s="1" t="str" cm="1">
        <f t="array" ref="K322">_xlfn.IFS(
H322=0,"No Rain",
H322&lt;10,"Light",
H322&lt;50,"Moderate",
TRUE,"Heavy")</f>
        <v>No Rain</v>
      </c>
      <c r="L322" s="1" t="str">
        <f>IF(Table1[[#This Row],[Precipitation_mm]]&lt;&gt;0,"Wet","Dry")</f>
        <v>Dry</v>
      </c>
      <c r="M322" t="b">
        <f>OR(ISBLANK(Table1[[#This Row],[Temperature_F]]),ISERROR(Table1[[#This Row],[Temperature_F]]))</f>
        <v>0</v>
      </c>
    </row>
    <row r="323" spans="1:13" x14ac:dyDescent="0.25">
      <c r="A323" s="1" t="s">
        <v>1</v>
      </c>
      <c r="B323" s="1" t="s">
        <v>2</v>
      </c>
      <c r="C323" s="1">
        <v>42.360599999999998</v>
      </c>
      <c r="D323" s="1">
        <v>-71.010599999999997</v>
      </c>
      <c r="E323" s="5">
        <v>40507</v>
      </c>
      <c r="F323" s="1" t="str">
        <f t="shared" si="5"/>
        <v>November</v>
      </c>
      <c r="G323" s="1">
        <v>48</v>
      </c>
      <c r="H323" s="1">
        <v>0</v>
      </c>
      <c r="I323" s="1" t="str">
        <f>IF(Table1[[#This Row],[Temperature_F]]&lt;32,"Yes","No")</f>
        <v>No</v>
      </c>
      <c r="J323" s="1" t="str" cm="1">
        <f t="array" ref="J3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23" s="1" t="str" cm="1">
        <f t="array" ref="K323">_xlfn.IFS(
H323=0,"No Rain",
H323&lt;10,"Light",
H323&lt;50,"Moderate",
TRUE,"Heavy")</f>
        <v>No Rain</v>
      </c>
      <c r="L323" s="1" t="str">
        <f>IF(Table1[[#This Row],[Precipitation_mm]]&lt;&gt;0,"Wet","Dry")</f>
        <v>Dry</v>
      </c>
      <c r="M323" t="b">
        <f>OR(ISBLANK(Table1[[#This Row],[Temperature_F]]),ISERROR(Table1[[#This Row],[Temperature_F]]))</f>
        <v>0</v>
      </c>
    </row>
    <row r="324" spans="1:13" x14ac:dyDescent="0.25">
      <c r="A324" s="1" t="s">
        <v>1</v>
      </c>
      <c r="B324" s="1" t="s">
        <v>2</v>
      </c>
      <c r="C324" s="1">
        <v>42.360599999999998</v>
      </c>
      <c r="D324" s="1">
        <v>-71.010599999999997</v>
      </c>
      <c r="E324" s="5">
        <v>40508</v>
      </c>
      <c r="F324" s="1" t="str">
        <f t="shared" si="5"/>
        <v>November</v>
      </c>
      <c r="G324" s="1">
        <v>46</v>
      </c>
      <c r="H324" s="1">
        <v>41</v>
      </c>
      <c r="I324" s="1" t="str">
        <f>IF(Table1[[#This Row],[Temperature_F]]&lt;32,"Yes","No")</f>
        <v>No</v>
      </c>
      <c r="J324" s="1" t="str" cm="1">
        <f t="array" ref="J3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24" s="1" t="str" cm="1">
        <f t="array" ref="K324">_xlfn.IFS(
H324=0,"No Rain",
H324&lt;10,"Light",
H324&lt;50,"Moderate",
TRUE,"Heavy")</f>
        <v>Moderate</v>
      </c>
      <c r="L324" s="1" t="str">
        <f>IF(Table1[[#This Row],[Precipitation_mm]]&lt;&gt;0,"Wet","Dry")</f>
        <v>Wet</v>
      </c>
      <c r="M324" t="b">
        <f>OR(ISBLANK(Table1[[#This Row],[Temperature_F]]),ISERROR(Table1[[#This Row],[Temperature_F]]))</f>
        <v>0</v>
      </c>
    </row>
    <row r="325" spans="1:13" hidden="1" x14ac:dyDescent="0.25">
      <c r="A325" s="1" t="s">
        <v>1</v>
      </c>
      <c r="B325" s="1" t="s">
        <v>2</v>
      </c>
      <c r="C325" s="1">
        <v>42.360599999999998</v>
      </c>
      <c r="D325" s="1">
        <v>-71.010599999999997</v>
      </c>
      <c r="E325" s="5">
        <v>40509</v>
      </c>
      <c r="F325" s="1" t="str">
        <f t="shared" si="5"/>
        <v>November</v>
      </c>
      <c r="G325" s="1">
        <v>60</v>
      </c>
      <c r="H325" s="1">
        <v>0</v>
      </c>
      <c r="I325" s="1" t="str">
        <f>IF(Table1[[#This Row],[Temperature_F]]&lt;32,"Yes","No")</f>
        <v>No</v>
      </c>
      <c r="J325" s="1" t="str" cm="1">
        <f t="array" ref="J3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25" s="1" t="str" cm="1">
        <f t="array" ref="K325">_xlfn.IFS(
H325=0,"No Rain",
H325&lt;10,"Light",
H325&lt;50,"Moderate",
TRUE,"Heavy")</f>
        <v>No Rain</v>
      </c>
      <c r="L325" s="1" t="str">
        <f>IF(Table1[[#This Row],[Precipitation_mm]]&lt;&gt;0,"Wet","Dry")</f>
        <v>Dry</v>
      </c>
      <c r="M325" t="b">
        <f>OR(ISBLANK(Table1[[#This Row],[Temperature_F]]),ISERROR(Table1[[#This Row],[Temperature_F]]))</f>
        <v>0</v>
      </c>
    </row>
    <row r="326" spans="1:13" x14ac:dyDescent="0.25">
      <c r="A326" s="1" t="s">
        <v>1</v>
      </c>
      <c r="B326" s="1" t="s">
        <v>2</v>
      </c>
      <c r="C326" s="1">
        <v>42.360599999999998</v>
      </c>
      <c r="D326" s="1">
        <v>-71.010599999999997</v>
      </c>
      <c r="E326" s="5">
        <v>40510</v>
      </c>
      <c r="F326" s="1" t="str">
        <f t="shared" si="5"/>
        <v>November</v>
      </c>
      <c r="G326" s="1">
        <v>50</v>
      </c>
      <c r="H326" s="1">
        <v>0</v>
      </c>
      <c r="I326" s="1" t="str">
        <f>IF(Table1[[#This Row],[Temperature_F]]&lt;32,"Yes","No")</f>
        <v>No</v>
      </c>
      <c r="J326" s="1" t="str" cm="1">
        <f t="array" ref="J3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26" s="1" t="str" cm="1">
        <f t="array" ref="K326">_xlfn.IFS(
H326=0,"No Rain",
H326&lt;10,"Light",
H326&lt;50,"Moderate",
TRUE,"Heavy")</f>
        <v>No Rain</v>
      </c>
      <c r="L326" s="1" t="str">
        <f>IF(Table1[[#This Row],[Precipitation_mm]]&lt;&gt;0,"Wet","Dry")</f>
        <v>Dry</v>
      </c>
      <c r="M326" t="b">
        <f>OR(ISBLANK(Table1[[#This Row],[Temperature_F]]),ISERROR(Table1[[#This Row],[Temperature_F]]))</f>
        <v>0</v>
      </c>
    </row>
    <row r="327" spans="1:13" hidden="1" x14ac:dyDescent="0.25">
      <c r="A327" s="1" t="s">
        <v>1</v>
      </c>
      <c r="B327" s="1" t="s">
        <v>2</v>
      </c>
      <c r="C327" s="1">
        <v>42.360599999999998</v>
      </c>
      <c r="D327" s="1">
        <v>-71.010599999999997</v>
      </c>
      <c r="E327" s="5">
        <v>40511</v>
      </c>
      <c r="F327" s="1" t="str">
        <f t="shared" si="5"/>
        <v>November</v>
      </c>
      <c r="G327" s="1">
        <v>59</v>
      </c>
      <c r="H327" s="1">
        <v>0</v>
      </c>
      <c r="I327" s="1" t="str">
        <f>IF(Table1[[#This Row],[Temperature_F]]&lt;32,"Yes","No")</f>
        <v>No</v>
      </c>
      <c r="J327" s="1" t="str" cm="1">
        <f t="array" ref="J3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27" s="1" t="str" cm="1">
        <f t="array" ref="K327">_xlfn.IFS(
H327=0,"No Rain",
H327&lt;10,"Light",
H327&lt;50,"Moderate",
TRUE,"Heavy")</f>
        <v>No Rain</v>
      </c>
      <c r="L327" s="1" t="str">
        <f>IF(Table1[[#This Row],[Precipitation_mm]]&lt;&gt;0,"Wet","Dry")</f>
        <v>Dry</v>
      </c>
      <c r="M327" t="b">
        <f>OR(ISBLANK(Table1[[#This Row],[Temperature_F]]),ISERROR(Table1[[#This Row],[Temperature_F]]))</f>
        <v>0</v>
      </c>
    </row>
    <row r="328" spans="1:13" hidden="1" x14ac:dyDescent="0.25">
      <c r="A328" s="1" t="s">
        <v>1</v>
      </c>
      <c r="B328" s="1" t="s">
        <v>2</v>
      </c>
      <c r="C328" s="1">
        <v>42.360599999999998</v>
      </c>
      <c r="D328" s="1">
        <v>-71.010599999999997</v>
      </c>
      <c r="E328" s="5">
        <v>40512</v>
      </c>
      <c r="F328" s="1" t="str">
        <f t="shared" si="5"/>
        <v>November</v>
      </c>
      <c r="G328" s="1">
        <v>52</v>
      </c>
      <c r="H328" s="1">
        <v>0</v>
      </c>
      <c r="I328" s="1" t="str">
        <f>IF(Table1[[#This Row],[Temperature_F]]&lt;32,"Yes","No")</f>
        <v>No</v>
      </c>
      <c r="J328" s="1" t="str" cm="1">
        <f t="array" ref="J3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328" s="1" t="str" cm="1">
        <f t="array" ref="K328">_xlfn.IFS(
H328=0,"No Rain",
H328&lt;10,"Light",
H328&lt;50,"Moderate",
TRUE,"Heavy")</f>
        <v>No Rain</v>
      </c>
      <c r="L328" s="1" t="str">
        <f>IF(Table1[[#This Row],[Precipitation_mm]]&lt;&gt;0,"Wet","Dry")</f>
        <v>Dry</v>
      </c>
      <c r="M328" t="b">
        <f>OR(ISBLANK(Table1[[#This Row],[Temperature_F]]),ISERROR(Table1[[#This Row],[Temperature_F]]))</f>
        <v>0</v>
      </c>
    </row>
    <row r="329" spans="1:13" x14ac:dyDescent="0.25">
      <c r="A329" s="1" t="s">
        <v>1</v>
      </c>
      <c r="B329" s="1" t="s">
        <v>2</v>
      </c>
      <c r="C329" s="1">
        <v>42.360599999999998</v>
      </c>
      <c r="D329" s="1">
        <v>-71.010599999999997</v>
      </c>
      <c r="E329" s="5">
        <v>40513</v>
      </c>
      <c r="F329" s="1" t="str">
        <f t="shared" si="5"/>
        <v>December</v>
      </c>
      <c r="G329" s="1">
        <v>37</v>
      </c>
      <c r="H329" s="1">
        <v>97</v>
      </c>
      <c r="I329" s="1" t="str">
        <f>IF(Table1[[#This Row],[Temperature_F]]&lt;32,"Yes","No")</f>
        <v>No</v>
      </c>
      <c r="J329" s="1" t="str" cm="1">
        <f t="array" ref="J3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29" s="1" t="str" cm="1">
        <f t="array" ref="K329">_xlfn.IFS(
H329=0,"No Rain",
H329&lt;10,"Light",
H329&lt;50,"Moderate",
TRUE,"Heavy")</f>
        <v>Heavy</v>
      </c>
      <c r="L329" s="1" t="str">
        <f>IF(Table1[[#This Row],[Precipitation_mm]]&lt;&gt;0,"Wet","Dry")</f>
        <v>Wet</v>
      </c>
      <c r="M329" t="b">
        <f>OR(ISBLANK(Table1[[#This Row],[Temperature_F]]),ISERROR(Table1[[#This Row],[Temperature_F]]))</f>
        <v>0</v>
      </c>
    </row>
    <row r="330" spans="1:13" hidden="1" x14ac:dyDescent="0.25">
      <c r="A330" s="1" t="s">
        <v>1</v>
      </c>
      <c r="B330" s="1" t="s">
        <v>2</v>
      </c>
      <c r="C330" s="1">
        <v>42.360599999999998</v>
      </c>
      <c r="D330" s="1">
        <v>-71.010599999999997</v>
      </c>
      <c r="E330" s="5">
        <v>40514</v>
      </c>
      <c r="F330" s="1" t="str">
        <f t="shared" si="5"/>
        <v>December</v>
      </c>
      <c r="G330" s="1">
        <v>20</v>
      </c>
      <c r="H330" s="1">
        <v>0</v>
      </c>
      <c r="I330" s="1" t="str">
        <f>IF(Table1[[#This Row],[Temperature_F]]&lt;32,"Yes","No")</f>
        <v>Yes</v>
      </c>
      <c r="J330" s="1" t="str" cm="1">
        <f t="array" ref="J3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30" s="1" t="str" cm="1">
        <f t="array" ref="K330">_xlfn.IFS(
H330=0,"No Rain",
H330&lt;10,"Light",
H330&lt;50,"Moderate",
TRUE,"Heavy")</f>
        <v>No Rain</v>
      </c>
      <c r="L330" s="1" t="str">
        <f>IF(Table1[[#This Row],[Precipitation_mm]]&lt;&gt;0,"Wet","Dry")</f>
        <v>Dry</v>
      </c>
      <c r="M330" t="b">
        <f>OR(ISBLANK(Table1[[#This Row],[Temperature_F]]),ISERROR(Table1[[#This Row],[Temperature_F]]))</f>
        <v>0</v>
      </c>
    </row>
    <row r="331" spans="1:13" hidden="1" x14ac:dyDescent="0.25">
      <c r="A331" s="1" t="s">
        <v>1</v>
      </c>
      <c r="B331" s="1" t="s">
        <v>2</v>
      </c>
      <c r="C331" s="1">
        <v>42.360599999999998</v>
      </c>
      <c r="D331" s="1">
        <v>-71.010599999999997</v>
      </c>
      <c r="E331" s="5">
        <v>40515</v>
      </c>
      <c r="F331" s="1" t="str">
        <f t="shared" si="5"/>
        <v>December</v>
      </c>
      <c r="G331" s="1">
        <v>17</v>
      </c>
      <c r="H331" s="1">
        <v>0</v>
      </c>
      <c r="I331" s="1" t="str">
        <f>IF(Table1[[#This Row],[Temperature_F]]&lt;32,"Yes","No")</f>
        <v>Yes</v>
      </c>
      <c r="J331" s="1" t="str" cm="1">
        <f t="array" ref="J3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31" s="1" t="str" cm="1">
        <f t="array" ref="K331">_xlfn.IFS(
H331=0,"No Rain",
H331&lt;10,"Light",
H331&lt;50,"Moderate",
TRUE,"Heavy")</f>
        <v>No Rain</v>
      </c>
      <c r="L331" s="1" t="str">
        <f>IF(Table1[[#This Row],[Precipitation_mm]]&lt;&gt;0,"Wet","Dry")</f>
        <v>Dry</v>
      </c>
      <c r="M331" t="b">
        <f>OR(ISBLANK(Table1[[#This Row],[Temperature_F]]),ISERROR(Table1[[#This Row],[Temperature_F]]))</f>
        <v>0</v>
      </c>
    </row>
    <row r="332" spans="1:13" x14ac:dyDescent="0.25">
      <c r="A332" s="1" t="s">
        <v>1</v>
      </c>
      <c r="B332" s="1" t="s">
        <v>2</v>
      </c>
      <c r="C332" s="1">
        <v>42.360599999999998</v>
      </c>
      <c r="D332" s="1">
        <v>-71.010599999999997</v>
      </c>
      <c r="E332" s="5">
        <v>40516</v>
      </c>
      <c r="F332" s="1" t="str">
        <f t="shared" si="5"/>
        <v>December</v>
      </c>
      <c r="G332" s="1">
        <v>42</v>
      </c>
      <c r="H332" s="1">
        <v>0</v>
      </c>
      <c r="I332" s="1" t="str">
        <f>IF(Table1[[#This Row],[Temperature_F]]&lt;32,"Yes","No")</f>
        <v>No</v>
      </c>
      <c r="J332" s="1" t="str" cm="1">
        <f t="array" ref="J3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32" s="1" t="str" cm="1">
        <f t="array" ref="K332">_xlfn.IFS(
H332=0,"No Rain",
H332&lt;10,"Light",
H332&lt;50,"Moderate",
TRUE,"Heavy")</f>
        <v>No Rain</v>
      </c>
      <c r="L332" s="1" t="str">
        <f>IF(Table1[[#This Row],[Precipitation_mm]]&lt;&gt;0,"Wet","Dry")</f>
        <v>Dry</v>
      </c>
      <c r="M332" t="b">
        <f>OR(ISBLANK(Table1[[#This Row],[Temperature_F]]),ISERROR(Table1[[#This Row],[Temperature_F]]))</f>
        <v>0</v>
      </c>
    </row>
    <row r="333" spans="1:13" x14ac:dyDescent="0.25">
      <c r="A333" s="1" t="s">
        <v>1</v>
      </c>
      <c r="B333" s="1" t="s">
        <v>2</v>
      </c>
      <c r="C333" s="1">
        <v>42.360599999999998</v>
      </c>
      <c r="D333" s="1">
        <v>-71.010599999999997</v>
      </c>
      <c r="E333" s="5">
        <v>40517</v>
      </c>
      <c r="F333" s="1" t="str">
        <f t="shared" si="5"/>
        <v>December</v>
      </c>
      <c r="G333" s="1">
        <v>43</v>
      </c>
      <c r="H333" s="1">
        <v>0</v>
      </c>
      <c r="I333" s="1" t="str">
        <f>IF(Table1[[#This Row],[Temperature_F]]&lt;32,"Yes","No")</f>
        <v>No</v>
      </c>
      <c r="J333" s="1" t="str" cm="1">
        <f t="array" ref="J3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33" s="1" t="str" cm="1">
        <f t="array" ref="K333">_xlfn.IFS(
H333=0,"No Rain",
H333&lt;10,"Light",
H333&lt;50,"Moderate",
TRUE,"Heavy")</f>
        <v>No Rain</v>
      </c>
      <c r="L333" s="1" t="str">
        <f>IF(Table1[[#This Row],[Precipitation_mm]]&lt;&gt;0,"Wet","Dry")</f>
        <v>Dry</v>
      </c>
      <c r="M333" t="b">
        <f>OR(ISBLANK(Table1[[#This Row],[Temperature_F]]),ISERROR(Table1[[#This Row],[Temperature_F]]))</f>
        <v>0</v>
      </c>
    </row>
    <row r="334" spans="1:13" hidden="1" x14ac:dyDescent="0.25">
      <c r="A334" s="1" t="s">
        <v>1</v>
      </c>
      <c r="B334" s="1" t="s">
        <v>2</v>
      </c>
      <c r="C334" s="1">
        <v>42.360599999999998</v>
      </c>
      <c r="D334" s="1">
        <v>-71.010599999999997</v>
      </c>
      <c r="E334" s="5">
        <v>40518</v>
      </c>
      <c r="F334" s="1" t="str">
        <f t="shared" si="5"/>
        <v>December</v>
      </c>
      <c r="G334" s="1">
        <v>11</v>
      </c>
      <c r="H334" s="1">
        <v>0</v>
      </c>
      <c r="I334" s="1" t="str">
        <f>IF(Table1[[#This Row],[Temperature_F]]&lt;32,"Yes","No")</f>
        <v>Yes</v>
      </c>
      <c r="J334" s="1" t="str" cm="1">
        <f t="array" ref="J3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34" s="1" t="str" cm="1">
        <f t="array" ref="K334">_xlfn.IFS(
H334=0,"No Rain",
H334&lt;10,"Light",
H334&lt;50,"Moderate",
TRUE,"Heavy")</f>
        <v>No Rain</v>
      </c>
      <c r="L334" s="1" t="str">
        <f>IF(Table1[[#This Row],[Precipitation_mm]]&lt;&gt;0,"Wet","Dry")</f>
        <v>Dry</v>
      </c>
      <c r="M334" t="b">
        <f>OR(ISBLANK(Table1[[#This Row],[Temperature_F]]),ISERROR(Table1[[#This Row],[Temperature_F]]))</f>
        <v>0</v>
      </c>
    </row>
    <row r="335" spans="1:13" hidden="1" x14ac:dyDescent="0.25">
      <c r="A335" s="1" t="s">
        <v>1</v>
      </c>
      <c r="B335" s="1" t="s">
        <v>2</v>
      </c>
      <c r="C335" s="1">
        <v>42.360599999999998</v>
      </c>
      <c r="D335" s="1">
        <v>-71.010599999999997</v>
      </c>
      <c r="E335" s="5">
        <v>40519</v>
      </c>
      <c r="F335" s="1" t="str">
        <f t="shared" si="5"/>
        <v>December</v>
      </c>
      <c r="G335" s="1">
        <v>25</v>
      </c>
      <c r="H335" s="1">
        <v>0</v>
      </c>
      <c r="I335" s="1" t="str">
        <f>IF(Table1[[#This Row],[Temperature_F]]&lt;32,"Yes","No")</f>
        <v>Yes</v>
      </c>
      <c r="J335" s="1" t="str" cm="1">
        <f t="array" ref="J3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35" s="1" t="str" cm="1">
        <f t="array" ref="K335">_xlfn.IFS(
H335=0,"No Rain",
H335&lt;10,"Light",
H335&lt;50,"Moderate",
TRUE,"Heavy")</f>
        <v>No Rain</v>
      </c>
      <c r="L335" s="1" t="str">
        <f>IF(Table1[[#This Row],[Precipitation_mm]]&lt;&gt;0,"Wet","Dry")</f>
        <v>Dry</v>
      </c>
      <c r="M335" t="b">
        <f>OR(ISBLANK(Table1[[#This Row],[Temperature_F]]),ISERROR(Table1[[#This Row],[Temperature_F]]))</f>
        <v>0</v>
      </c>
    </row>
    <row r="336" spans="1:13" x14ac:dyDescent="0.25">
      <c r="A336" s="1" t="s">
        <v>1</v>
      </c>
      <c r="B336" s="1" t="s">
        <v>2</v>
      </c>
      <c r="C336" s="1">
        <v>42.360599999999998</v>
      </c>
      <c r="D336" s="1">
        <v>-71.010599999999997</v>
      </c>
      <c r="E336" s="5">
        <v>40520</v>
      </c>
      <c r="F336" s="1" t="str">
        <f t="shared" si="5"/>
        <v>December</v>
      </c>
      <c r="G336" s="1">
        <v>35</v>
      </c>
      <c r="H336" s="1">
        <v>0</v>
      </c>
      <c r="I336" s="1" t="str">
        <f>IF(Table1[[#This Row],[Temperature_F]]&lt;32,"Yes","No")</f>
        <v>No</v>
      </c>
      <c r="J336" s="1" t="str" cm="1">
        <f t="array" ref="J3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36" s="1" t="str" cm="1">
        <f t="array" ref="K336">_xlfn.IFS(
H336=0,"No Rain",
H336&lt;10,"Light",
H336&lt;50,"Moderate",
TRUE,"Heavy")</f>
        <v>No Rain</v>
      </c>
      <c r="L336" s="1" t="str">
        <f>IF(Table1[[#This Row],[Precipitation_mm]]&lt;&gt;0,"Wet","Dry")</f>
        <v>Dry</v>
      </c>
      <c r="M336" t="b">
        <f>OR(ISBLANK(Table1[[#This Row],[Temperature_F]]),ISERROR(Table1[[#This Row],[Temperature_F]]))</f>
        <v>0</v>
      </c>
    </row>
    <row r="337" spans="1:13" hidden="1" x14ac:dyDescent="0.25">
      <c r="A337" s="1" t="s">
        <v>1</v>
      </c>
      <c r="B337" s="1" t="s">
        <v>2</v>
      </c>
      <c r="C337" s="1">
        <v>42.360599999999998</v>
      </c>
      <c r="D337" s="1">
        <v>-71.010599999999997</v>
      </c>
      <c r="E337" s="5">
        <v>40521</v>
      </c>
      <c r="F337" s="1" t="str">
        <f t="shared" si="5"/>
        <v>December</v>
      </c>
      <c r="G337" s="1">
        <v>23</v>
      </c>
      <c r="H337" s="1">
        <v>0</v>
      </c>
      <c r="I337" s="1" t="str">
        <f>IF(Table1[[#This Row],[Temperature_F]]&lt;32,"Yes","No")</f>
        <v>Yes</v>
      </c>
      <c r="J337" s="1" t="str" cm="1">
        <f t="array" ref="J3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37" s="1" t="str" cm="1">
        <f t="array" ref="K337">_xlfn.IFS(
H337=0,"No Rain",
H337&lt;10,"Light",
H337&lt;50,"Moderate",
TRUE,"Heavy")</f>
        <v>No Rain</v>
      </c>
      <c r="L337" s="1" t="str">
        <f>IF(Table1[[#This Row],[Precipitation_mm]]&lt;&gt;0,"Wet","Dry")</f>
        <v>Dry</v>
      </c>
      <c r="M337" t="b">
        <f>OR(ISBLANK(Table1[[#This Row],[Temperature_F]]),ISERROR(Table1[[#This Row],[Temperature_F]]))</f>
        <v>0</v>
      </c>
    </row>
    <row r="338" spans="1:13" x14ac:dyDescent="0.25">
      <c r="A338" s="1" t="s">
        <v>1</v>
      </c>
      <c r="B338" s="1" t="s">
        <v>2</v>
      </c>
      <c r="C338" s="1">
        <v>42.360599999999998</v>
      </c>
      <c r="D338" s="1">
        <v>-71.010599999999997</v>
      </c>
      <c r="E338" s="5">
        <v>40522</v>
      </c>
      <c r="F338" s="1" t="str">
        <f t="shared" si="5"/>
        <v>December</v>
      </c>
      <c r="G338" s="1">
        <v>34</v>
      </c>
      <c r="H338" s="1">
        <v>0</v>
      </c>
      <c r="I338" s="1" t="str">
        <f>IF(Table1[[#This Row],[Temperature_F]]&lt;32,"Yes","No")</f>
        <v>No</v>
      </c>
      <c r="J338" s="1" t="str" cm="1">
        <f t="array" ref="J3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38" s="1" t="str" cm="1">
        <f t="array" ref="K338">_xlfn.IFS(
H338=0,"No Rain",
H338&lt;10,"Light",
H338&lt;50,"Moderate",
TRUE,"Heavy")</f>
        <v>No Rain</v>
      </c>
      <c r="L338" s="1" t="str">
        <f>IF(Table1[[#This Row],[Precipitation_mm]]&lt;&gt;0,"Wet","Dry")</f>
        <v>Dry</v>
      </c>
      <c r="M338" t="b">
        <f>OR(ISBLANK(Table1[[#This Row],[Temperature_F]]),ISERROR(Table1[[#This Row],[Temperature_F]]))</f>
        <v>0</v>
      </c>
    </row>
    <row r="339" spans="1:13" hidden="1" x14ac:dyDescent="0.25">
      <c r="A339" s="1" t="s">
        <v>1</v>
      </c>
      <c r="B339" s="1" t="s">
        <v>2</v>
      </c>
      <c r="C339" s="1">
        <v>42.360599999999998</v>
      </c>
      <c r="D339" s="1">
        <v>-71.010599999999997</v>
      </c>
      <c r="E339" s="5">
        <v>40523</v>
      </c>
      <c r="F339" s="1" t="str">
        <f t="shared" si="5"/>
        <v>December</v>
      </c>
      <c r="G339" s="1">
        <v>31</v>
      </c>
      <c r="H339" s="1">
        <v>0</v>
      </c>
      <c r="I339" s="1" t="str">
        <f>IF(Table1[[#This Row],[Temperature_F]]&lt;32,"Yes","No")</f>
        <v>Yes</v>
      </c>
      <c r="J339" s="1" t="str" cm="1">
        <f t="array" ref="J3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39" s="1" t="str" cm="1">
        <f t="array" ref="K339">_xlfn.IFS(
H339=0,"No Rain",
H339&lt;10,"Light",
H339&lt;50,"Moderate",
TRUE,"Heavy")</f>
        <v>No Rain</v>
      </c>
      <c r="L339" s="1" t="str">
        <f>IF(Table1[[#This Row],[Precipitation_mm]]&lt;&gt;0,"Wet","Dry")</f>
        <v>Dry</v>
      </c>
      <c r="M339" t="b">
        <f>OR(ISBLANK(Table1[[#This Row],[Temperature_F]]),ISERROR(Table1[[#This Row],[Temperature_F]]))</f>
        <v>0</v>
      </c>
    </row>
    <row r="340" spans="1:13" x14ac:dyDescent="0.25">
      <c r="A340" s="1" t="s">
        <v>1</v>
      </c>
      <c r="B340" s="1" t="s">
        <v>2</v>
      </c>
      <c r="C340" s="1">
        <v>42.360599999999998</v>
      </c>
      <c r="D340" s="1">
        <v>-71.010599999999997</v>
      </c>
      <c r="E340" s="5">
        <v>40524</v>
      </c>
      <c r="F340" s="1" t="str">
        <f t="shared" si="5"/>
        <v>December</v>
      </c>
      <c r="G340" s="1">
        <v>33</v>
      </c>
      <c r="H340" s="1">
        <v>292</v>
      </c>
      <c r="I340" s="1" t="str">
        <f>IF(Table1[[#This Row],[Temperature_F]]&lt;32,"Yes","No")</f>
        <v>No</v>
      </c>
      <c r="J340" s="1" t="str" cm="1">
        <f t="array" ref="J3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0" s="1" t="str" cm="1">
        <f t="array" ref="K340">_xlfn.IFS(
H340=0,"No Rain",
H340&lt;10,"Light",
H340&lt;50,"Moderate",
TRUE,"Heavy")</f>
        <v>Heavy</v>
      </c>
      <c r="L340" s="1" t="str">
        <f>IF(Table1[[#This Row],[Precipitation_mm]]&lt;&gt;0,"Wet","Dry")</f>
        <v>Wet</v>
      </c>
      <c r="M340" t="b">
        <f>OR(ISBLANK(Table1[[#This Row],[Temperature_F]]),ISERROR(Table1[[#This Row],[Temperature_F]]))</f>
        <v>0</v>
      </c>
    </row>
    <row r="341" spans="1:13" x14ac:dyDescent="0.25">
      <c r="A341" s="1" t="s">
        <v>1</v>
      </c>
      <c r="B341" s="1" t="s">
        <v>2</v>
      </c>
      <c r="C341" s="1">
        <v>42.360599999999998</v>
      </c>
      <c r="D341" s="1">
        <v>-71.010599999999997</v>
      </c>
      <c r="E341" s="5">
        <v>40525</v>
      </c>
      <c r="F341" s="1" t="str">
        <f t="shared" si="5"/>
        <v>December</v>
      </c>
      <c r="G341" s="1">
        <v>40</v>
      </c>
      <c r="H341" s="1">
        <v>43</v>
      </c>
      <c r="I341" s="1" t="str">
        <f>IF(Table1[[#This Row],[Temperature_F]]&lt;32,"Yes","No")</f>
        <v>No</v>
      </c>
      <c r="J341" s="1" t="str" cm="1">
        <f t="array" ref="J3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1" s="1" t="str" cm="1">
        <f t="array" ref="K341">_xlfn.IFS(
H341=0,"No Rain",
H341&lt;10,"Light",
H341&lt;50,"Moderate",
TRUE,"Heavy")</f>
        <v>Moderate</v>
      </c>
      <c r="L341" s="1" t="str">
        <f>IF(Table1[[#This Row],[Precipitation_mm]]&lt;&gt;0,"Wet","Dry")</f>
        <v>Wet</v>
      </c>
      <c r="M341" t="b">
        <f>OR(ISBLANK(Table1[[#This Row],[Temperature_F]]),ISERROR(Table1[[#This Row],[Temperature_F]]))</f>
        <v>0</v>
      </c>
    </row>
    <row r="342" spans="1:13" x14ac:dyDescent="0.25">
      <c r="A342" s="1" t="s">
        <v>1</v>
      </c>
      <c r="B342" s="1" t="s">
        <v>2</v>
      </c>
      <c r="C342" s="1">
        <v>42.360599999999998</v>
      </c>
      <c r="D342" s="1">
        <v>-71.010599999999997</v>
      </c>
      <c r="E342" s="5">
        <v>40526</v>
      </c>
      <c r="F342" s="1" t="str">
        <f t="shared" si="5"/>
        <v>December</v>
      </c>
      <c r="G342" s="1">
        <v>42</v>
      </c>
      <c r="H342" s="1">
        <v>0</v>
      </c>
      <c r="I342" s="1" t="str">
        <f>IF(Table1[[#This Row],[Temperature_F]]&lt;32,"Yes","No")</f>
        <v>No</v>
      </c>
      <c r="J342" s="1" t="str" cm="1">
        <f t="array" ref="J3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2" s="1" t="str" cm="1">
        <f t="array" ref="K342">_xlfn.IFS(
H342=0,"No Rain",
H342&lt;10,"Light",
H342&lt;50,"Moderate",
TRUE,"Heavy")</f>
        <v>No Rain</v>
      </c>
      <c r="L342" s="1" t="str">
        <f>IF(Table1[[#This Row],[Precipitation_mm]]&lt;&gt;0,"Wet","Dry")</f>
        <v>Dry</v>
      </c>
      <c r="M342" t="b">
        <f>OR(ISBLANK(Table1[[#This Row],[Temperature_F]]),ISERROR(Table1[[#This Row],[Temperature_F]]))</f>
        <v>0</v>
      </c>
    </row>
    <row r="343" spans="1:13" hidden="1" x14ac:dyDescent="0.25">
      <c r="A343" s="1" t="s">
        <v>1</v>
      </c>
      <c r="B343" s="1" t="s">
        <v>2</v>
      </c>
      <c r="C343" s="1">
        <v>42.360599999999998</v>
      </c>
      <c r="D343" s="1">
        <v>-71.010599999999997</v>
      </c>
      <c r="E343" s="5">
        <v>40527</v>
      </c>
      <c r="F343" s="1" t="str">
        <f t="shared" si="5"/>
        <v>December</v>
      </c>
      <c r="G343" s="1">
        <v>23</v>
      </c>
      <c r="H343" s="1">
        <v>0</v>
      </c>
      <c r="I343" s="1" t="str">
        <f>IF(Table1[[#This Row],[Temperature_F]]&lt;32,"Yes","No")</f>
        <v>Yes</v>
      </c>
      <c r="J343" s="1" t="str" cm="1">
        <f t="array" ref="J3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43" s="1" t="str" cm="1">
        <f t="array" ref="K343">_xlfn.IFS(
H343=0,"No Rain",
H343&lt;10,"Light",
H343&lt;50,"Moderate",
TRUE,"Heavy")</f>
        <v>No Rain</v>
      </c>
      <c r="L343" s="1" t="str">
        <f>IF(Table1[[#This Row],[Precipitation_mm]]&lt;&gt;0,"Wet","Dry")</f>
        <v>Dry</v>
      </c>
      <c r="M343" t="b">
        <f>OR(ISBLANK(Table1[[#This Row],[Temperature_F]]),ISERROR(Table1[[#This Row],[Temperature_F]]))</f>
        <v>0</v>
      </c>
    </row>
    <row r="344" spans="1:13" hidden="1" x14ac:dyDescent="0.25">
      <c r="A344" s="1" t="s">
        <v>1</v>
      </c>
      <c r="B344" s="1" t="s">
        <v>2</v>
      </c>
      <c r="C344" s="1">
        <v>42.360599999999998</v>
      </c>
      <c r="D344" s="1">
        <v>-71.010599999999997</v>
      </c>
      <c r="E344" s="5">
        <v>40528</v>
      </c>
      <c r="F344" s="1" t="str">
        <f t="shared" si="5"/>
        <v>December</v>
      </c>
      <c r="G344" s="1">
        <v>28</v>
      </c>
      <c r="H344" s="1">
        <v>0</v>
      </c>
      <c r="I344" s="1" t="str">
        <f>IF(Table1[[#This Row],[Temperature_F]]&lt;32,"Yes","No")</f>
        <v>Yes</v>
      </c>
      <c r="J344" s="1" t="str" cm="1">
        <f t="array" ref="J3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44" s="1" t="str" cm="1">
        <f t="array" ref="K344">_xlfn.IFS(
H344=0,"No Rain",
H344&lt;10,"Light",
H344&lt;50,"Moderate",
TRUE,"Heavy")</f>
        <v>No Rain</v>
      </c>
      <c r="L344" s="1" t="str">
        <f>IF(Table1[[#This Row],[Precipitation_mm]]&lt;&gt;0,"Wet","Dry")</f>
        <v>Dry</v>
      </c>
      <c r="M344" t="b">
        <f>OR(ISBLANK(Table1[[#This Row],[Temperature_F]]),ISERROR(Table1[[#This Row],[Temperature_F]]))</f>
        <v>0</v>
      </c>
    </row>
    <row r="345" spans="1:13" hidden="1" x14ac:dyDescent="0.25">
      <c r="A345" s="1" t="s">
        <v>1</v>
      </c>
      <c r="B345" s="1" t="s">
        <v>2</v>
      </c>
      <c r="C345" s="1">
        <v>42.360599999999998</v>
      </c>
      <c r="D345" s="1">
        <v>-71.010599999999997</v>
      </c>
      <c r="E345" s="5">
        <v>40529</v>
      </c>
      <c r="F345" s="1" t="str">
        <f t="shared" si="5"/>
        <v>December</v>
      </c>
      <c r="G345" s="1">
        <v>20</v>
      </c>
      <c r="H345" s="1">
        <v>0</v>
      </c>
      <c r="I345" s="1" t="str">
        <f>IF(Table1[[#This Row],[Temperature_F]]&lt;32,"Yes","No")</f>
        <v>Yes</v>
      </c>
      <c r="J345" s="1" t="str" cm="1">
        <f t="array" ref="J3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45" s="1" t="str" cm="1">
        <f t="array" ref="K345">_xlfn.IFS(
H345=0,"No Rain",
H345&lt;10,"Light",
H345&lt;50,"Moderate",
TRUE,"Heavy")</f>
        <v>No Rain</v>
      </c>
      <c r="L345" s="1" t="str">
        <f>IF(Table1[[#This Row],[Precipitation_mm]]&lt;&gt;0,"Wet","Dry")</f>
        <v>Dry</v>
      </c>
      <c r="M345" t="b">
        <f>OR(ISBLANK(Table1[[#This Row],[Temperature_F]]),ISERROR(Table1[[#This Row],[Temperature_F]]))</f>
        <v>0</v>
      </c>
    </row>
    <row r="346" spans="1:13" x14ac:dyDescent="0.25">
      <c r="A346" s="1" t="s">
        <v>1</v>
      </c>
      <c r="B346" s="1" t="s">
        <v>2</v>
      </c>
      <c r="C346" s="1">
        <v>42.360599999999998</v>
      </c>
      <c r="D346" s="1">
        <v>-71.010599999999997</v>
      </c>
      <c r="E346" s="5">
        <v>40530</v>
      </c>
      <c r="F346" s="1" t="str">
        <f t="shared" si="5"/>
        <v>December</v>
      </c>
      <c r="G346" s="1">
        <v>35</v>
      </c>
      <c r="H346" s="1">
        <v>0</v>
      </c>
      <c r="I346" s="1" t="str">
        <f>IF(Table1[[#This Row],[Temperature_F]]&lt;32,"Yes","No")</f>
        <v>No</v>
      </c>
      <c r="J346" s="1" t="str" cm="1">
        <f t="array" ref="J3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6" s="1" t="str" cm="1">
        <f t="array" ref="K346">_xlfn.IFS(
H346=0,"No Rain",
H346&lt;10,"Light",
H346&lt;50,"Moderate",
TRUE,"Heavy")</f>
        <v>No Rain</v>
      </c>
      <c r="L346" s="1" t="str">
        <f>IF(Table1[[#This Row],[Precipitation_mm]]&lt;&gt;0,"Wet","Dry")</f>
        <v>Dry</v>
      </c>
      <c r="M346" t="b">
        <f>OR(ISBLANK(Table1[[#This Row],[Temperature_F]]),ISERROR(Table1[[#This Row],[Temperature_F]]))</f>
        <v>0</v>
      </c>
    </row>
    <row r="347" spans="1:13" x14ac:dyDescent="0.25">
      <c r="A347" s="1" t="s">
        <v>1</v>
      </c>
      <c r="B347" s="1" t="s">
        <v>2</v>
      </c>
      <c r="C347" s="1">
        <v>42.360599999999998</v>
      </c>
      <c r="D347" s="1">
        <v>-71.010599999999997</v>
      </c>
      <c r="E347" s="5">
        <v>40531</v>
      </c>
      <c r="F347" s="1" t="str">
        <f t="shared" si="5"/>
        <v>December</v>
      </c>
      <c r="G347" s="1">
        <v>37</v>
      </c>
      <c r="H347" s="1">
        <v>0</v>
      </c>
      <c r="I347" s="1" t="str">
        <f>IF(Table1[[#This Row],[Temperature_F]]&lt;32,"Yes","No")</f>
        <v>No</v>
      </c>
      <c r="J347" s="1" t="str" cm="1">
        <f t="array" ref="J3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7" s="1" t="str" cm="1">
        <f t="array" ref="K347">_xlfn.IFS(
H347=0,"No Rain",
H347&lt;10,"Light",
H347&lt;50,"Moderate",
TRUE,"Heavy")</f>
        <v>No Rain</v>
      </c>
      <c r="L347" s="1" t="str">
        <f>IF(Table1[[#This Row],[Precipitation_mm]]&lt;&gt;0,"Wet","Dry")</f>
        <v>Dry</v>
      </c>
      <c r="M347" t="b">
        <f>OR(ISBLANK(Table1[[#This Row],[Temperature_F]]),ISERROR(Table1[[#This Row],[Temperature_F]]))</f>
        <v>0</v>
      </c>
    </row>
    <row r="348" spans="1:13" x14ac:dyDescent="0.25">
      <c r="A348" s="1" t="s">
        <v>1</v>
      </c>
      <c r="B348" s="1" t="s">
        <v>2</v>
      </c>
      <c r="C348" s="1">
        <v>42.360599999999998</v>
      </c>
      <c r="D348" s="1">
        <v>-71.010599999999997</v>
      </c>
      <c r="E348" s="5">
        <v>40532</v>
      </c>
      <c r="F348" s="1" t="str">
        <f t="shared" si="5"/>
        <v>December</v>
      </c>
      <c r="G348" s="1">
        <v>44</v>
      </c>
      <c r="H348" s="1">
        <v>48</v>
      </c>
      <c r="I348" s="1" t="str">
        <f>IF(Table1[[#This Row],[Temperature_F]]&lt;32,"Yes","No")</f>
        <v>No</v>
      </c>
      <c r="J348" s="1" t="str" cm="1">
        <f t="array" ref="J3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8" s="1" t="str" cm="1">
        <f t="array" ref="K348">_xlfn.IFS(
H348=0,"No Rain",
H348&lt;10,"Light",
H348&lt;50,"Moderate",
TRUE,"Heavy")</f>
        <v>Moderate</v>
      </c>
      <c r="L348" s="1" t="str">
        <f>IF(Table1[[#This Row],[Precipitation_mm]]&lt;&gt;0,"Wet","Dry")</f>
        <v>Wet</v>
      </c>
      <c r="M348" t="b">
        <f>OR(ISBLANK(Table1[[#This Row],[Temperature_F]]),ISERROR(Table1[[#This Row],[Temperature_F]]))</f>
        <v>0</v>
      </c>
    </row>
    <row r="349" spans="1:13" x14ac:dyDescent="0.25">
      <c r="A349" s="1" t="s">
        <v>1</v>
      </c>
      <c r="B349" s="1" t="s">
        <v>2</v>
      </c>
      <c r="C349" s="1">
        <v>42.360599999999998</v>
      </c>
      <c r="D349" s="1">
        <v>-71.010599999999997</v>
      </c>
      <c r="E349" s="5">
        <v>40533</v>
      </c>
      <c r="F349" s="1" t="str">
        <f t="shared" si="5"/>
        <v>December</v>
      </c>
      <c r="G349" s="1">
        <v>45</v>
      </c>
      <c r="H349" s="1">
        <v>3</v>
      </c>
      <c r="I349" s="1" t="str">
        <f>IF(Table1[[#This Row],[Temperature_F]]&lt;32,"Yes","No")</f>
        <v>No</v>
      </c>
      <c r="J349" s="1" t="str" cm="1">
        <f t="array" ref="J3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49" s="1" t="str" cm="1">
        <f t="array" ref="K349">_xlfn.IFS(
H349=0,"No Rain",
H349&lt;10,"Light",
H349&lt;50,"Moderate",
TRUE,"Heavy")</f>
        <v>Light</v>
      </c>
      <c r="L349" s="1" t="str">
        <f>IF(Table1[[#This Row],[Precipitation_mm]]&lt;&gt;0,"Wet","Dry")</f>
        <v>Wet</v>
      </c>
      <c r="M349" t="b">
        <f>OR(ISBLANK(Table1[[#This Row],[Temperature_F]]),ISERROR(Table1[[#This Row],[Temperature_F]]))</f>
        <v>0</v>
      </c>
    </row>
    <row r="350" spans="1:13" hidden="1" x14ac:dyDescent="0.25">
      <c r="A350" s="1" t="s">
        <v>1</v>
      </c>
      <c r="B350" s="1" t="s">
        <v>2</v>
      </c>
      <c r="C350" s="1">
        <v>42.360599999999998</v>
      </c>
      <c r="D350" s="1">
        <v>-71.010599999999997</v>
      </c>
      <c r="E350" s="5">
        <v>40534</v>
      </c>
      <c r="F350" s="1" t="str">
        <f t="shared" si="5"/>
        <v>December</v>
      </c>
      <c r="G350" s="1">
        <v>13</v>
      </c>
      <c r="H350" s="1">
        <v>8</v>
      </c>
      <c r="I350" s="1" t="str">
        <f>IF(Table1[[#This Row],[Temperature_F]]&lt;32,"Yes","No")</f>
        <v>Yes</v>
      </c>
      <c r="J350" s="1" t="str" cm="1">
        <f t="array" ref="J3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0" s="1" t="str" cm="1">
        <f t="array" ref="K350">_xlfn.IFS(
H350=0,"No Rain",
H350&lt;10,"Light",
H350&lt;50,"Moderate",
TRUE,"Heavy")</f>
        <v>Light</v>
      </c>
      <c r="L350" s="1" t="str">
        <f>IF(Table1[[#This Row],[Precipitation_mm]]&lt;&gt;0,"Wet","Dry")</f>
        <v>Wet</v>
      </c>
      <c r="M350" t="b">
        <f>OR(ISBLANK(Table1[[#This Row],[Temperature_F]]),ISERROR(Table1[[#This Row],[Temperature_F]]))</f>
        <v>0</v>
      </c>
    </row>
    <row r="351" spans="1:13" hidden="1" x14ac:dyDescent="0.25">
      <c r="A351" s="1" t="s">
        <v>1</v>
      </c>
      <c r="B351" s="1" t="s">
        <v>2</v>
      </c>
      <c r="C351" s="1">
        <v>42.360599999999998</v>
      </c>
      <c r="D351" s="1">
        <v>-71.010599999999997</v>
      </c>
      <c r="E351" s="5">
        <v>40535</v>
      </c>
      <c r="F351" s="1" t="str">
        <f t="shared" si="5"/>
        <v>December</v>
      </c>
      <c r="G351" s="1">
        <v>11</v>
      </c>
      <c r="H351" s="1">
        <v>18</v>
      </c>
      <c r="I351" s="1" t="str">
        <f>IF(Table1[[#This Row],[Temperature_F]]&lt;32,"Yes","No")</f>
        <v>Yes</v>
      </c>
      <c r="J351" s="1" t="str" cm="1">
        <f t="array" ref="J3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1" s="1" t="str" cm="1">
        <f t="array" ref="K351">_xlfn.IFS(
H351=0,"No Rain",
H351&lt;10,"Light",
H351&lt;50,"Moderate",
TRUE,"Heavy")</f>
        <v>Moderate</v>
      </c>
      <c r="L351" s="1" t="str">
        <f>IF(Table1[[#This Row],[Precipitation_mm]]&lt;&gt;0,"Wet","Dry")</f>
        <v>Wet</v>
      </c>
      <c r="M351" t="b">
        <f>OR(ISBLANK(Table1[[#This Row],[Temperature_F]]),ISERROR(Table1[[#This Row],[Temperature_F]]))</f>
        <v>0</v>
      </c>
    </row>
    <row r="352" spans="1:13" x14ac:dyDescent="0.25">
      <c r="A352" s="1" t="s">
        <v>1</v>
      </c>
      <c r="B352" s="1" t="s">
        <v>2</v>
      </c>
      <c r="C352" s="1">
        <v>42.360599999999998</v>
      </c>
      <c r="D352" s="1">
        <v>-71.010599999999997</v>
      </c>
      <c r="E352" s="5">
        <v>40536</v>
      </c>
      <c r="F352" s="1" t="str">
        <f t="shared" si="5"/>
        <v>December</v>
      </c>
      <c r="G352" s="1">
        <v>45</v>
      </c>
      <c r="H352" s="1">
        <v>0</v>
      </c>
      <c r="I352" s="1" t="str">
        <f>IF(Table1[[#This Row],[Temperature_F]]&lt;32,"Yes","No")</f>
        <v>No</v>
      </c>
      <c r="J352" s="1" t="str" cm="1">
        <f t="array" ref="J3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52" s="1" t="str" cm="1">
        <f t="array" ref="K352">_xlfn.IFS(
H352=0,"No Rain",
H352&lt;10,"Light",
H352&lt;50,"Moderate",
TRUE,"Heavy")</f>
        <v>No Rain</v>
      </c>
      <c r="L352" s="1" t="str">
        <f>IF(Table1[[#This Row],[Precipitation_mm]]&lt;&gt;0,"Wet","Dry")</f>
        <v>Dry</v>
      </c>
      <c r="M352" t="b">
        <f>OR(ISBLANK(Table1[[#This Row],[Temperature_F]]),ISERROR(Table1[[#This Row],[Temperature_F]]))</f>
        <v>0</v>
      </c>
    </row>
    <row r="353" spans="1:13" hidden="1" x14ac:dyDescent="0.25">
      <c r="A353" s="1" t="s">
        <v>1</v>
      </c>
      <c r="B353" s="1" t="s">
        <v>2</v>
      </c>
      <c r="C353" s="1">
        <v>42.360599999999998</v>
      </c>
      <c r="D353" s="1">
        <v>-71.010599999999997</v>
      </c>
      <c r="E353" s="5">
        <v>40537</v>
      </c>
      <c r="F353" s="1" t="str">
        <f t="shared" si="5"/>
        <v>December</v>
      </c>
      <c r="G353" s="1">
        <v>11</v>
      </c>
      <c r="H353" s="1">
        <v>0</v>
      </c>
      <c r="I353" s="1" t="str">
        <f>IF(Table1[[#This Row],[Temperature_F]]&lt;32,"Yes","No")</f>
        <v>Yes</v>
      </c>
      <c r="J353" s="1" t="str" cm="1">
        <f t="array" ref="J3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3" s="1" t="str" cm="1">
        <f t="array" ref="K353">_xlfn.IFS(
H353=0,"No Rain",
H353&lt;10,"Light",
H353&lt;50,"Moderate",
TRUE,"Heavy")</f>
        <v>No Rain</v>
      </c>
      <c r="L353" s="1" t="str">
        <f>IF(Table1[[#This Row],[Precipitation_mm]]&lt;&gt;0,"Wet","Dry")</f>
        <v>Dry</v>
      </c>
      <c r="M353" t="b">
        <f>OR(ISBLANK(Table1[[#This Row],[Temperature_F]]),ISERROR(Table1[[#This Row],[Temperature_F]]))</f>
        <v>0</v>
      </c>
    </row>
    <row r="354" spans="1:13" x14ac:dyDescent="0.25">
      <c r="A354" s="1" t="s">
        <v>1</v>
      </c>
      <c r="B354" s="1" t="s">
        <v>2</v>
      </c>
      <c r="C354" s="1">
        <v>42.360599999999998</v>
      </c>
      <c r="D354" s="1">
        <v>-71.010599999999997</v>
      </c>
      <c r="E354" s="5">
        <v>40538</v>
      </c>
      <c r="F354" s="1" t="str">
        <f t="shared" si="5"/>
        <v>December</v>
      </c>
      <c r="G354" s="1">
        <v>38</v>
      </c>
      <c r="H354" s="1">
        <v>231</v>
      </c>
      <c r="I354" s="1" t="str">
        <f>IF(Table1[[#This Row],[Temperature_F]]&lt;32,"Yes","No")</f>
        <v>No</v>
      </c>
      <c r="J354" s="1" t="str" cm="1">
        <f t="array" ref="J3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54" s="1" t="str" cm="1">
        <f t="array" ref="K354">_xlfn.IFS(
H354=0,"No Rain",
H354&lt;10,"Light",
H354&lt;50,"Moderate",
TRUE,"Heavy")</f>
        <v>Heavy</v>
      </c>
      <c r="L354" s="1" t="str">
        <f>IF(Table1[[#This Row],[Precipitation_mm]]&lt;&gt;0,"Wet","Dry")</f>
        <v>Wet</v>
      </c>
      <c r="M354" t="b">
        <f>OR(ISBLANK(Table1[[#This Row],[Temperature_F]]),ISERROR(Table1[[#This Row],[Temperature_F]]))</f>
        <v>0</v>
      </c>
    </row>
    <row r="355" spans="1:13" hidden="1" x14ac:dyDescent="0.25">
      <c r="A355" s="1" t="s">
        <v>1</v>
      </c>
      <c r="B355" s="1" t="s">
        <v>2</v>
      </c>
      <c r="C355" s="1">
        <v>42.360599999999998</v>
      </c>
      <c r="D355" s="1">
        <v>-71.010599999999997</v>
      </c>
      <c r="E355" s="5">
        <v>40539</v>
      </c>
      <c r="F355" s="1" t="str">
        <f t="shared" si="5"/>
        <v>December</v>
      </c>
      <c r="G355" s="1">
        <v>23</v>
      </c>
      <c r="H355" s="1">
        <v>178</v>
      </c>
      <c r="I355" s="1" t="str">
        <f>IF(Table1[[#This Row],[Temperature_F]]&lt;32,"Yes","No")</f>
        <v>Yes</v>
      </c>
      <c r="J355" s="1" t="str" cm="1">
        <f t="array" ref="J3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5" s="1" t="str" cm="1">
        <f t="array" ref="K355">_xlfn.IFS(
H355=0,"No Rain",
H355&lt;10,"Light",
H355&lt;50,"Moderate",
TRUE,"Heavy")</f>
        <v>Heavy</v>
      </c>
      <c r="L355" s="1" t="str">
        <f>IF(Table1[[#This Row],[Precipitation_mm]]&lt;&gt;0,"Wet","Dry")</f>
        <v>Wet</v>
      </c>
      <c r="M355" t="b">
        <f>OR(ISBLANK(Table1[[#This Row],[Temperature_F]]),ISERROR(Table1[[#This Row],[Temperature_F]]))</f>
        <v>0</v>
      </c>
    </row>
    <row r="356" spans="1:13" hidden="1" x14ac:dyDescent="0.25">
      <c r="A356" s="1" t="s">
        <v>1</v>
      </c>
      <c r="B356" s="1" t="s">
        <v>2</v>
      </c>
      <c r="C356" s="1">
        <v>42.360599999999998</v>
      </c>
      <c r="D356" s="1">
        <v>-71.010599999999997</v>
      </c>
      <c r="E356" s="5">
        <v>40540</v>
      </c>
      <c r="F356" s="1" t="str">
        <f t="shared" si="5"/>
        <v>December</v>
      </c>
      <c r="G356" s="1">
        <v>11</v>
      </c>
      <c r="H356" s="1">
        <v>0</v>
      </c>
      <c r="I356" s="1" t="str">
        <f>IF(Table1[[#This Row],[Temperature_F]]&lt;32,"Yes","No")</f>
        <v>Yes</v>
      </c>
      <c r="J356" s="1" t="str" cm="1">
        <f t="array" ref="J3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6" s="1" t="str" cm="1">
        <f t="array" ref="K356">_xlfn.IFS(
H356=0,"No Rain",
H356&lt;10,"Light",
H356&lt;50,"Moderate",
TRUE,"Heavy")</f>
        <v>No Rain</v>
      </c>
      <c r="L356" s="1" t="str">
        <f>IF(Table1[[#This Row],[Precipitation_mm]]&lt;&gt;0,"Wet","Dry")</f>
        <v>Dry</v>
      </c>
      <c r="M356" t="b">
        <f>OR(ISBLANK(Table1[[#This Row],[Temperature_F]]),ISERROR(Table1[[#This Row],[Temperature_F]]))</f>
        <v>0</v>
      </c>
    </row>
    <row r="357" spans="1:13" x14ac:dyDescent="0.25">
      <c r="A357" s="1" t="s">
        <v>1</v>
      </c>
      <c r="B357" s="1" t="s">
        <v>2</v>
      </c>
      <c r="C357" s="1">
        <v>42.360599999999998</v>
      </c>
      <c r="D357" s="1">
        <v>-71.010599999999997</v>
      </c>
      <c r="E357" s="5">
        <v>40541</v>
      </c>
      <c r="F357" s="1" t="str">
        <f t="shared" si="5"/>
        <v>December</v>
      </c>
      <c r="G357" s="1">
        <v>40</v>
      </c>
      <c r="H357" s="1">
        <v>0</v>
      </c>
      <c r="I357" s="1" t="str">
        <f>IF(Table1[[#This Row],[Temperature_F]]&lt;32,"Yes","No")</f>
        <v>No</v>
      </c>
      <c r="J357" s="1" t="str" cm="1">
        <f t="array" ref="J3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57" s="1" t="str" cm="1">
        <f t="array" ref="K357">_xlfn.IFS(
H357=0,"No Rain",
H357&lt;10,"Light",
H357&lt;50,"Moderate",
TRUE,"Heavy")</f>
        <v>No Rain</v>
      </c>
      <c r="L357" s="1" t="str">
        <f>IF(Table1[[#This Row],[Precipitation_mm]]&lt;&gt;0,"Wet","Dry")</f>
        <v>Dry</v>
      </c>
      <c r="M357" t="b">
        <f>OR(ISBLANK(Table1[[#This Row],[Temperature_F]]),ISERROR(Table1[[#This Row],[Temperature_F]]))</f>
        <v>0</v>
      </c>
    </row>
    <row r="358" spans="1:13" x14ac:dyDescent="0.25">
      <c r="A358" s="1" t="s">
        <v>1</v>
      </c>
      <c r="B358" s="1" t="s">
        <v>2</v>
      </c>
      <c r="C358" s="1">
        <v>42.360599999999998</v>
      </c>
      <c r="D358" s="1">
        <v>-71.010599999999997</v>
      </c>
      <c r="E358" s="5">
        <v>40543</v>
      </c>
      <c r="F358" s="1" t="str">
        <f t="shared" si="5"/>
        <v>December</v>
      </c>
      <c r="G358" s="1">
        <v>35</v>
      </c>
      <c r="H358" s="1">
        <v>0</v>
      </c>
      <c r="I358" s="1" t="str">
        <f>IF(Table1[[#This Row],[Temperature_F]]&lt;32,"Yes","No")</f>
        <v>No</v>
      </c>
      <c r="J358" s="1" t="str" cm="1">
        <f t="array" ref="J3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58" s="1" t="str" cm="1">
        <f t="array" ref="K358">_xlfn.IFS(
H358=0,"No Rain",
H358&lt;10,"Light",
H358&lt;50,"Moderate",
TRUE,"Heavy")</f>
        <v>No Rain</v>
      </c>
      <c r="L358" s="1" t="str">
        <f>IF(Table1[[#This Row],[Precipitation_mm]]&lt;&gt;0,"Wet","Dry")</f>
        <v>Dry</v>
      </c>
      <c r="M358" t="b">
        <f>OR(ISBLANK(Table1[[#This Row],[Temperature_F]]),ISERROR(Table1[[#This Row],[Temperature_F]]))</f>
        <v>0</v>
      </c>
    </row>
    <row r="359" spans="1:13" hidden="1" x14ac:dyDescent="0.25">
      <c r="A359" s="1" t="s">
        <v>1</v>
      </c>
      <c r="B359" s="1" t="s">
        <v>2</v>
      </c>
      <c r="C359" s="1">
        <v>42.360599999999998</v>
      </c>
      <c r="D359" s="1">
        <v>-71.010599999999997</v>
      </c>
      <c r="E359" s="5">
        <v>40544</v>
      </c>
      <c r="F359" s="1" t="str">
        <f t="shared" si="5"/>
        <v>January</v>
      </c>
      <c r="G359" s="1">
        <v>23</v>
      </c>
      <c r="H359" s="1">
        <v>0</v>
      </c>
      <c r="I359" s="1" t="str">
        <f>IF(Table1[[#This Row],[Temperature_F]]&lt;32,"Yes","No")</f>
        <v>Yes</v>
      </c>
      <c r="J359" s="1" t="str" cm="1">
        <f t="array" ref="J3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59" s="1" t="str" cm="1">
        <f t="array" ref="K359">_xlfn.IFS(
H359=0,"No Rain",
H359&lt;10,"Light",
H359&lt;50,"Moderate",
TRUE,"Heavy")</f>
        <v>No Rain</v>
      </c>
      <c r="L359" s="1" t="str">
        <f>IF(Table1[[#This Row],[Precipitation_mm]]&lt;&gt;0,"Wet","Dry")</f>
        <v>Dry</v>
      </c>
      <c r="M359" t="b">
        <f>OR(ISBLANK(Table1[[#This Row],[Temperature_F]]),ISERROR(Table1[[#This Row],[Temperature_F]]))</f>
        <v>0</v>
      </c>
    </row>
    <row r="360" spans="1:13" x14ac:dyDescent="0.25">
      <c r="A360" s="1" t="s">
        <v>1</v>
      </c>
      <c r="B360" s="1" t="s">
        <v>2</v>
      </c>
      <c r="C360" s="1">
        <v>42.360599999999998</v>
      </c>
      <c r="D360" s="1">
        <v>-71.010599999999997</v>
      </c>
      <c r="E360" s="5">
        <v>40545</v>
      </c>
      <c r="F360" s="1" t="str">
        <f t="shared" si="5"/>
        <v>January</v>
      </c>
      <c r="G360" s="1">
        <v>43</v>
      </c>
      <c r="H360" s="1">
        <v>38</v>
      </c>
      <c r="I360" s="1" t="str">
        <f>IF(Table1[[#This Row],[Temperature_F]]&lt;32,"Yes","No")</f>
        <v>No</v>
      </c>
      <c r="J360" s="1" t="str" cm="1">
        <f t="array" ref="J3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60" s="1" t="str" cm="1">
        <f t="array" ref="K360">_xlfn.IFS(
H360=0,"No Rain",
H360&lt;10,"Light",
H360&lt;50,"Moderate",
TRUE,"Heavy")</f>
        <v>Moderate</v>
      </c>
      <c r="L360" s="1" t="str">
        <f>IF(Table1[[#This Row],[Precipitation_mm]]&lt;&gt;0,"Wet","Dry")</f>
        <v>Wet</v>
      </c>
      <c r="M360" t="b">
        <f>OR(ISBLANK(Table1[[#This Row],[Temperature_F]]),ISERROR(Table1[[#This Row],[Temperature_F]]))</f>
        <v>0</v>
      </c>
    </row>
    <row r="361" spans="1:13" x14ac:dyDescent="0.25">
      <c r="A361" s="1" t="s">
        <v>1</v>
      </c>
      <c r="B361" s="1" t="s">
        <v>2</v>
      </c>
      <c r="C361" s="1">
        <v>42.360599999999998</v>
      </c>
      <c r="D361" s="1">
        <v>-71.010599999999997</v>
      </c>
      <c r="E361" s="5">
        <v>40546</v>
      </c>
      <c r="F361" s="1" t="str">
        <f t="shared" si="5"/>
        <v>January</v>
      </c>
      <c r="G361" s="1">
        <v>40</v>
      </c>
      <c r="H361" s="1">
        <v>0</v>
      </c>
      <c r="I361" s="1" t="str">
        <f>IF(Table1[[#This Row],[Temperature_F]]&lt;32,"Yes","No")</f>
        <v>No</v>
      </c>
      <c r="J361" s="1" t="str" cm="1">
        <f t="array" ref="J3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61" s="1" t="str" cm="1">
        <f t="array" ref="K361">_xlfn.IFS(
H361=0,"No Rain",
H361&lt;10,"Light",
H361&lt;50,"Moderate",
TRUE,"Heavy")</f>
        <v>No Rain</v>
      </c>
      <c r="L361" s="1" t="str">
        <f>IF(Table1[[#This Row],[Precipitation_mm]]&lt;&gt;0,"Wet","Dry")</f>
        <v>Dry</v>
      </c>
      <c r="M361" t="b">
        <f>OR(ISBLANK(Table1[[#This Row],[Temperature_F]]),ISERROR(Table1[[#This Row],[Temperature_F]]))</f>
        <v>0</v>
      </c>
    </row>
    <row r="362" spans="1:13" hidden="1" x14ac:dyDescent="0.25">
      <c r="A362" s="1" t="s">
        <v>1</v>
      </c>
      <c r="B362" s="1" t="s">
        <v>2</v>
      </c>
      <c r="C362" s="1">
        <v>42.360599999999998</v>
      </c>
      <c r="D362" s="1">
        <v>-71.010599999999997</v>
      </c>
      <c r="E362" s="5">
        <v>40547</v>
      </c>
      <c r="F362" s="1" t="str">
        <f t="shared" si="5"/>
        <v>January</v>
      </c>
      <c r="G362" s="1">
        <v>22</v>
      </c>
      <c r="H362" s="1">
        <v>0</v>
      </c>
      <c r="I362" s="1" t="str">
        <f>IF(Table1[[#This Row],[Temperature_F]]&lt;32,"Yes","No")</f>
        <v>Yes</v>
      </c>
      <c r="J362" s="1" t="str" cm="1">
        <f t="array" ref="J3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2" s="1" t="str" cm="1">
        <f t="array" ref="K362">_xlfn.IFS(
H362=0,"No Rain",
H362&lt;10,"Light",
H362&lt;50,"Moderate",
TRUE,"Heavy")</f>
        <v>No Rain</v>
      </c>
      <c r="L362" s="1" t="str">
        <f>IF(Table1[[#This Row],[Precipitation_mm]]&lt;&gt;0,"Wet","Dry")</f>
        <v>Dry</v>
      </c>
      <c r="M362" t="b">
        <f>OR(ISBLANK(Table1[[#This Row],[Temperature_F]]),ISERROR(Table1[[#This Row],[Temperature_F]]))</f>
        <v>0</v>
      </c>
    </row>
    <row r="363" spans="1:13" hidden="1" x14ac:dyDescent="0.25">
      <c r="A363" s="1" t="s">
        <v>1</v>
      </c>
      <c r="B363" s="1" t="s">
        <v>2</v>
      </c>
      <c r="C363" s="1">
        <v>42.360599999999998</v>
      </c>
      <c r="D363" s="1">
        <v>-71.010599999999997</v>
      </c>
      <c r="E363" s="5">
        <v>40548</v>
      </c>
      <c r="F363" s="1" t="str">
        <f t="shared" si="5"/>
        <v>January</v>
      </c>
      <c r="G363" s="1">
        <v>24</v>
      </c>
      <c r="H363" s="1">
        <v>0</v>
      </c>
      <c r="I363" s="1" t="str">
        <f>IF(Table1[[#This Row],[Temperature_F]]&lt;32,"Yes","No")</f>
        <v>Yes</v>
      </c>
      <c r="J363" s="1" t="str" cm="1">
        <f t="array" ref="J3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3" s="1" t="str" cm="1">
        <f t="array" ref="K363">_xlfn.IFS(
H363=0,"No Rain",
H363&lt;10,"Light",
H363&lt;50,"Moderate",
TRUE,"Heavy")</f>
        <v>No Rain</v>
      </c>
      <c r="L363" s="1" t="str">
        <f>IF(Table1[[#This Row],[Precipitation_mm]]&lt;&gt;0,"Wet","Dry")</f>
        <v>Dry</v>
      </c>
      <c r="M363" t="b">
        <f>OR(ISBLANK(Table1[[#This Row],[Temperature_F]]),ISERROR(Table1[[#This Row],[Temperature_F]]))</f>
        <v>0</v>
      </c>
    </row>
    <row r="364" spans="1:13" hidden="1" x14ac:dyDescent="0.25">
      <c r="A364" s="1" t="s">
        <v>1</v>
      </c>
      <c r="B364" s="1" t="s">
        <v>2</v>
      </c>
      <c r="C364" s="1">
        <v>42.360599999999998</v>
      </c>
      <c r="D364" s="1">
        <v>-71.010599999999997</v>
      </c>
      <c r="E364" s="5">
        <v>40549</v>
      </c>
      <c r="F364" s="1" t="str">
        <f t="shared" si="5"/>
        <v>January</v>
      </c>
      <c r="G364" s="1">
        <v>26</v>
      </c>
      <c r="H364" s="1">
        <v>0</v>
      </c>
      <c r="I364" s="1" t="str">
        <f>IF(Table1[[#This Row],[Temperature_F]]&lt;32,"Yes","No")</f>
        <v>Yes</v>
      </c>
      <c r="J364" s="1" t="str" cm="1">
        <f t="array" ref="J3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4" s="1" t="str" cm="1">
        <f t="array" ref="K364">_xlfn.IFS(
H364=0,"No Rain",
H364&lt;10,"Light",
H364&lt;50,"Moderate",
TRUE,"Heavy")</f>
        <v>No Rain</v>
      </c>
      <c r="L364" s="1" t="str">
        <f>IF(Table1[[#This Row],[Precipitation_mm]]&lt;&gt;0,"Wet","Dry")</f>
        <v>Dry</v>
      </c>
      <c r="M364" t="b">
        <f>OR(ISBLANK(Table1[[#This Row],[Temperature_F]]),ISERROR(Table1[[#This Row],[Temperature_F]]))</f>
        <v>0</v>
      </c>
    </row>
    <row r="365" spans="1:13" x14ac:dyDescent="0.25">
      <c r="A365" s="1" t="s">
        <v>1</v>
      </c>
      <c r="B365" s="1" t="s">
        <v>2</v>
      </c>
      <c r="C365" s="1">
        <v>42.360599999999998</v>
      </c>
      <c r="D365" s="1">
        <v>-71.010599999999997</v>
      </c>
      <c r="E365" s="5">
        <v>40550</v>
      </c>
      <c r="F365" s="1" t="str">
        <f t="shared" si="5"/>
        <v>January</v>
      </c>
      <c r="G365" s="1">
        <v>43</v>
      </c>
      <c r="H365" s="1">
        <v>5</v>
      </c>
      <c r="I365" s="1" t="str">
        <f>IF(Table1[[#This Row],[Temperature_F]]&lt;32,"Yes","No")</f>
        <v>No</v>
      </c>
      <c r="J365" s="1" t="str" cm="1">
        <f t="array" ref="J3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65" s="1" t="str" cm="1">
        <f t="array" ref="K365">_xlfn.IFS(
H365=0,"No Rain",
H365&lt;10,"Light",
H365&lt;50,"Moderate",
TRUE,"Heavy")</f>
        <v>Light</v>
      </c>
      <c r="L365" s="1" t="str">
        <f>IF(Table1[[#This Row],[Precipitation_mm]]&lt;&gt;0,"Wet","Dry")</f>
        <v>Wet</v>
      </c>
      <c r="M365" t="b">
        <f>OR(ISBLANK(Table1[[#This Row],[Temperature_F]]),ISERROR(Table1[[#This Row],[Temperature_F]]))</f>
        <v>0</v>
      </c>
    </row>
    <row r="366" spans="1:13" hidden="1" x14ac:dyDescent="0.25">
      <c r="A366" s="1" t="s">
        <v>1</v>
      </c>
      <c r="B366" s="1" t="s">
        <v>2</v>
      </c>
      <c r="C366" s="1">
        <v>42.360599999999998</v>
      </c>
      <c r="D366" s="1">
        <v>-71.010599999999997</v>
      </c>
      <c r="E366" s="5">
        <v>40551</v>
      </c>
      <c r="F366" s="1" t="str">
        <f t="shared" si="5"/>
        <v>January</v>
      </c>
      <c r="G366" s="1">
        <v>31</v>
      </c>
      <c r="H366" s="1">
        <v>41</v>
      </c>
      <c r="I366" s="1" t="str">
        <f>IF(Table1[[#This Row],[Temperature_F]]&lt;32,"Yes","No")</f>
        <v>Yes</v>
      </c>
      <c r="J366" s="1" t="str" cm="1">
        <f t="array" ref="J3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6" s="1" t="str" cm="1">
        <f t="array" ref="K366">_xlfn.IFS(
H366=0,"No Rain",
H366&lt;10,"Light",
H366&lt;50,"Moderate",
TRUE,"Heavy")</f>
        <v>Moderate</v>
      </c>
      <c r="L366" s="1" t="str">
        <f>IF(Table1[[#This Row],[Precipitation_mm]]&lt;&gt;0,"Wet","Dry")</f>
        <v>Wet</v>
      </c>
      <c r="M366" t="b">
        <f>OR(ISBLANK(Table1[[#This Row],[Temperature_F]]),ISERROR(Table1[[#This Row],[Temperature_F]]))</f>
        <v>0</v>
      </c>
    </row>
    <row r="367" spans="1:13" hidden="1" x14ac:dyDescent="0.25">
      <c r="A367" s="1" t="s">
        <v>1</v>
      </c>
      <c r="B367" s="1" t="s">
        <v>2</v>
      </c>
      <c r="C367" s="1">
        <v>42.360599999999998</v>
      </c>
      <c r="D367" s="1">
        <v>-71.010599999999997</v>
      </c>
      <c r="E367" s="5">
        <v>40552</v>
      </c>
      <c r="F367" s="1" t="str">
        <f t="shared" si="5"/>
        <v>January</v>
      </c>
      <c r="G367" s="1">
        <v>13</v>
      </c>
      <c r="H367" s="1">
        <v>33</v>
      </c>
      <c r="I367" s="1" t="str">
        <f>IF(Table1[[#This Row],[Temperature_F]]&lt;32,"Yes","No")</f>
        <v>Yes</v>
      </c>
      <c r="J367" s="1" t="str" cm="1">
        <f t="array" ref="J3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7" s="1" t="str" cm="1">
        <f t="array" ref="K367">_xlfn.IFS(
H367=0,"No Rain",
H367&lt;10,"Light",
H367&lt;50,"Moderate",
TRUE,"Heavy")</f>
        <v>Moderate</v>
      </c>
      <c r="L367" s="1" t="str">
        <f>IF(Table1[[#This Row],[Precipitation_mm]]&lt;&gt;0,"Wet","Dry")</f>
        <v>Wet</v>
      </c>
      <c r="M367" t="b">
        <f>OR(ISBLANK(Table1[[#This Row],[Temperature_F]]),ISERROR(Table1[[#This Row],[Temperature_F]]))</f>
        <v>0</v>
      </c>
    </row>
    <row r="368" spans="1:13" x14ac:dyDescent="0.25">
      <c r="A368" s="1" t="s">
        <v>1</v>
      </c>
      <c r="B368" s="1" t="s">
        <v>2</v>
      </c>
      <c r="C368" s="1">
        <v>42.360599999999998</v>
      </c>
      <c r="D368" s="1">
        <v>-71.010599999999997</v>
      </c>
      <c r="E368" s="5">
        <v>40553</v>
      </c>
      <c r="F368" s="1" t="str">
        <f t="shared" si="5"/>
        <v>January</v>
      </c>
      <c r="G368" s="1">
        <v>40</v>
      </c>
      <c r="H368" s="1">
        <v>0</v>
      </c>
      <c r="I368" s="1" t="str">
        <f>IF(Table1[[#This Row],[Temperature_F]]&lt;32,"Yes","No")</f>
        <v>No</v>
      </c>
      <c r="J368" s="1" t="str" cm="1">
        <f t="array" ref="J3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68" s="1" t="str" cm="1">
        <f t="array" ref="K368">_xlfn.IFS(
H368=0,"No Rain",
H368&lt;10,"Light",
H368&lt;50,"Moderate",
TRUE,"Heavy")</f>
        <v>No Rain</v>
      </c>
      <c r="L368" s="1" t="str">
        <f>IF(Table1[[#This Row],[Precipitation_mm]]&lt;&gt;0,"Wet","Dry")</f>
        <v>Dry</v>
      </c>
      <c r="M368" t="b">
        <f>OR(ISBLANK(Table1[[#This Row],[Temperature_F]]),ISERROR(Table1[[#This Row],[Temperature_F]]))</f>
        <v>0</v>
      </c>
    </row>
    <row r="369" spans="1:13" hidden="1" x14ac:dyDescent="0.25">
      <c r="A369" s="1" t="s">
        <v>1</v>
      </c>
      <c r="B369" s="1" t="s">
        <v>2</v>
      </c>
      <c r="C369" s="1">
        <v>42.360599999999998</v>
      </c>
      <c r="D369" s="1">
        <v>-71.010599999999997</v>
      </c>
      <c r="E369" s="5">
        <v>40554</v>
      </c>
      <c r="F369" s="1" t="str">
        <f t="shared" si="5"/>
        <v>January</v>
      </c>
      <c r="G369" s="1">
        <v>10</v>
      </c>
      <c r="H369" s="1">
        <v>0</v>
      </c>
      <c r="I369" s="1" t="str">
        <f>IF(Table1[[#This Row],[Temperature_F]]&lt;32,"Yes","No")</f>
        <v>Yes</v>
      </c>
      <c r="J369" s="1" t="str" cm="1">
        <f t="array" ref="J3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69" s="1" t="str" cm="1">
        <f t="array" ref="K369">_xlfn.IFS(
H369=0,"No Rain",
H369&lt;10,"Light",
H369&lt;50,"Moderate",
TRUE,"Heavy")</f>
        <v>No Rain</v>
      </c>
      <c r="L369" s="1" t="str">
        <f>IF(Table1[[#This Row],[Precipitation_mm]]&lt;&gt;0,"Wet","Dry")</f>
        <v>Dry</v>
      </c>
      <c r="M369" t="b">
        <f>OR(ISBLANK(Table1[[#This Row],[Temperature_F]]),ISERROR(Table1[[#This Row],[Temperature_F]]))</f>
        <v>0</v>
      </c>
    </row>
    <row r="370" spans="1:13" hidden="1" x14ac:dyDescent="0.25">
      <c r="A370" s="1" t="s">
        <v>1</v>
      </c>
      <c r="B370" s="1" t="s">
        <v>2</v>
      </c>
      <c r="C370" s="1">
        <v>42.360599999999998</v>
      </c>
      <c r="D370" s="1">
        <v>-71.010599999999997</v>
      </c>
      <c r="E370" s="5">
        <v>40555</v>
      </c>
      <c r="F370" s="1" t="str">
        <f t="shared" si="5"/>
        <v>January</v>
      </c>
      <c r="G370" s="1">
        <v>14</v>
      </c>
      <c r="H370" s="1">
        <v>356</v>
      </c>
      <c r="I370" s="1" t="str">
        <f>IF(Table1[[#This Row],[Temperature_F]]&lt;32,"Yes","No")</f>
        <v>Yes</v>
      </c>
      <c r="J370" s="1" t="str" cm="1">
        <f t="array" ref="J3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70" s="1" t="str" cm="1">
        <f t="array" ref="K370">_xlfn.IFS(
H370=0,"No Rain",
H370&lt;10,"Light",
H370&lt;50,"Moderate",
TRUE,"Heavy")</f>
        <v>Heavy</v>
      </c>
      <c r="L370" s="1" t="str">
        <f>IF(Table1[[#This Row],[Precipitation_mm]]&lt;&gt;0,"Wet","Dry")</f>
        <v>Wet</v>
      </c>
      <c r="M370" t="b">
        <f>OR(ISBLANK(Table1[[#This Row],[Temperature_F]]),ISERROR(Table1[[#This Row],[Temperature_F]]))</f>
        <v>0</v>
      </c>
    </row>
    <row r="371" spans="1:13" hidden="1" x14ac:dyDescent="0.25">
      <c r="A371" s="1" t="s">
        <v>1</v>
      </c>
      <c r="B371" s="1" t="s">
        <v>2</v>
      </c>
      <c r="C371" s="1">
        <v>42.360599999999998</v>
      </c>
      <c r="D371" s="1">
        <v>-71.010599999999997</v>
      </c>
      <c r="E371" s="5">
        <v>40556</v>
      </c>
      <c r="F371" s="1" t="str">
        <f t="shared" si="5"/>
        <v>January</v>
      </c>
      <c r="G371" s="1">
        <v>32</v>
      </c>
      <c r="H371" s="1">
        <v>0</v>
      </c>
      <c r="I371" s="1" t="str">
        <f>IF(Table1[[#This Row],[Temperature_F]]&lt;32,"Yes","No")</f>
        <v>No</v>
      </c>
      <c r="J371" s="1" t="str" cm="1">
        <f t="array" ref="J3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71" s="1" t="str" cm="1">
        <f t="array" ref="K371">_xlfn.IFS(
H371=0,"No Rain",
H371&lt;10,"Light",
H371&lt;50,"Moderate",
TRUE,"Heavy")</f>
        <v>No Rain</v>
      </c>
      <c r="L371" s="1" t="str">
        <f>IF(Table1[[#This Row],[Precipitation_mm]]&lt;&gt;0,"Wet","Dry")</f>
        <v>Dry</v>
      </c>
      <c r="M371" t="b">
        <f>OR(ISBLANK(Table1[[#This Row],[Temperature_F]]),ISERROR(Table1[[#This Row],[Temperature_F]]))</f>
        <v>0</v>
      </c>
    </row>
    <row r="372" spans="1:13" hidden="1" x14ac:dyDescent="0.25">
      <c r="A372" s="1" t="s">
        <v>1</v>
      </c>
      <c r="B372" s="1" t="s">
        <v>2</v>
      </c>
      <c r="C372" s="1">
        <v>42.360599999999998</v>
      </c>
      <c r="D372" s="1">
        <v>-71.010599999999997</v>
      </c>
      <c r="E372" s="5">
        <v>40557</v>
      </c>
      <c r="F372" s="1" t="str">
        <f t="shared" si="5"/>
        <v>January</v>
      </c>
      <c r="G372" s="1">
        <v>31</v>
      </c>
      <c r="H372" s="1">
        <v>0</v>
      </c>
      <c r="I372" s="1" t="str">
        <f>IF(Table1[[#This Row],[Temperature_F]]&lt;32,"Yes","No")</f>
        <v>Yes</v>
      </c>
      <c r="J372" s="1" t="str" cm="1">
        <f t="array" ref="J3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72" s="1" t="str" cm="1">
        <f t="array" ref="K372">_xlfn.IFS(
H372=0,"No Rain",
H372&lt;10,"Light",
H372&lt;50,"Moderate",
TRUE,"Heavy")</f>
        <v>No Rain</v>
      </c>
      <c r="L372" s="1" t="str">
        <f>IF(Table1[[#This Row],[Precipitation_mm]]&lt;&gt;0,"Wet","Dry")</f>
        <v>Dry</v>
      </c>
      <c r="M372" t="b">
        <f>OR(ISBLANK(Table1[[#This Row],[Temperature_F]]),ISERROR(Table1[[#This Row],[Temperature_F]]))</f>
        <v>0</v>
      </c>
    </row>
    <row r="373" spans="1:13" x14ac:dyDescent="0.25">
      <c r="A373" s="1" t="s">
        <v>1</v>
      </c>
      <c r="B373" s="1" t="s">
        <v>2</v>
      </c>
      <c r="C373" s="1">
        <v>42.360599999999998</v>
      </c>
      <c r="D373" s="1">
        <v>-71.010599999999997</v>
      </c>
      <c r="E373" s="5">
        <v>40558</v>
      </c>
      <c r="F373" s="1" t="str">
        <f t="shared" si="5"/>
        <v>January</v>
      </c>
      <c r="G373" s="1">
        <v>37</v>
      </c>
      <c r="H373" s="1">
        <v>0</v>
      </c>
      <c r="I373" s="1" t="str">
        <f>IF(Table1[[#This Row],[Temperature_F]]&lt;32,"Yes","No")</f>
        <v>No</v>
      </c>
      <c r="J373" s="1" t="str" cm="1">
        <f t="array" ref="J3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73" s="1" t="str" cm="1">
        <f t="array" ref="K373">_xlfn.IFS(
H373=0,"No Rain",
H373&lt;10,"Light",
H373&lt;50,"Moderate",
TRUE,"Heavy")</f>
        <v>No Rain</v>
      </c>
      <c r="L373" s="1" t="str">
        <f>IF(Table1[[#This Row],[Precipitation_mm]]&lt;&gt;0,"Wet","Dry")</f>
        <v>Dry</v>
      </c>
      <c r="M373" t="b">
        <f>OR(ISBLANK(Table1[[#This Row],[Temperature_F]]),ISERROR(Table1[[#This Row],[Temperature_F]]))</f>
        <v>0</v>
      </c>
    </row>
    <row r="374" spans="1:13" hidden="1" x14ac:dyDescent="0.25">
      <c r="A374" s="1" t="s">
        <v>1</v>
      </c>
      <c r="B374" s="1" t="s">
        <v>2</v>
      </c>
      <c r="C374" s="1">
        <v>42.360599999999998</v>
      </c>
      <c r="D374" s="1">
        <v>-71.010599999999997</v>
      </c>
      <c r="E374" s="5">
        <v>40559</v>
      </c>
      <c r="F374" s="1" t="str">
        <f t="shared" si="5"/>
        <v>January</v>
      </c>
      <c r="G374" s="1">
        <v>12</v>
      </c>
      <c r="H374" s="1">
        <v>0</v>
      </c>
      <c r="I374" s="1" t="str">
        <f>IF(Table1[[#This Row],[Temperature_F]]&lt;32,"Yes","No")</f>
        <v>Yes</v>
      </c>
      <c r="J374" s="1" t="str" cm="1">
        <f t="array" ref="J3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74" s="1" t="str" cm="1">
        <f t="array" ref="K374">_xlfn.IFS(
H374=0,"No Rain",
H374&lt;10,"Light",
H374&lt;50,"Moderate",
TRUE,"Heavy")</f>
        <v>No Rain</v>
      </c>
      <c r="L374" s="1" t="str">
        <f>IF(Table1[[#This Row],[Precipitation_mm]]&lt;&gt;0,"Wet","Dry")</f>
        <v>Dry</v>
      </c>
      <c r="M374" t="b">
        <f>OR(ISBLANK(Table1[[#This Row],[Temperature_F]]),ISERROR(Table1[[#This Row],[Temperature_F]]))</f>
        <v>0</v>
      </c>
    </row>
    <row r="375" spans="1:13" hidden="1" x14ac:dyDescent="0.25">
      <c r="A375" s="1" t="s">
        <v>1</v>
      </c>
      <c r="B375" s="1" t="s">
        <v>2</v>
      </c>
      <c r="C375" s="1">
        <v>42.360599999999998</v>
      </c>
      <c r="D375" s="1">
        <v>-71.010599999999997</v>
      </c>
      <c r="E375" s="5">
        <v>40560</v>
      </c>
      <c r="F375" s="1" t="str">
        <f t="shared" si="5"/>
        <v>January</v>
      </c>
      <c r="G375" s="1">
        <v>26</v>
      </c>
      <c r="H375" s="1">
        <v>0</v>
      </c>
      <c r="I375" s="1" t="str">
        <f>IF(Table1[[#This Row],[Temperature_F]]&lt;32,"Yes","No")</f>
        <v>Yes</v>
      </c>
      <c r="J375" s="1" t="str" cm="1">
        <f t="array" ref="J3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75" s="1" t="str" cm="1">
        <f t="array" ref="K375">_xlfn.IFS(
H375=0,"No Rain",
H375&lt;10,"Light",
H375&lt;50,"Moderate",
TRUE,"Heavy")</f>
        <v>No Rain</v>
      </c>
      <c r="L375" s="1" t="str">
        <f>IF(Table1[[#This Row],[Precipitation_mm]]&lt;&gt;0,"Wet","Dry")</f>
        <v>Dry</v>
      </c>
      <c r="M375" t="b">
        <f>OR(ISBLANK(Table1[[#This Row],[Temperature_F]]),ISERROR(Table1[[#This Row],[Temperature_F]]))</f>
        <v>0</v>
      </c>
    </row>
    <row r="376" spans="1:13" x14ac:dyDescent="0.25">
      <c r="A376" s="1" t="s">
        <v>1</v>
      </c>
      <c r="B376" s="1" t="s">
        <v>2</v>
      </c>
      <c r="C376" s="1">
        <v>42.360599999999998</v>
      </c>
      <c r="D376" s="1">
        <v>-71.010599999999997</v>
      </c>
      <c r="E376" s="5">
        <v>40561</v>
      </c>
      <c r="F376" s="1" t="str">
        <f t="shared" si="5"/>
        <v>January</v>
      </c>
      <c r="G376" s="1">
        <v>33</v>
      </c>
      <c r="H376" s="1">
        <v>241</v>
      </c>
      <c r="I376" s="1" t="str">
        <f>IF(Table1[[#This Row],[Temperature_F]]&lt;32,"Yes","No")</f>
        <v>No</v>
      </c>
      <c r="J376" s="1" t="str" cm="1">
        <f t="array" ref="J3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76" s="1" t="str" cm="1">
        <f t="array" ref="K376">_xlfn.IFS(
H376=0,"No Rain",
H376&lt;10,"Light",
H376&lt;50,"Moderate",
TRUE,"Heavy")</f>
        <v>Heavy</v>
      </c>
      <c r="L376" s="1" t="str">
        <f>IF(Table1[[#This Row],[Precipitation_mm]]&lt;&gt;0,"Wet","Dry")</f>
        <v>Wet</v>
      </c>
      <c r="M376" t="b">
        <f>OR(ISBLANK(Table1[[#This Row],[Temperature_F]]),ISERROR(Table1[[#This Row],[Temperature_F]]))</f>
        <v>0</v>
      </c>
    </row>
    <row r="377" spans="1:13" hidden="1" x14ac:dyDescent="0.25">
      <c r="A377" s="1" t="s">
        <v>1</v>
      </c>
      <c r="B377" s="1" t="s">
        <v>2</v>
      </c>
      <c r="C377" s="1">
        <v>42.360599999999998</v>
      </c>
      <c r="D377" s="1">
        <v>-71.010599999999997</v>
      </c>
      <c r="E377" s="5">
        <v>40562</v>
      </c>
      <c r="F377" s="1" t="str">
        <f t="shared" si="5"/>
        <v>January</v>
      </c>
      <c r="G377" s="1">
        <v>22</v>
      </c>
      <c r="H377" s="1">
        <v>48</v>
      </c>
      <c r="I377" s="1" t="str">
        <f>IF(Table1[[#This Row],[Temperature_F]]&lt;32,"Yes","No")</f>
        <v>Yes</v>
      </c>
      <c r="J377" s="1" t="str" cm="1">
        <f t="array" ref="J3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77" s="1" t="str" cm="1">
        <f t="array" ref="K377">_xlfn.IFS(
H377=0,"No Rain",
H377&lt;10,"Light",
H377&lt;50,"Moderate",
TRUE,"Heavy")</f>
        <v>Moderate</v>
      </c>
      <c r="L377" s="1" t="str">
        <f>IF(Table1[[#This Row],[Precipitation_mm]]&lt;&gt;0,"Wet","Dry")</f>
        <v>Wet</v>
      </c>
      <c r="M377" t="b">
        <f>OR(ISBLANK(Table1[[#This Row],[Temperature_F]]),ISERROR(Table1[[#This Row],[Temperature_F]]))</f>
        <v>0</v>
      </c>
    </row>
    <row r="378" spans="1:13" x14ac:dyDescent="0.25">
      <c r="A378" s="1" t="s">
        <v>1</v>
      </c>
      <c r="B378" s="1" t="s">
        <v>2</v>
      </c>
      <c r="C378" s="1">
        <v>42.360599999999998</v>
      </c>
      <c r="D378" s="1">
        <v>-71.010599999999997</v>
      </c>
      <c r="E378" s="5">
        <v>40563</v>
      </c>
      <c r="F378" s="1" t="str">
        <f t="shared" si="5"/>
        <v>January</v>
      </c>
      <c r="G378" s="1">
        <v>40</v>
      </c>
      <c r="H378" s="1">
        <v>0</v>
      </c>
      <c r="I378" s="1" t="str">
        <f>IF(Table1[[#This Row],[Temperature_F]]&lt;32,"Yes","No")</f>
        <v>No</v>
      </c>
      <c r="J378" s="1" t="str" cm="1">
        <f t="array" ref="J3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78" s="1" t="str" cm="1">
        <f t="array" ref="K378">_xlfn.IFS(
H378=0,"No Rain",
H378&lt;10,"Light",
H378&lt;50,"Moderate",
TRUE,"Heavy")</f>
        <v>No Rain</v>
      </c>
      <c r="L378" s="1" t="str">
        <f>IF(Table1[[#This Row],[Precipitation_mm]]&lt;&gt;0,"Wet","Dry")</f>
        <v>Dry</v>
      </c>
      <c r="M378" t="b">
        <f>OR(ISBLANK(Table1[[#This Row],[Temperature_F]]),ISERROR(Table1[[#This Row],[Temperature_F]]))</f>
        <v>0</v>
      </c>
    </row>
    <row r="379" spans="1:13" x14ac:dyDescent="0.25">
      <c r="A379" s="1" t="s">
        <v>1</v>
      </c>
      <c r="B379" s="1" t="s">
        <v>2</v>
      </c>
      <c r="C379" s="1">
        <v>42.360599999999998</v>
      </c>
      <c r="D379" s="1">
        <v>-71.010599999999997</v>
      </c>
      <c r="E379" s="5">
        <v>40564</v>
      </c>
      <c r="F379" s="1" t="str">
        <f t="shared" ref="F379:F441" si="6">TEXT(E379,"mmmm")</f>
        <v>January</v>
      </c>
      <c r="G379" s="1">
        <v>36</v>
      </c>
      <c r="H379" s="1">
        <v>185</v>
      </c>
      <c r="I379" s="1" t="str">
        <f>IF(Table1[[#This Row],[Temperature_F]]&lt;32,"Yes","No")</f>
        <v>No</v>
      </c>
      <c r="J379" s="1" t="str" cm="1">
        <f t="array" ref="J3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79" s="1" t="str" cm="1">
        <f t="array" ref="K379">_xlfn.IFS(
H379=0,"No Rain",
H379&lt;10,"Light",
H379&lt;50,"Moderate",
TRUE,"Heavy")</f>
        <v>Heavy</v>
      </c>
      <c r="L379" s="1" t="str">
        <f>IF(Table1[[#This Row],[Precipitation_mm]]&lt;&gt;0,"Wet","Dry")</f>
        <v>Wet</v>
      </c>
      <c r="M379" t="b">
        <f>OR(ISBLANK(Table1[[#This Row],[Temperature_F]]),ISERROR(Table1[[#This Row],[Temperature_F]]))</f>
        <v>0</v>
      </c>
    </row>
    <row r="380" spans="1:13" hidden="1" x14ac:dyDescent="0.25">
      <c r="A380" s="1" t="s">
        <v>1</v>
      </c>
      <c r="B380" s="1" t="s">
        <v>2</v>
      </c>
      <c r="C380" s="1">
        <v>42.360599999999998</v>
      </c>
      <c r="D380" s="1">
        <v>-71.010599999999997</v>
      </c>
      <c r="E380" s="5">
        <v>40565</v>
      </c>
      <c r="F380" s="1" t="str">
        <f t="shared" si="6"/>
        <v>January</v>
      </c>
      <c r="G380" s="1">
        <v>15</v>
      </c>
      <c r="H380" s="1">
        <v>0</v>
      </c>
      <c r="I380" s="1" t="str">
        <f>IF(Table1[[#This Row],[Temperature_F]]&lt;32,"Yes","No")</f>
        <v>Yes</v>
      </c>
      <c r="J380" s="1" t="str" cm="1">
        <f t="array" ref="J3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80" s="1" t="str" cm="1">
        <f t="array" ref="K380">_xlfn.IFS(
H380=0,"No Rain",
H380&lt;10,"Light",
H380&lt;50,"Moderate",
TRUE,"Heavy")</f>
        <v>No Rain</v>
      </c>
      <c r="L380" s="1" t="str">
        <f>IF(Table1[[#This Row],[Precipitation_mm]]&lt;&gt;0,"Wet","Dry")</f>
        <v>Dry</v>
      </c>
      <c r="M380" t="b">
        <f>OR(ISBLANK(Table1[[#This Row],[Temperature_F]]),ISERROR(Table1[[#This Row],[Temperature_F]]))</f>
        <v>0</v>
      </c>
    </row>
    <row r="381" spans="1:13" hidden="1" x14ac:dyDescent="0.25">
      <c r="A381" s="1" t="s">
        <v>1</v>
      </c>
      <c r="B381" s="1" t="s">
        <v>2</v>
      </c>
      <c r="C381" s="1">
        <v>42.360599999999998</v>
      </c>
      <c r="D381" s="1">
        <v>-71.010599999999997</v>
      </c>
      <c r="E381" s="5">
        <v>40566</v>
      </c>
      <c r="F381" s="1" t="str">
        <f t="shared" si="6"/>
        <v>January</v>
      </c>
      <c r="G381" s="1">
        <v>22</v>
      </c>
      <c r="H381" s="1">
        <v>0</v>
      </c>
      <c r="I381" s="1" t="str">
        <f>IF(Table1[[#This Row],[Temperature_F]]&lt;32,"Yes","No")</f>
        <v>Yes</v>
      </c>
      <c r="J381" s="1" t="str" cm="1">
        <f t="array" ref="J3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81" s="1" t="str" cm="1">
        <f t="array" ref="K381">_xlfn.IFS(
H381=0,"No Rain",
H381&lt;10,"Light",
H381&lt;50,"Moderate",
TRUE,"Heavy")</f>
        <v>No Rain</v>
      </c>
      <c r="L381" s="1" t="str">
        <f>IF(Table1[[#This Row],[Precipitation_mm]]&lt;&gt;0,"Wet","Dry")</f>
        <v>Dry</v>
      </c>
      <c r="M381" t="b">
        <f>OR(ISBLANK(Table1[[#This Row],[Temperature_F]]),ISERROR(Table1[[#This Row],[Temperature_F]]))</f>
        <v>0</v>
      </c>
    </row>
    <row r="382" spans="1:13" hidden="1" x14ac:dyDescent="0.25">
      <c r="A382" s="1" t="s">
        <v>1</v>
      </c>
      <c r="B382" s="1" t="s">
        <v>2</v>
      </c>
      <c r="C382" s="1">
        <v>42.360599999999998</v>
      </c>
      <c r="D382" s="1">
        <v>-71.010599999999997</v>
      </c>
      <c r="E382" s="5">
        <v>40567</v>
      </c>
      <c r="F382" s="1" t="str">
        <f t="shared" si="6"/>
        <v>January</v>
      </c>
      <c r="G382" s="1">
        <v>30</v>
      </c>
      <c r="H382" s="1">
        <v>0</v>
      </c>
      <c r="I382" s="1" t="str">
        <f>IF(Table1[[#This Row],[Temperature_F]]&lt;32,"Yes","No")</f>
        <v>Yes</v>
      </c>
      <c r="J382" s="1" t="str" cm="1">
        <f t="array" ref="J3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82" s="1" t="str" cm="1">
        <f t="array" ref="K382">_xlfn.IFS(
H382=0,"No Rain",
H382&lt;10,"Light",
H382&lt;50,"Moderate",
TRUE,"Heavy")</f>
        <v>No Rain</v>
      </c>
      <c r="L382" s="1" t="str">
        <f>IF(Table1[[#This Row],[Precipitation_mm]]&lt;&gt;0,"Wet","Dry")</f>
        <v>Dry</v>
      </c>
      <c r="M382" t="b">
        <f>OR(ISBLANK(Table1[[#This Row],[Temperature_F]]),ISERROR(Table1[[#This Row],[Temperature_F]]))</f>
        <v>0</v>
      </c>
    </row>
    <row r="383" spans="1:13" x14ac:dyDescent="0.25">
      <c r="A383" s="1" t="s">
        <v>1</v>
      </c>
      <c r="B383" s="1" t="s">
        <v>2</v>
      </c>
      <c r="C383" s="1">
        <v>42.360599999999998</v>
      </c>
      <c r="D383" s="1">
        <v>-71.010599999999997</v>
      </c>
      <c r="E383" s="5">
        <v>40568</v>
      </c>
      <c r="F383" s="1" t="str">
        <f t="shared" si="6"/>
        <v>January</v>
      </c>
      <c r="G383" s="1">
        <v>33</v>
      </c>
      <c r="H383" s="1">
        <v>13</v>
      </c>
      <c r="I383" s="1" t="str">
        <f>IF(Table1[[#This Row],[Temperature_F]]&lt;32,"Yes","No")</f>
        <v>No</v>
      </c>
      <c r="J383" s="1" t="str" cm="1">
        <f t="array" ref="J3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83" s="1" t="str" cm="1">
        <f t="array" ref="K383">_xlfn.IFS(
H383=0,"No Rain",
H383&lt;10,"Light",
H383&lt;50,"Moderate",
TRUE,"Heavy")</f>
        <v>Moderate</v>
      </c>
      <c r="L383" s="1" t="str">
        <f>IF(Table1[[#This Row],[Precipitation_mm]]&lt;&gt;0,"Wet","Dry")</f>
        <v>Wet</v>
      </c>
      <c r="M383" t="b">
        <f>OR(ISBLANK(Table1[[#This Row],[Temperature_F]]),ISERROR(Table1[[#This Row],[Temperature_F]]))</f>
        <v>0</v>
      </c>
    </row>
    <row r="384" spans="1:13" hidden="1" x14ac:dyDescent="0.25">
      <c r="A384" s="1" t="s">
        <v>1</v>
      </c>
      <c r="B384" s="1" t="s">
        <v>2</v>
      </c>
      <c r="C384" s="1">
        <v>42.360599999999998</v>
      </c>
      <c r="D384" s="1">
        <v>-71.010599999999997</v>
      </c>
      <c r="E384" s="5">
        <v>40569</v>
      </c>
      <c r="F384" s="1" t="str">
        <f t="shared" si="6"/>
        <v>January</v>
      </c>
      <c r="G384" s="1">
        <v>29</v>
      </c>
      <c r="H384" s="1">
        <v>28</v>
      </c>
      <c r="I384" s="1" t="str">
        <f>IF(Table1[[#This Row],[Temperature_F]]&lt;32,"Yes","No")</f>
        <v>Yes</v>
      </c>
      <c r="J384" s="1" t="str" cm="1">
        <f t="array" ref="J3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84" s="1" t="str" cm="1">
        <f t="array" ref="K384">_xlfn.IFS(
H384=0,"No Rain",
H384&lt;10,"Light",
H384&lt;50,"Moderate",
TRUE,"Heavy")</f>
        <v>Moderate</v>
      </c>
      <c r="L384" s="1" t="str">
        <f>IF(Table1[[#This Row],[Precipitation_mm]]&lt;&gt;0,"Wet","Dry")</f>
        <v>Wet</v>
      </c>
      <c r="M384" t="b">
        <f>OR(ISBLANK(Table1[[#This Row],[Temperature_F]]),ISERROR(Table1[[#This Row],[Temperature_F]]))</f>
        <v>0</v>
      </c>
    </row>
    <row r="385" spans="1:13" x14ac:dyDescent="0.25">
      <c r="A385" s="1" t="s">
        <v>1</v>
      </c>
      <c r="B385" s="1" t="s">
        <v>2</v>
      </c>
      <c r="C385" s="1">
        <v>42.360599999999998</v>
      </c>
      <c r="D385" s="1">
        <v>-71.010599999999997</v>
      </c>
      <c r="E385" s="5">
        <v>40570</v>
      </c>
      <c r="F385" s="1" t="str">
        <f t="shared" si="6"/>
        <v>January</v>
      </c>
      <c r="G385" s="1">
        <v>37</v>
      </c>
      <c r="H385" s="1">
        <v>173</v>
      </c>
      <c r="I385" s="1" t="str">
        <f>IF(Table1[[#This Row],[Temperature_F]]&lt;32,"Yes","No")</f>
        <v>No</v>
      </c>
      <c r="J385" s="1" t="str" cm="1">
        <f t="array" ref="J3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85" s="1" t="str" cm="1">
        <f t="array" ref="K385">_xlfn.IFS(
H385=0,"No Rain",
H385&lt;10,"Light",
H385&lt;50,"Moderate",
TRUE,"Heavy")</f>
        <v>Heavy</v>
      </c>
      <c r="L385" s="1" t="str">
        <f>IF(Table1[[#This Row],[Precipitation_mm]]&lt;&gt;0,"Wet","Dry")</f>
        <v>Wet</v>
      </c>
      <c r="M385" t="b">
        <f>OR(ISBLANK(Table1[[#This Row],[Temperature_F]]),ISERROR(Table1[[#This Row],[Temperature_F]]))</f>
        <v>0</v>
      </c>
    </row>
    <row r="386" spans="1:13" hidden="1" x14ac:dyDescent="0.25">
      <c r="A386" s="1" t="s">
        <v>1</v>
      </c>
      <c r="B386" s="1" t="s">
        <v>2</v>
      </c>
      <c r="C386" s="1">
        <v>42.360599999999998</v>
      </c>
      <c r="D386" s="1">
        <v>-71.010599999999997</v>
      </c>
      <c r="E386" s="5">
        <v>40571</v>
      </c>
      <c r="F386" s="1" t="str">
        <f t="shared" si="6"/>
        <v>January</v>
      </c>
      <c r="G386" s="1">
        <v>21</v>
      </c>
      <c r="H386" s="1">
        <v>0</v>
      </c>
      <c r="I386" s="1" t="str">
        <f>IF(Table1[[#This Row],[Temperature_F]]&lt;32,"Yes","No")</f>
        <v>Yes</v>
      </c>
      <c r="J386" s="1" t="str" cm="1">
        <f t="array" ref="J3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86" s="1" t="str" cm="1">
        <f t="array" ref="K386">_xlfn.IFS(
H386=0,"No Rain",
H386&lt;10,"Light",
H386&lt;50,"Moderate",
TRUE,"Heavy")</f>
        <v>No Rain</v>
      </c>
      <c r="L386" s="1" t="str">
        <f>IF(Table1[[#This Row],[Precipitation_mm]]&lt;&gt;0,"Wet","Dry")</f>
        <v>Dry</v>
      </c>
      <c r="M386" t="b">
        <f>OR(ISBLANK(Table1[[#This Row],[Temperature_F]]),ISERROR(Table1[[#This Row],[Temperature_F]]))</f>
        <v>0</v>
      </c>
    </row>
    <row r="387" spans="1:13" x14ac:dyDescent="0.25">
      <c r="A387" s="1" t="s">
        <v>1</v>
      </c>
      <c r="B387" s="1" t="s">
        <v>2</v>
      </c>
      <c r="C387" s="1">
        <v>42.360599999999998</v>
      </c>
      <c r="D387" s="1">
        <v>-71.010599999999997</v>
      </c>
      <c r="E387" s="5">
        <v>40572</v>
      </c>
      <c r="F387" s="1" t="str">
        <f t="shared" si="6"/>
        <v>January</v>
      </c>
      <c r="G387" s="1">
        <v>33</v>
      </c>
      <c r="H387" s="1">
        <v>0</v>
      </c>
      <c r="I387" s="1" t="str">
        <f>IF(Table1[[#This Row],[Temperature_F]]&lt;32,"Yes","No")</f>
        <v>No</v>
      </c>
      <c r="J387" s="1" t="str" cm="1">
        <f t="array" ref="J3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87" s="1" t="str" cm="1">
        <f t="array" ref="K387">_xlfn.IFS(
H387=0,"No Rain",
H387&lt;10,"Light",
H387&lt;50,"Moderate",
TRUE,"Heavy")</f>
        <v>No Rain</v>
      </c>
      <c r="L387" s="1" t="str">
        <f>IF(Table1[[#This Row],[Precipitation_mm]]&lt;&gt;0,"Wet","Dry")</f>
        <v>Dry</v>
      </c>
      <c r="M387" t="b">
        <f>OR(ISBLANK(Table1[[#This Row],[Temperature_F]]),ISERROR(Table1[[#This Row],[Temperature_F]]))</f>
        <v>0</v>
      </c>
    </row>
    <row r="388" spans="1:13" x14ac:dyDescent="0.25">
      <c r="A388" s="1" t="s">
        <v>1</v>
      </c>
      <c r="B388" s="1" t="s">
        <v>2</v>
      </c>
      <c r="C388" s="1">
        <v>42.360599999999998</v>
      </c>
      <c r="D388" s="1">
        <v>-71.010599999999997</v>
      </c>
      <c r="E388" s="5">
        <v>40573</v>
      </c>
      <c r="F388" s="1" t="str">
        <f t="shared" si="6"/>
        <v>January</v>
      </c>
      <c r="G388" s="1">
        <v>44</v>
      </c>
      <c r="H388" s="1">
        <v>0</v>
      </c>
      <c r="I388" s="1" t="str">
        <f>IF(Table1[[#This Row],[Temperature_F]]&lt;32,"Yes","No")</f>
        <v>No</v>
      </c>
      <c r="J388" s="1" t="str" cm="1">
        <f t="array" ref="J3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388" s="1" t="str" cm="1">
        <f t="array" ref="K388">_xlfn.IFS(
H388=0,"No Rain",
H388&lt;10,"Light",
H388&lt;50,"Moderate",
TRUE,"Heavy")</f>
        <v>No Rain</v>
      </c>
      <c r="L388" s="1" t="str">
        <f>IF(Table1[[#This Row],[Precipitation_mm]]&lt;&gt;0,"Wet","Dry")</f>
        <v>Dry</v>
      </c>
      <c r="M388" t="b">
        <f>OR(ISBLANK(Table1[[#This Row],[Temperature_F]]),ISERROR(Table1[[#This Row],[Temperature_F]]))</f>
        <v>0</v>
      </c>
    </row>
    <row r="389" spans="1:13" hidden="1" x14ac:dyDescent="0.25">
      <c r="A389" s="1" t="s">
        <v>1</v>
      </c>
      <c r="B389" s="1" t="s">
        <v>2</v>
      </c>
      <c r="C389" s="1">
        <v>42.360599999999998</v>
      </c>
      <c r="D389" s="1">
        <v>-71.010599999999997</v>
      </c>
      <c r="E389" s="5">
        <v>40574</v>
      </c>
      <c r="F389" s="1" t="str">
        <f t="shared" si="6"/>
        <v>January</v>
      </c>
      <c r="G389" s="1">
        <v>20</v>
      </c>
      <c r="H389" s="1">
        <v>0</v>
      </c>
      <c r="I389" s="1" t="str">
        <f>IF(Table1[[#This Row],[Temperature_F]]&lt;32,"Yes","No")</f>
        <v>Yes</v>
      </c>
      <c r="J389" s="1" t="str" cm="1">
        <f t="array" ref="J3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89" s="1" t="str" cm="1">
        <f t="array" ref="K389">_xlfn.IFS(
H389=0,"No Rain",
H389&lt;10,"Light",
H389&lt;50,"Moderate",
TRUE,"Heavy")</f>
        <v>No Rain</v>
      </c>
      <c r="L389" s="1" t="str">
        <f>IF(Table1[[#This Row],[Precipitation_mm]]&lt;&gt;0,"Wet","Dry")</f>
        <v>Dry</v>
      </c>
      <c r="M389" t="b">
        <f>OR(ISBLANK(Table1[[#This Row],[Temperature_F]]),ISERROR(Table1[[#This Row],[Temperature_F]]))</f>
        <v>0</v>
      </c>
    </row>
    <row r="390" spans="1:13" hidden="1" x14ac:dyDescent="0.25">
      <c r="A390" s="1" t="s">
        <v>1</v>
      </c>
      <c r="B390" s="1" t="s">
        <v>2</v>
      </c>
      <c r="C390" s="1">
        <v>42.360599999999998</v>
      </c>
      <c r="D390" s="1">
        <v>-71.010599999999997</v>
      </c>
      <c r="E390" s="5">
        <v>40575</v>
      </c>
      <c r="F390" s="1" t="str">
        <f t="shared" si="6"/>
        <v>February</v>
      </c>
      <c r="G390" s="1">
        <v>12</v>
      </c>
      <c r="H390" s="1">
        <v>114</v>
      </c>
      <c r="I390" s="1" t="str">
        <f>IF(Table1[[#This Row],[Temperature_F]]&lt;32,"Yes","No")</f>
        <v>Yes</v>
      </c>
      <c r="J390" s="1" t="str" cm="1">
        <f t="array" ref="J3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0" s="1" t="str" cm="1">
        <f t="array" ref="K390">_xlfn.IFS(
H390=0,"No Rain",
H390&lt;10,"Light",
H390&lt;50,"Moderate",
TRUE,"Heavy")</f>
        <v>Heavy</v>
      </c>
      <c r="L390" s="1" t="str">
        <f>IF(Table1[[#This Row],[Precipitation_mm]]&lt;&gt;0,"Wet","Dry")</f>
        <v>Wet</v>
      </c>
      <c r="M390" t="b">
        <f>OR(ISBLANK(Table1[[#This Row],[Temperature_F]]),ISERROR(Table1[[#This Row],[Temperature_F]]))</f>
        <v>0</v>
      </c>
    </row>
    <row r="391" spans="1:13" hidden="1" x14ac:dyDescent="0.25">
      <c r="A391" s="1" t="s">
        <v>1</v>
      </c>
      <c r="B391" s="1" t="s">
        <v>2</v>
      </c>
      <c r="C391" s="1">
        <v>42.360599999999998</v>
      </c>
      <c r="D391" s="1">
        <v>-71.010599999999997</v>
      </c>
      <c r="E391" s="5">
        <v>40576</v>
      </c>
      <c r="F391" s="1" t="str">
        <f t="shared" si="6"/>
        <v>February</v>
      </c>
      <c r="G391" s="1">
        <v>16</v>
      </c>
      <c r="H391" s="1">
        <v>218</v>
      </c>
      <c r="I391" s="1" t="str">
        <f>IF(Table1[[#This Row],[Temperature_F]]&lt;32,"Yes","No")</f>
        <v>Yes</v>
      </c>
      <c r="J391" s="1" t="str" cm="1">
        <f t="array" ref="J3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1" s="1" t="str" cm="1">
        <f t="array" ref="K391">_xlfn.IFS(
H391=0,"No Rain",
H391&lt;10,"Light",
H391&lt;50,"Moderate",
TRUE,"Heavy")</f>
        <v>Heavy</v>
      </c>
      <c r="L391" s="1" t="str">
        <f>IF(Table1[[#This Row],[Precipitation_mm]]&lt;&gt;0,"Wet","Dry")</f>
        <v>Wet</v>
      </c>
      <c r="M391" t="b">
        <f>OR(ISBLANK(Table1[[#This Row],[Temperature_F]]),ISERROR(Table1[[#This Row],[Temperature_F]]))</f>
        <v>0</v>
      </c>
    </row>
    <row r="392" spans="1:13" hidden="1" x14ac:dyDescent="0.25">
      <c r="A392" s="1" t="s">
        <v>1</v>
      </c>
      <c r="B392" s="1" t="s">
        <v>2</v>
      </c>
      <c r="C392" s="1">
        <v>42.360599999999998</v>
      </c>
      <c r="D392" s="1">
        <v>-71.010599999999997</v>
      </c>
      <c r="E392" s="5">
        <v>40577</v>
      </c>
      <c r="F392" s="1" t="str">
        <f t="shared" si="6"/>
        <v>February</v>
      </c>
      <c r="G392" s="1">
        <v>15</v>
      </c>
      <c r="H392" s="1">
        <v>0</v>
      </c>
      <c r="I392" s="1" t="str">
        <f>IF(Table1[[#This Row],[Temperature_F]]&lt;32,"Yes","No")</f>
        <v>Yes</v>
      </c>
      <c r="J392" s="1" t="str" cm="1">
        <f t="array" ref="J3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2" s="1" t="str" cm="1">
        <f t="array" ref="K392">_xlfn.IFS(
H392=0,"No Rain",
H392&lt;10,"Light",
H392&lt;50,"Moderate",
TRUE,"Heavy")</f>
        <v>No Rain</v>
      </c>
      <c r="L392" s="1" t="str">
        <f>IF(Table1[[#This Row],[Precipitation_mm]]&lt;&gt;0,"Wet","Dry")</f>
        <v>Dry</v>
      </c>
      <c r="M392" t="b">
        <f>OR(ISBLANK(Table1[[#This Row],[Temperature_F]]),ISERROR(Table1[[#This Row],[Temperature_F]]))</f>
        <v>0</v>
      </c>
    </row>
    <row r="393" spans="1:13" hidden="1" x14ac:dyDescent="0.25">
      <c r="A393" s="1" t="s">
        <v>1</v>
      </c>
      <c r="B393" s="1" t="s">
        <v>2</v>
      </c>
      <c r="C393" s="1">
        <v>42.360599999999998</v>
      </c>
      <c r="D393" s="1">
        <v>-71.010599999999997</v>
      </c>
      <c r="E393" s="5">
        <v>40578</v>
      </c>
      <c r="F393" s="1" t="str">
        <f t="shared" si="6"/>
        <v>February</v>
      </c>
      <c r="G393" s="1">
        <v>14</v>
      </c>
      <c r="H393" s="1">
        <v>0</v>
      </c>
      <c r="I393" s="1" t="str">
        <f>IF(Table1[[#This Row],[Temperature_F]]&lt;32,"Yes","No")</f>
        <v>Yes</v>
      </c>
      <c r="J393" s="1" t="str" cm="1">
        <f t="array" ref="J3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3" s="1" t="str" cm="1">
        <f t="array" ref="K393">_xlfn.IFS(
H393=0,"No Rain",
H393&lt;10,"Light",
H393&lt;50,"Moderate",
TRUE,"Heavy")</f>
        <v>No Rain</v>
      </c>
      <c r="L393" s="1" t="str">
        <f>IF(Table1[[#This Row],[Precipitation_mm]]&lt;&gt;0,"Wet","Dry")</f>
        <v>Dry</v>
      </c>
      <c r="M393" t="b">
        <f>OR(ISBLANK(Table1[[#This Row],[Temperature_F]]),ISERROR(Table1[[#This Row],[Temperature_F]]))</f>
        <v>0</v>
      </c>
    </row>
    <row r="394" spans="1:13" hidden="1" x14ac:dyDescent="0.25">
      <c r="A394" s="1" t="s">
        <v>1</v>
      </c>
      <c r="B394" s="1" t="s">
        <v>2</v>
      </c>
      <c r="C394" s="1">
        <v>42.360599999999998</v>
      </c>
      <c r="D394" s="1">
        <v>-71.010599999999997</v>
      </c>
      <c r="E394" s="5">
        <v>40579</v>
      </c>
      <c r="F394" s="1" t="str">
        <f t="shared" si="6"/>
        <v>February</v>
      </c>
      <c r="G394" s="1">
        <v>13</v>
      </c>
      <c r="H394" s="1">
        <v>69</v>
      </c>
      <c r="I394" s="1" t="str">
        <f>IF(Table1[[#This Row],[Temperature_F]]&lt;32,"Yes","No")</f>
        <v>Yes</v>
      </c>
      <c r="J394" s="1" t="str" cm="1">
        <f t="array" ref="J3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4" s="1" t="str" cm="1">
        <f t="array" ref="K394">_xlfn.IFS(
H394=0,"No Rain",
H394&lt;10,"Light",
H394&lt;50,"Moderate",
TRUE,"Heavy")</f>
        <v>Heavy</v>
      </c>
      <c r="L394" s="1" t="str">
        <f>IF(Table1[[#This Row],[Precipitation_mm]]&lt;&gt;0,"Wet","Dry")</f>
        <v>Wet</v>
      </c>
      <c r="M394" t="b">
        <f>OR(ISBLANK(Table1[[#This Row],[Temperature_F]]),ISERROR(Table1[[#This Row],[Temperature_F]]))</f>
        <v>0</v>
      </c>
    </row>
    <row r="395" spans="1:13" hidden="1" x14ac:dyDescent="0.25">
      <c r="A395" s="1" t="s">
        <v>1</v>
      </c>
      <c r="B395" s="1" t="s">
        <v>2</v>
      </c>
      <c r="C395" s="1">
        <v>42.360599999999998</v>
      </c>
      <c r="D395" s="1">
        <v>-71.010599999999997</v>
      </c>
      <c r="E395" s="5">
        <v>40580</v>
      </c>
      <c r="F395" s="1" t="str">
        <f t="shared" si="6"/>
        <v>February</v>
      </c>
      <c r="G395" s="1">
        <v>22</v>
      </c>
      <c r="H395" s="1">
        <v>0</v>
      </c>
      <c r="I395" s="1" t="str">
        <f>IF(Table1[[#This Row],[Temperature_F]]&lt;32,"Yes","No")</f>
        <v>Yes</v>
      </c>
      <c r="J395" s="1" t="str" cm="1">
        <f t="array" ref="J3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5" s="1" t="str" cm="1">
        <f t="array" ref="K395">_xlfn.IFS(
H395=0,"No Rain",
H395&lt;10,"Light",
H395&lt;50,"Moderate",
TRUE,"Heavy")</f>
        <v>No Rain</v>
      </c>
      <c r="L395" s="1" t="str">
        <f>IF(Table1[[#This Row],[Precipitation_mm]]&lt;&gt;0,"Wet","Dry")</f>
        <v>Dry</v>
      </c>
      <c r="M395" t="b">
        <f>OR(ISBLANK(Table1[[#This Row],[Temperature_F]]),ISERROR(Table1[[#This Row],[Temperature_F]]))</f>
        <v>0</v>
      </c>
    </row>
    <row r="396" spans="1:13" hidden="1" x14ac:dyDescent="0.25">
      <c r="A396" s="1" t="s">
        <v>1</v>
      </c>
      <c r="B396" s="1" t="s">
        <v>2</v>
      </c>
      <c r="C396" s="1">
        <v>42.360599999999998</v>
      </c>
      <c r="D396" s="1">
        <v>-71.010599999999997</v>
      </c>
      <c r="E396" s="5">
        <v>40581</v>
      </c>
      <c r="F396" s="1" t="str">
        <f t="shared" si="6"/>
        <v>February</v>
      </c>
      <c r="G396" s="1">
        <v>19</v>
      </c>
      <c r="H396" s="1">
        <v>5</v>
      </c>
      <c r="I396" s="1" t="str">
        <f>IF(Table1[[#This Row],[Temperature_F]]&lt;32,"Yes","No")</f>
        <v>Yes</v>
      </c>
      <c r="J396" s="1" t="str" cm="1">
        <f t="array" ref="J3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6" s="1" t="str" cm="1">
        <f t="array" ref="K396">_xlfn.IFS(
H396=0,"No Rain",
H396&lt;10,"Light",
H396&lt;50,"Moderate",
TRUE,"Heavy")</f>
        <v>Light</v>
      </c>
      <c r="L396" s="1" t="str">
        <f>IF(Table1[[#This Row],[Precipitation_mm]]&lt;&gt;0,"Wet","Dry")</f>
        <v>Wet</v>
      </c>
      <c r="M396" t="b">
        <f>OR(ISBLANK(Table1[[#This Row],[Temperature_F]]),ISERROR(Table1[[#This Row],[Temperature_F]]))</f>
        <v>0</v>
      </c>
    </row>
    <row r="397" spans="1:13" hidden="1" x14ac:dyDescent="0.25">
      <c r="A397" s="1" t="s">
        <v>1</v>
      </c>
      <c r="B397" s="1" t="s">
        <v>2</v>
      </c>
      <c r="C397" s="1">
        <v>42.360599999999998</v>
      </c>
      <c r="D397" s="1">
        <v>-71.010599999999997</v>
      </c>
      <c r="E397" s="5">
        <v>40582</v>
      </c>
      <c r="F397" s="1" t="str">
        <f t="shared" si="6"/>
        <v>February</v>
      </c>
      <c r="G397" s="1">
        <v>30</v>
      </c>
      <c r="H397" s="1">
        <v>69</v>
      </c>
      <c r="I397" s="1" t="str">
        <f>IF(Table1[[#This Row],[Temperature_F]]&lt;32,"Yes","No")</f>
        <v>Yes</v>
      </c>
      <c r="J397" s="1" t="str" cm="1">
        <f t="array" ref="J3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7" s="1" t="str" cm="1">
        <f t="array" ref="K397">_xlfn.IFS(
H397=0,"No Rain",
H397&lt;10,"Light",
H397&lt;50,"Moderate",
TRUE,"Heavy")</f>
        <v>Heavy</v>
      </c>
      <c r="L397" s="1" t="str">
        <f>IF(Table1[[#This Row],[Precipitation_mm]]&lt;&gt;0,"Wet","Dry")</f>
        <v>Wet</v>
      </c>
      <c r="M397" t="b">
        <f>OR(ISBLANK(Table1[[#This Row],[Temperature_F]]),ISERROR(Table1[[#This Row],[Temperature_F]]))</f>
        <v>0</v>
      </c>
    </row>
    <row r="398" spans="1:13" hidden="1" x14ac:dyDescent="0.25">
      <c r="A398" s="1" t="s">
        <v>1</v>
      </c>
      <c r="B398" s="1" t="s">
        <v>2</v>
      </c>
      <c r="C398" s="1">
        <v>42.360599999999998</v>
      </c>
      <c r="D398" s="1">
        <v>-71.010599999999997</v>
      </c>
      <c r="E398" s="5">
        <v>40583</v>
      </c>
      <c r="F398" s="1" t="str">
        <f t="shared" si="6"/>
        <v>February</v>
      </c>
      <c r="G398" s="1">
        <v>23</v>
      </c>
      <c r="H398" s="1">
        <v>0</v>
      </c>
      <c r="I398" s="1" t="str">
        <f>IF(Table1[[#This Row],[Temperature_F]]&lt;32,"Yes","No")</f>
        <v>Yes</v>
      </c>
      <c r="J398" s="1" t="str" cm="1">
        <f t="array" ref="J3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8" s="1" t="str" cm="1">
        <f t="array" ref="K398">_xlfn.IFS(
H398=0,"No Rain",
H398&lt;10,"Light",
H398&lt;50,"Moderate",
TRUE,"Heavy")</f>
        <v>No Rain</v>
      </c>
      <c r="L398" s="1" t="str">
        <f>IF(Table1[[#This Row],[Precipitation_mm]]&lt;&gt;0,"Wet","Dry")</f>
        <v>Dry</v>
      </c>
      <c r="M398" t="b">
        <f>OR(ISBLANK(Table1[[#This Row],[Temperature_F]]),ISERROR(Table1[[#This Row],[Temperature_F]]))</f>
        <v>0</v>
      </c>
    </row>
    <row r="399" spans="1:13" hidden="1" x14ac:dyDescent="0.25">
      <c r="A399" s="1" t="s">
        <v>1</v>
      </c>
      <c r="B399" s="1" t="s">
        <v>2</v>
      </c>
      <c r="C399" s="1">
        <v>42.360599999999998</v>
      </c>
      <c r="D399" s="1">
        <v>-71.010599999999997</v>
      </c>
      <c r="E399" s="5">
        <v>40584</v>
      </c>
      <c r="F399" s="1" t="str">
        <f t="shared" si="6"/>
        <v>February</v>
      </c>
      <c r="G399" s="1">
        <v>29</v>
      </c>
      <c r="H399" s="1">
        <v>0</v>
      </c>
      <c r="I399" s="1" t="str">
        <f>IF(Table1[[#This Row],[Temperature_F]]&lt;32,"Yes","No")</f>
        <v>Yes</v>
      </c>
      <c r="J399" s="1" t="str" cm="1">
        <f t="array" ref="J3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399" s="1" t="str" cm="1">
        <f t="array" ref="K399">_xlfn.IFS(
H399=0,"No Rain",
H399&lt;10,"Light",
H399&lt;50,"Moderate",
TRUE,"Heavy")</f>
        <v>No Rain</v>
      </c>
      <c r="L399" s="1" t="str">
        <f>IF(Table1[[#This Row],[Precipitation_mm]]&lt;&gt;0,"Wet","Dry")</f>
        <v>Dry</v>
      </c>
      <c r="M399" t="b">
        <f>OR(ISBLANK(Table1[[#This Row],[Temperature_F]]),ISERROR(Table1[[#This Row],[Temperature_F]]))</f>
        <v>0</v>
      </c>
    </row>
    <row r="400" spans="1:13" hidden="1" x14ac:dyDescent="0.25">
      <c r="A400" s="1" t="s">
        <v>1</v>
      </c>
      <c r="B400" s="1" t="s">
        <v>2</v>
      </c>
      <c r="C400" s="1">
        <v>42.360599999999998</v>
      </c>
      <c r="D400" s="1">
        <v>-71.010599999999997</v>
      </c>
      <c r="E400" s="5">
        <v>40585</v>
      </c>
      <c r="F400" s="1" t="str">
        <f t="shared" si="6"/>
        <v>February</v>
      </c>
      <c r="G400" s="1">
        <v>22</v>
      </c>
      <c r="H400" s="1">
        <v>0</v>
      </c>
      <c r="I400" s="1" t="str">
        <f>IF(Table1[[#This Row],[Temperature_F]]&lt;32,"Yes","No")</f>
        <v>Yes</v>
      </c>
      <c r="J400" s="1" t="str" cm="1">
        <f t="array" ref="J4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0" s="1" t="str" cm="1">
        <f t="array" ref="K400">_xlfn.IFS(
H400=0,"No Rain",
H400&lt;10,"Light",
H400&lt;50,"Moderate",
TRUE,"Heavy")</f>
        <v>No Rain</v>
      </c>
      <c r="L400" s="1" t="str">
        <f>IF(Table1[[#This Row],[Precipitation_mm]]&lt;&gt;0,"Wet","Dry")</f>
        <v>Dry</v>
      </c>
      <c r="M400" t="b">
        <f>OR(ISBLANK(Table1[[#This Row],[Temperature_F]]),ISERROR(Table1[[#This Row],[Temperature_F]]))</f>
        <v>0</v>
      </c>
    </row>
    <row r="401" spans="1:13" hidden="1" x14ac:dyDescent="0.25">
      <c r="A401" s="1" t="s">
        <v>1</v>
      </c>
      <c r="B401" s="1" t="s">
        <v>2</v>
      </c>
      <c r="C401" s="1">
        <v>42.360599999999998</v>
      </c>
      <c r="D401" s="1">
        <v>-71.010599999999997</v>
      </c>
      <c r="E401" s="5">
        <v>40586</v>
      </c>
      <c r="F401" s="1" t="str">
        <f t="shared" si="6"/>
        <v>February</v>
      </c>
      <c r="G401" s="1">
        <v>30</v>
      </c>
      <c r="H401" s="1">
        <v>0</v>
      </c>
      <c r="I401" s="1" t="str">
        <f>IF(Table1[[#This Row],[Temperature_F]]&lt;32,"Yes","No")</f>
        <v>Yes</v>
      </c>
      <c r="J401" s="1" t="str" cm="1">
        <f t="array" ref="J4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1" s="1" t="str" cm="1">
        <f t="array" ref="K401">_xlfn.IFS(
H401=0,"No Rain",
H401&lt;10,"Light",
H401&lt;50,"Moderate",
TRUE,"Heavy")</f>
        <v>No Rain</v>
      </c>
      <c r="L401" s="1" t="str">
        <f>IF(Table1[[#This Row],[Precipitation_mm]]&lt;&gt;0,"Wet","Dry")</f>
        <v>Dry</v>
      </c>
      <c r="M401" t="b">
        <f>OR(ISBLANK(Table1[[#This Row],[Temperature_F]]),ISERROR(Table1[[#This Row],[Temperature_F]]))</f>
        <v>0</v>
      </c>
    </row>
    <row r="402" spans="1:13" hidden="1" x14ac:dyDescent="0.25">
      <c r="A402" s="1" t="s">
        <v>1</v>
      </c>
      <c r="B402" s="1" t="s">
        <v>2</v>
      </c>
      <c r="C402" s="1">
        <v>42.360599999999998</v>
      </c>
      <c r="D402" s="1">
        <v>-71.010599999999997</v>
      </c>
      <c r="E402" s="5">
        <v>40587</v>
      </c>
      <c r="F402" s="1" t="str">
        <f t="shared" si="6"/>
        <v>February</v>
      </c>
      <c r="G402" s="1">
        <v>16</v>
      </c>
      <c r="H402" s="1">
        <v>0</v>
      </c>
      <c r="I402" s="1" t="str">
        <f>IF(Table1[[#This Row],[Temperature_F]]&lt;32,"Yes","No")</f>
        <v>Yes</v>
      </c>
      <c r="J402" s="1" t="str" cm="1">
        <f t="array" ref="J4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2" s="1" t="str" cm="1">
        <f t="array" ref="K402">_xlfn.IFS(
H402=0,"No Rain",
H402&lt;10,"Light",
H402&lt;50,"Moderate",
TRUE,"Heavy")</f>
        <v>No Rain</v>
      </c>
      <c r="L402" s="1" t="str">
        <f>IF(Table1[[#This Row],[Precipitation_mm]]&lt;&gt;0,"Wet","Dry")</f>
        <v>Dry</v>
      </c>
      <c r="M402" t="b">
        <f>OR(ISBLANK(Table1[[#This Row],[Temperature_F]]),ISERROR(Table1[[#This Row],[Temperature_F]]))</f>
        <v>0</v>
      </c>
    </row>
    <row r="403" spans="1:13" hidden="1" x14ac:dyDescent="0.25">
      <c r="A403" s="1" t="s">
        <v>1</v>
      </c>
      <c r="B403" s="1" t="s">
        <v>2</v>
      </c>
      <c r="C403" s="1">
        <v>42.360599999999998</v>
      </c>
      <c r="D403" s="1">
        <v>-71.010599999999997</v>
      </c>
      <c r="E403" s="5">
        <v>40588</v>
      </c>
      <c r="F403" s="1" t="str">
        <f t="shared" si="6"/>
        <v>February</v>
      </c>
      <c r="G403" s="1">
        <v>32</v>
      </c>
      <c r="H403" s="1">
        <v>0</v>
      </c>
      <c r="I403" s="1" t="str">
        <f>IF(Table1[[#This Row],[Temperature_F]]&lt;32,"Yes","No")</f>
        <v>No</v>
      </c>
      <c r="J403" s="1" t="str" cm="1">
        <f t="array" ref="J4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3" s="1" t="str" cm="1">
        <f t="array" ref="K403">_xlfn.IFS(
H403=0,"No Rain",
H403&lt;10,"Light",
H403&lt;50,"Moderate",
TRUE,"Heavy")</f>
        <v>No Rain</v>
      </c>
      <c r="L403" s="1" t="str">
        <f>IF(Table1[[#This Row],[Precipitation_mm]]&lt;&gt;0,"Wet","Dry")</f>
        <v>Dry</v>
      </c>
      <c r="M403" t="b">
        <f>OR(ISBLANK(Table1[[#This Row],[Temperature_F]]),ISERROR(Table1[[#This Row],[Temperature_F]]))</f>
        <v>0</v>
      </c>
    </row>
    <row r="404" spans="1:13" hidden="1" x14ac:dyDescent="0.25">
      <c r="A404" s="1" t="s">
        <v>1</v>
      </c>
      <c r="B404" s="1" t="s">
        <v>2</v>
      </c>
      <c r="C404" s="1">
        <v>42.360599999999998</v>
      </c>
      <c r="D404" s="1">
        <v>-71.010599999999997</v>
      </c>
      <c r="E404" s="5">
        <v>40589</v>
      </c>
      <c r="F404" s="1" t="str">
        <f t="shared" si="6"/>
        <v>February</v>
      </c>
      <c r="G404" s="1">
        <v>13</v>
      </c>
      <c r="H404" s="1">
        <v>0</v>
      </c>
      <c r="I404" s="1" t="str">
        <f>IF(Table1[[#This Row],[Temperature_F]]&lt;32,"Yes","No")</f>
        <v>Yes</v>
      </c>
      <c r="J404" s="1" t="str" cm="1">
        <f t="array" ref="J4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4" s="1" t="str" cm="1">
        <f t="array" ref="K404">_xlfn.IFS(
H404=0,"No Rain",
H404&lt;10,"Light",
H404&lt;50,"Moderate",
TRUE,"Heavy")</f>
        <v>No Rain</v>
      </c>
      <c r="L404" s="1" t="str">
        <f>IF(Table1[[#This Row],[Precipitation_mm]]&lt;&gt;0,"Wet","Dry")</f>
        <v>Dry</v>
      </c>
      <c r="M404" t="b">
        <f>OR(ISBLANK(Table1[[#This Row],[Temperature_F]]),ISERROR(Table1[[#This Row],[Temperature_F]]))</f>
        <v>0</v>
      </c>
    </row>
    <row r="405" spans="1:13" hidden="1" x14ac:dyDescent="0.25">
      <c r="A405" s="1" t="s">
        <v>1</v>
      </c>
      <c r="B405" s="1" t="s">
        <v>2</v>
      </c>
      <c r="C405" s="1">
        <v>42.360599999999998</v>
      </c>
      <c r="D405" s="1">
        <v>-71.010599999999997</v>
      </c>
      <c r="E405" s="5">
        <v>40590</v>
      </c>
      <c r="F405" s="1" t="str">
        <f t="shared" si="6"/>
        <v>February</v>
      </c>
      <c r="G405" s="1">
        <v>25</v>
      </c>
      <c r="H405" s="1">
        <v>0</v>
      </c>
      <c r="I405" s="1" t="str">
        <f>IF(Table1[[#This Row],[Temperature_F]]&lt;32,"Yes","No")</f>
        <v>Yes</v>
      </c>
      <c r="J405" s="1" t="str" cm="1">
        <f t="array" ref="J4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5" s="1" t="str" cm="1">
        <f t="array" ref="K405">_xlfn.IFS(
H405=0,"No Rain",
H405&lt;10,"Light",
H405&lt;50,"Moderate",
TRUE,"Heavy")</f>
        <v>No Rain</v>
      </c>
      <c r="L405" s="1" t="str">
        <f>IF(Table1[[#This Row],[Precipitation_mm]]&lt;&gt;0,"Wet","Dry")</f>
        <v>Dry</v>
      </c>
      <c r="M405" t="b">
        <f>OR(ISBLANK(Table1[[#This Row],[Temperature_F]]),ISERROR(Table1[[#This Row],[Temperature_F]]))</f>
        <v>0</v>
      </c>
    </row>
    <row r="406" spans="1:13" hidden="1" x14ac:dyDescent="0.25">
      <c r="A406" s="1" t="s">
        <v>1</v>
      </c>
      <c r="B406" s="1" t="s">
        <v>2</v>
      </c>
      <c r="C406" s="1">
        <v>42.360599999999998</v>
      </c>
      <c r="D406" s="1">
        <v>-71.010599999999997</v>
      </c>
      <c r="E406" s="5">
        <v>40591</v>
      </c>
      <c r="F406" s="1" t="str">
        <f t="shared" si="6"/>
        <v>February</v>
      </c>
      <c r="G406" s="1">
        <v>23</v>
      </c>
      <c r="H406" s="1">
        <v>0</v>
      </c>
      <c r="I406" s="1" t="str">
        <f>IF(Table1[[#This Row],[Temperature_F]]&lt;32,"Yes","No")</f>
        <v>Yes</v>
      </c>
      <c r="J406" s="1" t="str" cm="1">
        <f t="array" ref="J4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6" s="1" t="str" cm="1">
        <f t="array" ref="K406">_xlfn.IFS(
H406=0,"No Rain",
H406&lt;10,"Light",
H406&lt;50,"Moderate",
TRUE,"Heavy")</f>
        <v>No Rain</v>
      </c>
      <c r="L406" s="1" t="str">
        <f>IF(Table1[[#This Row],[Precipitation_mm]]&lt;&gt;0,"Wet","Dry")</f>
        <v>Dry</v>
      </c>
      <c r="M406" t="b">
        <f>OR(ISBLANK(Table1[[#This Row],[Temperature_F]]),ISERROR(Table1[[#This Row],[Temperature_F]]))</f>
        <v>0</v>
      </c>
    </row>
    <row r="407" spans="1:13" x14ac:dyDescent="0.25">
      <c r="A407" s="1" t="s">
        <v>1</v>
      </c>
      <c r="B407" s="1" t="s">
        <v>2</v>
      </c>
      <c r="C407" s="1">
        <v>42.360599999999998</v>
      </c>
      <c r="D407" s="1">
        <v>-71.010599999999997</v>
      </c>
      <c r="E407" s="5">
        <v>40592</v>
      </c>
      <c r="F407" s="1" t="str">
        <f t="shared" si="6"/>
        <v>February</v>
      </c>
      <c r="G407" s="1">
        <v>44</v>
      </c>
      <c r="H407" s="1">
        <v>13</v>
      </c>
      <c r="I407" s="1" t="str">
        <f>IF(Table1[[#This Row],[Temperature_F]]&lt;32,"Yes","No")</f>
        <v>No</v>
      </c>
      <c r="J407" s="1" t="str" cm="1">
        <f t="array" ref="J4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07" s="1" t="str" cm="1">
        <f t="array" ref="K407">_xlfn.IFS(
H407=0,"No Rain",
H407&lt;10,"Light",
H407&lt;50,"Moderate",
TRUE,"Heavy")</f>
        <v>Moderate</v>
      </c>
      <c r="L407" s="1" t="str">
        <f>IF(Table1[[#This Row],[Precipitation_mm]]&lt;&gt;0,"Wet","Dry")</f>
        <v>Wet</v>
      </c>
      <c r="M407" t="b">
        <f>OR(ISBLANK(Table1[[#This Row],[Temperature_F]]),ISERROR(Table1[[#This Row],[Temperature_F]]))</f>
        <v>0</v>
      </c>
    </row>
    <row r="408" spans="1:13" hidden="1" x14ac:dyDescent="0.25">
      <c r="A408" s="1" t="s">
        <v>1</v>
      </c>
      <c r="B408" s="1" t="s">
        <v>2</v>
      </c>
      <c r="C408" s="1">
        <v>42.360599999999998</v>
      </c>
      <c r="D408" s="1">
        <v>-71.010599999999997</v>
      </c>
      <c r="E408" s="5">
        <v>40593</v>
      </c>
      <c r="F408" s="1" t="str">
        <f t="shared" si="6"/>
        <v>February</v>
      </c>
      <c r="G408" s="1">
        <v>22</v>
      </c>
      <c r="H408" s="1">
        <v>0</v>
      </c>
      <c r="I408" s="1" t="str">
        <f>IF(Table1[[#This Row],[Temperature_F]]&lt;32,"Yes","No")</f>
        <v>Yes</v>
      </c>
      <c r="J408" s="1" t="str" cm="1">
        <f t="array" ref="J4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8" s="1" t="str" cm="1">
        <f t="array" ref="K408">_xlfn.IFS(
H408=0,"No Rain",
H408&lt;10,"Light",
H408&lt;50,"Moderate",
TRUE,"Heavy")</f>
        <v>No Rain</v>
      </c>
      <c r="L408" s="1" t="str">
        <f>IF(Table1[[#This Row],[Precipitation_mm]]&lt;&gt;0,"Wet","Dry")</f>
        <v>Dry</v>
      </c>
      <c r="M408" t="b">
        <f>OR(ISBLANK(Table1[[#This Row],[Temperature_F]]),ISERROR(Table1[[#This Row],[Temperature_F]]))</f>
        <v>0</v>
      </c>
    </row>
    <row r="409" spans="1:13" hidden="1" x14ac:dyDescent="0.25">
      <c r="A409" s="1" t="s">
        <v>1</v>
      </c>
      <c r="B409" s="1" t="s">
        <v>2</v>
      </c>
      <c r="C409" s="1">
        <v>42.360599999999998</v>
      </c>
      <c r="D409" s="1">
        <v>-71.010599999999997</v>
      </c>
      <c r="E409" s="5">
        <v>40594</v>
      </c>
      <c r="F409" s="1" t="str">
        <f t="shared" si="6"/>
        <v>February</v>
      </c>
      <c r="G409" s="1">
        <v>22</v>
      </c>
      <c r="H409" s="1">
        <v>0</v>
      </c>
      <c r="I409" s="1" t="str">
        <f>IF(Table1[[#This Row],[Temperature_F]]&lt;32,"Yes","No")</f>
        <v>Yes</v>
      </c>
      <c r="J409" s="1" t="str" cm="1">
        <f t="array" ref="J4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09" s="1" t="str" cm="1">
        <f t="array" ref="K409">_xlfn.IFS(
H409=0,"No Rain",
H409&lt;10,"Light",
H409&lt;50,"Moderate",
TRUE,"Heavy")</f>
        <v>No Rain</v>
      </c>
      <c r="L409" s="1" t="str">
        <f>IF(Table1[[#This Row],[Precipitation_mm]]&lt;&gt;0,"Wet","Dry")</f>
        <v>Dry</v>
      </c>
      <c r="M409" t="b">
        <f>OR(ISBLANK(Table1[[#This Row],[Temperature_F]]),ISERROR(Table1[[#This Row],[Temperature_F]]))</f>
        <v>0</v>
      </c>
    </row>
    <row r="410" spans="1:13" hidden="1" x14ac:dyDescent="0.25">
      <c r="A410" s="1" t="s">
        <v>1</v>
      </c>
      <c r="B410" s="1" t="s">
        <v>2</v>
      </c>
      <c r="C410" s="1">
        <v>42.360599999999998</v>
      </c>
      <c r="D410" s="1">
        <v>-71.010599999999997</v>
      </c>
      <c r="E410" s="5">
        <v>40595</v>
      </c>
      <c r="F410" s="1" t="str">
        <f t="shared" si="6"/>
        <v>February</v>
      </c>
      <c r="G410" s="1">
        <v>25</v>
      </c>
      <c r="H410" s="1">
        <v>20</v>
      </c>
      <c r="I410" s="1" t="str">
        <f>IF(Table1[[#This Row],[Temperature_F]]&lt;32,"Yes","No")</f>
        <v>Yes</v>
      </c>
      <c r="J410" s="1" t="str" cm="1">
        <f t="array" ref="J4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0" s="1" t="str" cm="1">
        <f t="array" ref="K410">_xlfn.IFS(
H410=0,"No Rain",
H410&lt;10,"Light",
H410&lt;50,"Moderate",
TRUE,"Heavy")</f>
        <v>Moderate</v>
      </c>
      <c r="L410" s="1" t="str">
        <f>IF(Table1[[#This Row],[Precipitation_mm]]&lt;&gt;0,"Wet","Dry")</f>
        <v>Wet</v>
      </c>
      <c r="M410" t="b">
        <f>OR(ISBLANK(Table1[[#This Row],[Temperature_F]]),ISERROR(Table1[[#This Row],[Temperature_F]]))</f>
        <v>0</v>
      </c>
    </row>
    <row r="411" spans="1:13" hidden="1" x14ac:dyDescent="0.25">
      <c r="A411" s="1" t="s">
        <v>1</v>
      </c>
      <c r="B411" s="1" t="s">
        <v>2</v>
      </c>
      <c r="C411" s="1">
        <v>42.360599999999998</v>
      </c>
      <c r="D411" s="1">
        <v>-71.010599999999997</v>
      </c>
      <c r="E411" s="5">
        <v>40596</v>
      </c>
      <c r="F411" s="1" t="str">
        <f t="shared" si="6"/>
        <v>February</v>
      </c>
      <c r="G411" s="1">
        <v>26</v>
      </c>
      <c r="H411" s="1">
        <v>0</v>
      </c>
      <c r="I411" s="1" t="str">
        <f>IF(Table1[[#This Row],[Temperature_F]]&lt;32,"Yes","No")</f>
        <v>Yes</v>
      </c>
      <c r="J411" s="1" t="str" cm="1">
        <f t="array" ref="J4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1" s="1" t="str" cm="1">
        <f t="array" ref="K411">_xlfn.IFS(
H411=0,"No Rain",
H411&lt;10,"Light",
H411&lt;50,"Moderate",
TRUE,"Heavy")</f>
        <v>No Rain</v>
      </c>
      <c r="L411" s="1" t="str">
        <f>IF(Table1[[#This Row],[Precipitation_mm]]&lt;&gt;0,"Wet","Dry")</f>
        <v>Dry</v>
      </c>
      <c r="M411" t="b">
        <f>OR(ISBLANK(Table1[[#This Row],[Temperature_F]]),ISERROR(Table1[[#This Row],[Temperature_F]]))</f>
        <v>0</v>
      </c>
    </row>
    <row r="412" spans="1:13" hidden="1" x14ac:dyDescent="0.25">
      <c r="A412" s="1" t="s">
        <v>1</v>
      </c>
      <c r="B412" s="1" t="s">
        <v>2</v>
      </c>
      <c r="C412" s="1">
        <v>42.360599999999998</v>
      </c>
      <c r="D412" s="1">
        <v>-71.010599999999997</v>
      </c>
      <c r="E412" s="5">
        <v>40597</v>
      </c>
      <c r="F412" s="1" t="str">
        <f t="shared" si="6"/>
        <v>February</v>
      </c>
      <c r="G412" s="1">
        <v>11</v>
      </c>
      <c r="H412" s="1">
        <v>0</v>
      </c>
      <c r="I412" s="1" t="str">
        <f>IF(Table1[[#This Row],[Temperature_F]]&lt;32,"Yes","No")</f>
        <v>Yes</v>
      </c>
      <c r="J412" s="1" t="str" cm="1">
        <f t="array" ref="J4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2" s="1" t="str" cm="1">
        <f t="array" ref="K412">_xlfn.IFS(
H412=0,"No Rain",
H412&lt;10,"Light",
H412&lt;50,"Moderate",
TRUE,"Heavy")</f>
        <v>No Rain</v>
      </c>
      <c r="L412" s="1" t="str">
        <f>IF(Table1[[#This Row],[Precipitation_mm]]&lt;&gt;0,"Wet","Dry")</f>
        <v>Dry</v>
      </c>
      <c r="M412" t="b">
        <f>OR(ISBLANK(Table1[[#This Row],[Temperature_F]]),ISERROR(Table1[[#This Row],[Temperature_F]]))</f>
        <v>0</v>
      </c>
    </row>
    <row r="413" spans="1:13" x14ac:dyDescent="0.25">
      <c r="A413" s="1" t="s">
        <v>1</v>
      </c>
      <c r="B413" s="1" t="s">
        <v>2</v>
      </c>
      <c r="C413" s="1">
        <v>42.360599999999998</v>
      </c>
      <c r="D413" s="1">
        <v>-71.010599999999997</v>
      </c>
      <c r="E413" s="5">
        <v>40598</v>
      </c>
      <c r="F413" s="1" t="str">
        <f t="shared" si="6"/>
        <v>February</v>
      </c>
      <c r="G413" s="1">
        <v>42</v>
      </c>
      <c r="H413" s="1">
        <v>0</v>
      </c>
      <c r="I413" s="1" t="str">
        <f>IF(Table1[[#This Row],[Temperature_F]]&lt;32,"Yes","No")</f>
        <v>No</v>
      </c>
      <c r="J413" s="1" t="str" cm="1">
        <f t="array" ref="J4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13" s="1" t="str" cm="1">
        <f t="array" ref="K413">_xlfn.IFS(
H413=0,"No Rain",
H413&lt;10,"Light",
H413&lt;50,"Moderate",
TRUE,"Heavy")</f>
        <v>No Rain</v>
      </c>
      <c r="L413" s="1" t="str">
        <f>IF(Table1[[#This Row],[Precipitation_mm]]&lt;&gt;0,"Wet","Dry")</f>
        <v>Dry</v>
      </c>
      <c r="M413" t="b">
        <f>OR(ISBLANK(Table1[[#This Row],[Temperature_F]]),ISERROR(Table1[[#This Row],[Temperature_F]]))</f>
        <v>0</v>
      </c>
    </row>
    <row r="414" spans="1:13" x14ac:dyDescent="0.25">
      <c r="A414" s="1" t="s">
        <v>1</v>
      </c>
      <c r="B414" s="1" t="s">
        <v>2</v>
      </c>
      <c r="C414" s="1">
        <v>42.360599999999998</v>
      </c>
      <c r="D414" s="1">
        <v>-71.010599999999997</v>
      </c>
      <c r="E414" s="5">
        <v>40599</v>
      </c>
      <c r="F414" s="1" t="str">
        <f t="shared" si="6"/>
        <v>February</v>
      </c>
      <c r="G414" s="1">
        <v>44</v>
      </c>
      <c r="H414" s="1">
        <v>414</v>
      </c>
      <c r="I414" s="1" t="str">
        <f>IF(Table1[[#This Row],[Temperature_F]]&lt;32,"Yes","No")</f>
        <v>No</v>
      </c>
      <c r="J414" s="1" t="str" cm="1">
        <f t="array" ref="J4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14" s="1" t="str" cm="1">
        <f t="array" ref="K414">_xlfn.IFS(
H414=0,"No Rain",
H414&lt;10,"Light",
H414&lt;50,"Moderate",
TRUE,"Heavy")</f>
        <v>Heavy</v>
      </c>
      <c r="L414" s="1" t="str">
        <f>IF(Table1[[#This Row],[Precipitation_mm]]&lt;&gt;0,"Wet","Dry")</f>
        <v>Wet</v>
      </c>
      <c r="M414" t="b">
        <f>OR(ISBLANK(Table1[[#This Row],[Temperature_F]]),ISERROR(Table1[[#This Row],[Temperature_F]]))</f>
        <v>0</v>
      </c>
    </row>
    <row r="415" spans="1:13" hidden="1" x14ac:dyDescent="0.25">
      <c r="A415" s="1" t="s">
        <v>1</v>
      </c>
      <c r="B415" s="1" t="s">
        <v>2</v>
      </c>
      <c r="C415" s="1">
        <v>42.360599999999998</v>
      </c>
      <c r="D415" s="1">
        <v>-71.010599999999997</v>
      </c>
      <c r="E415" s="5">
        <v>40600</v>
      </c>
      <c r="F415" s="1" t="str">
        <f t="shared" si="6"/>
        <v>February</v>
      </c>
      <c r="G415" s="1">
        <v>18</v>
      </c>
      <c r="H415" s="1">
        <v>0</v>
      </c>
      <c r="I415" s="1" t="str">
        <f>IF(Table1[[#This Row],[Temperature_F]]&lt;32,"Yes","No")</f>
        <v>Yes</v>
      </c>
      <c r="J415" s="1" t="str" cm="1">
        <f t="array" ref="J4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5" s="1" t="str" cm="1">
        <f t="array" ref="K415">_xlfn.IFS(
H415=0,"No Rain",
H415&lt;10,"Light",
H415&lt;50,"Moderate",
TRUE,"Heavy")</f>
        <v>No Rain</v>
      </c>
      <c r="L415" s="1" t="str">
        <f>IF(Table1[[#This Row],[Precipitation_mm]]&lt;&gt;0,"Wet","Dry")</f>
        <v>Dry</v>
      </c>
      <c r="M415" t="b">
        <f>OR(ISBLANK(Table1[[#This Row],[Temperature_F]]),ISERROR(Table1[[#This Row],[Temperature_F]]))</f>
        <v>0</v>
      </c>
    </row>
    <row r="416" spans="1:13" x14ac:dyDescent="0.25">
      <c r="A416" s="1" t="s">
        <v>1</v>
      </c>
      <c r="B416" s="1" t="s">
        <v>2</v>
      </c>
      <c r="C416" s="1">
        <v>42.360599999999998</v>
      </c>
      <c r="D416" s="1">
        <v>-71.010599999999997</v>
      </c>
      <c r="E416" s="5">
        <v>40601</v>
      </c>
      <c r="F416" s="1" t="str">
        <f t="shared" si="6"/>
        <v>February</v>
      </c>
      <c r="G416" s="1">
        <v>45</v>
      </c>
      <c r="H416" s="1">
        <v>79</v>
      </c>
      <c r="I416" s="1" t="str">
        <f>IF(Table1[[#This Row],[Temperature_F]]&lt;32,"Yes","No")</f>
        <v>No</v>
      </c>
      <c r="J416" s="1" t="str" cm="1">
        <f t="array" ref="J4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16" s="1" t="str" cm="1">
        <f t="array" ref="K416">_xlfn.IFS(
H416=0,"No Rain",
H416&lt;10,"Light",
H416&lt;50,"Moderate",
TRUE,"Heavy")</f>
        <v>Heavy</v>
      </c>
      <c r="L416" s="1" t="str">
        <f>IF(Table1[[#This Row],[Precipitation_mm]]&lt;&gt;0,"Wet","Dry")</f>
        <v>Wet</v>
      </c>
      <c r="M416" t="b">
        <f>OR(ISBLANK(Table1[[#This Row],[Temperature_F]]),ISERROR(Table1[[#This Row],[Temperature_F]]))</f>
        <v>0</v>
      </c>
    </row>
    <row r="417" spans="1:13" hidden="1" x14ac:dyDescent="0.25">
      <c r="A417" s="1" t="s">
        <v>1</v>
      </c>
      <c r="B417" s="1" t="s">
        <v>2</v>
      </c>
      <c r="C417" s="1">
        <v>42.360599999999998</v>
      </c>
      <c r="D417" s="1">
        <v>-71.010599999999997</v>
      </c>
      <c r="E417" s="5">
        <v>40602</v>
      </c>
      <c r="F417" s="1" t="str">
        <f t="shared" si="6"/>
        <v>February</v>
      </c>
      <c r="G417" s="1">
        <v>28</v>
      </c>
      <c r="H417" s="1">
        <v>160</v>
      </c>
      <c r="I417" s="1" t="str">
        <f>IF(Table1[[#This Row],[Temperature_F]]&lt;32,"Yes","No")</f>
        <v>Yes</v>
      </c>
      <c r="J417" s="1" t="str" cm="1">
        <f t="array" ref="J4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7" s="1" t="str" cm="1">
        <f t="array" ref="K417">_xlfn.IFS(
H417=0,"No Rain",
H417&lt;10,"Light",
H417&lt;50,"Moderate",
TRUE,"Heavy")</f>
        <v>Heavy</v>
      </c>
      <c r="L417" s="1" t="str">
        <f>IF(Table1[[#This Row],[Precipitation_mm]]&lt;&gt;0,"Wet","Dry")</f>
        <v>Wet</v>
      </c>
      <c r="M417" t="b">
        <f>OR(ISBLANK(Table1[[#This Row],[Temperature_F]]),ISERROR(Table1[[#This Row],[Temperature_F]]))</f>
        <v>0</v>
      </c>
    </row>
    <row r="418" spans="1:13" x14ac:dyDescent="0.25">
      <c r="A418" s="1" t="s">
        <v>1</v>
      </c>
      <c r="B418" s="1" t="s">
        <v>2</v>
      </c>
      <c r="C418" s="1">
        <v>42.360599999999998</v>
      </c>
      <c r="D418" s="1">
        <v>-71.010599999999997</v>
      </c>
      <c r="E418" s="5">
        <v>40603</v>
      </c>
      <c r="F418" s="1" t="str">
        <f t="shared" si="6"/>
        <v>March</v>
      </c>
      <c r="G418" s="1">
        <v>38</v>
      </c>
      <c r="H418" s="1">
        <v>0</v>
      </c>
      <c r="I418" s="1" t="str">
        <f>IF(Table1[[#This Row],[Temperature_F]]&lt;32,"Yes","No")</f>
        <v>No</v>
      </c>
      <c r="J418" s="1" t="str" cm="1">
        <f t="array" ref="J4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18" s="1" t="str" cm="1">
        <f t="array" ref="K418">_xlfn.IFS(
H418=0,"No Rain",
H418&lt;10,"Light",
H418&lt;50,"Moderate",
TRUE,"Heavy")</f>
        <v>No Rain</v>
      </c>
      <c r="L418" s="1" t="str">
        <f>IF(Table1[[#This Row],[Precipitation_mm]]&lt;&gt;0,"Wet","Dry")</f>
        <v>Dry</v>
      </c>
      <c r="M418" t="b">
        <f>OR(ISBLANK(Table1[[#This Row],[Temperature_F]]),ISERROR(Table1[[#This Row],[Temperature_F]]))</f>
        <v>0</v>
      </c>
    </row>
    <row r="419" spans="1:13" hidden="1" x14ac:dyDescent="0.25">
      <c r="A419" s="1" t="s">
        <v>1</v>
      </c>
      <c r="B419" s="1" t="s">
        <v>2</v>
      </c>
      <c r="C419" s="1">
        <v>42.360599999999998</v>
      </c>
      <c r="D419" s="1">
        <v>-71.010599999999997</v>
      </c>
      <c r="E419" s="5">
        <v>40604</v>
      </c>
      <c r="F419" s="1" t="str">
        <f t="shared" si="6"/>
        <v>March</v>
      </c>
      <c r="G419" s="1">
        <v>18</v>
      </c>
      <c r="H419" s="1">
        <v>5</v>
      </c>
      <c r="I419" s="1" t="str">
        <f>IF(Table1[[#This Row],[Temperature_F]]&lt;32,"Yes","No")</f>
        <v>Yes</v>
      </c>
      <c r="J419" s="1" t="str" cm="1">
        <f t="array" ref="J4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19" s="1" t="str" cm="1">
        <f t="array" ref="K419">_xlfn.IFS(
H419=0,"No Rain",
H419&lt;10,"Light",
H419&lt;50,"Moderate",
TRUE,"Heavy")</f>
        <v>Light</v>
      </c>
      <c r="L419" s="1" t="str">
        <f>IF(Table1[[#This Row],[Precipitation_mm]]&lt;&gt;0,"Wet","Dry")</f>
        <v>Wet</v>
      </c>
      <c r="M419" t="b">
        <f>OR(ISBLANK(Table1[[#This Row],[Temperature_F]]),ISERROR(Table1[[#This Row],[Temperature_F]]))</f>
        <v>0</v>
      </c>
    </row>
    <row r="420" spans="1:13" hidden="1" x14ac:dyDescent="0.25">
      <c r="A420" s="1" t="s">
        <v>1</v>
      </c>
      <c r="B420" s="1" t="s">
        <v>2</v>
      </c>
      <c r="C420" s="1">
        <v>42.360599999999998</v>
      </c>
      <c r="D420" s="1">
        <v>-71.010599999999997</v>
      </c>
      <c r="E420" s="5">
        <v>40605</v>
      </c>
      <c r="F420" s="1" t="str">
        <f t="shared" si="6"/>
        <v>March</v>
      </c>
      <c r="G420" s="1">
        <v>18</v>
      </c>
      <c r="H420" s="1">
        <v>0</v>
      </c>
      <c r="I420" s="1" t="str">
        <f>IF(Table1[[#This Row],[Temperature_F]]&lt;32,"Yes","No")</f>
        <v>Yes</v>
      </c>
      <c r="J420" s="1" t="str" cm="1">
        <f t="array" ref="J4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0" s="1" t="str" cm="1">
        <f t="array" ref="K420">_xlfn.IFS(
H420=0,"No Rain",
H420&lt;10,"Light",
H420&lt;50,"Moderate",
TRUE,"Heavy")</f>
        <v>No Rain</v>
      </c>
      <c r="L420" s="1" t="str">
        <f>IF(Table1[[#This Row],[Precipitation_mm]]&lt;&gt;0,"Wet","Dry")</f>
        <v>Dry</v>
      </c>
      <c r="M420" t="b">
        <f>OR(ISBLANK(Table1[[#This Row],[Temperature_F]]),ISERROR(Table1[[#This Row],[Temperature_F]]))</f>
        <v>0</v>
      </c>
    </row>
    <row r="421" spans="1:13" hidden="1" x14ac:dyDescent="0.25">
      <c r="A421" s="1" t="s">
        <v>1</v>
      </c>
      <c r="B421" s="1" t="s">
        <v>2</v>
      </c>
      <c r="C421" s="1">
        <v>42.360599999999998</v>
      </c>
      <c r="D421" s="1">
        <v>-71.010599999999997</v>
      </c>
      <c r="E421" s="5">
        <v>40607</v>
      </c>
      <c r="F421" s="1" t="str">
        <f t="shared" si="6"/>
        <v>March</v>
      </c>
      <c r="G421" s="1">
        <v>28</v>
      </c>
      <c r="H421" s="1">
        <v>0</v>
      </c>
      <c r="I421" s="1" t="str">
        <f>IF(Table1[[#This Row],[Temperature_F]]&lt;32,"Yes","No")</f>
        <v>Yes</v>
      </c>
      <c r="J421" s="1" t="str" cm="1">
        <f t="array" ref="J4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1" s="1" t="str" cm="1">
        <f t="array" ref="K421">_xlfn.IFS(
H421=0,"No Rain",
H421&lt;10,"Light",
H421&lt;50,"Moderate",
TRUE,"Heavy")</f>
        <v>No Rain</v>
      </c>
      <c r="L421" s="1" t="str">
        <f>IF(Table1[[#This Row],[Precipitation_mm]]&lt;&gt;0,"Wet","Dry")</f>
        <v>Dry</v>
      </c>
      <c r="M421" t="b">
        <f>OR(ISBLANK(Table1[[#This Row],[Temperature_F]]),ISERROR(Table1[[#This Row],[Temperature_F]]))</f>
        <v>0</v>
      </c>
    </row>
    <row r="422" spans="1:13" x14ac:dyDescent="0.25">
      <c r="A422" s="1" t="s">
        <v>1</v>
      </c>
      <c r="B422" s="1" t="s">
        <v>2</v>
      </c>
      <c r="C422" s="1">
        <v>42.360599999999998</v>
      </c>
      <c r="D422" s="1">
        <v>-71.010599999999997</v>
      </c>
      <c r="E422" s="5">
        <v>40608</v>
      </c>
      <c r="F422" s="1" t="str">
        <f t="shared" si="6"/>
        <v>March</v>
      </c>
      <c r="G422" s="1">
        <v>42</v>
      </c>
      <c r="H422" s="1">
        <v>18</v>
      </c>
      <c r="I422" s="1" t="str">
        <f>IF(Table1[[#This Row],[Temperature_F]]&lt;32,"Yes","No")</f>
        <v>No</v>
      </c>
      <c r="J422" s="1" t="str" cm="1">
        <f t="array" ref="J4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22" s="1" t="str" cm="1">
        <f t="array" ref="K422">_xlfn.IFS(
H422=0,"No Rain",
H422&lt;10,"Light",
H422&lt;50,"Moderate",
TRUE,"Heavy")</f>
        <v>Moderate</v>
      </c>
      <c r="L422" s="1" t="str">
        <f>IF(Table1[[#This Row],[Precipitation_mm]]&lt;&gt;0,"Wet","Dry")</f>
        <v>Wet</v>
      </c>
      <c r="M422" t="b">
        <f>OR(ISBLANK(Table1[[#This Row],[Temperature_F]]),ISERROR(Table1[[#This Row],[Temperature_F]]))</f>
        <v>0</v>
      </c>
    </row>
    <row r="423" spans="1:13" hidden="1" x14ac:dyDescent="0.25">
      <c r="A423" s="1" t="s">
        <v>1</v>
      </c>
      <c r="B423" s="1" t="s">
        <v>2</v>
      </c>
      <c r="C423" s="1">
        <v>42.360599999999998</v>
      </c>
      <c r="D423" s="1">
        <v>-71.010599999999997</v>
      </c>
      <c r="E423" s="5">
        <v>40609</v>
      </c>
      <c r="F423" s="1" t="str">
        <f t="shared" si="6"/>
        <v>March</v>
      </c>
      <c r="G423" s="1">
        <v>14</v>
      </c>
      <c r="H423" s="1">
        <v>104</v>
      </c>
      <c r="I423" s="1" t="str">
        <f>IF(Table1[[#This Row],[Temperature_F]]&lt;32,"Yes","No")</f>
        <v>Yes</v>
      </c>
      <c r="J423" s="1" t="str" cm="1">
        <f t="array" ref="J4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3" s="1" t="str" cm="1">
        <f t="array" ref="K423">_xlfn.IFS(
H423=0,"No Rain",
H423&lt;10,"Light",
H423&lt;50,"Moderate",
TRUE,"Heavy")</f>
        <v>Heavy</v>
      </c>
      <c r="L423" s="1" t="str">
        <f>IF(Table1[[#This Row],[Precipitation_mm]]&lt;&gt;0,"Wet","Dry")</f>
        <v>Wet</v>
      </c>
      <c r="M423" t="b">
        <f>OR(ISBLANK(Table1[[#This Row],[Temperature_F]]),ISERROR(Table1[[#This Row],[Temperature_F]]))</f>
        <v>0</v>
      </c>
    </row>
    <row r="424" spans="1:13" hidden="1" x14ac:dyDescent="0.25">
      <c r="A424" s="1" t="s">
        <v>1</v>
      </c>
      <c r="B424" s="1" t="s">
        <v>2</v>
      </c>
      <c r="C424" s="1">
        <v>42.360599999999998</v>
      </c>
      <c r="D424" s="1">
        <v>-71.010599999999997</v>
      </c>
      <c r="E424" s="5">
        <v>40610</v>
      </c>
      <c r="F424" s="1" t="str">
        <f t="shared" si="6"/>
        <v>March</v>
      </c>
      <c r="G424" s="1">
        <v>29</v>
      </c>
      <c r="H424" s="1">
        <v>0</v>
      </c>
      <c r="I424" s="1" t="str">
        <f>IF(Table1[[#This Row],[Temperature_F]]&lt;32,"Yes","No")</f>
        <v>Yes</v>
      </c>
      <c r="J424" s="1" t="str" cm="1">
        <f t="array" ref="J4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4" s="1" t="str" cm="1">
        <f t="array" ref="K424">_xlfn.IFS(
H424=0,"No Rain",
H424&lt;10,"Light",
H424&lt;50,"Moderate",
TRUE,"Heavy")</f>
        <v>No Rain</v>
      </c>
      <c r="L424" s="1" t="str">
        <f>IF(Table1[[#This Row],[Precipitation_mm]]&lt;&gt;0,"Wet","Dry")</f>
        <v>Dry</v>
      </c>
      <c r="M424" t="b">
        <f>OR(ISBLANK(Table1[[#This Row],[Temperature_F]]),ISERROR(Table1[[#This Row],[Temperature_F]]))</f>
        <v>0</v>
      </c>
    </row>
    <row r="425" spans="1:13" hidden="1" x14ac:dyDescent="0.25">
      <c r="A425" s="1" t="s">
        <v>1</v>
      </c>
      <c r="B425" s="1" t="s">
        <v>2</v>
      </c>
      <c r="C425" s="1">
        <v>42.360599999999998</v>
      </c>
      <c r="D425" s="1">
        <v>-71.010599999999997</v>
      </c>
      <c r="E425" s="5">
        <v>40611</v>
      </c>
      <c r="F425" s="1" t="str">
        <f t="shared" si="6"/>
        <v>March</v>
      </c>
      <c r="G425" s="1">
        <v>29</v>
      </c>
      <c r="H425" s="1">
        <v>0</v>
      </c>
      <c r="I425" s="1" t="str">
        <f>IF(Table1[[#This Row],[Temperature_F]]&lt;32,"Yes","No")</f>
        <v>Yes</v>
      </c>
      <c r="J425" s="1" t="str" cm="1">
        <f t="array" ref="J4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5" s="1" t="str" cm="1">
        <f t="array" ref="K425">_xlfn.IFS(
H425=0,"No Rain",
H425&lt;10,"Light",
H425&lt;50,"Moderate",
TRUE,"Heavy")</f>
        <v>No Rain</v>
      </c>
      <c r="L425" s="1" t="str">
        <f>IF(Table1[[#This Row],[Precipitation_mm]]&lt;&gt;0,"Wet","Dry")</f>
        <v>Dry</v>
      </c>
      <c r="M425" t="b">
        <f>OR(ISBLANK(Table1[[#This Row],[Temperature_F]]),ISERROR(Table1[[#This Row],[Temperature_F]]))</f>
        <v>0</v>
      </c>
    </row>
    <row r="426" spans="1:13" x14ac:dyDescent="0.25">
      <c r="A426" s="1" t="s">
        <v>1</v>
      </c>
      <c r="B426" s="1" t="s">
        <v>2</v>
      </c>
      <c r="C426" s="1">
        <v>42.360599999999998</v>
      </c>
      <c r="D426" s="1">
        <v>-71.010599999999997</v>
      </c>
      <c r="E426" s="5">
        <v>40612</v>
      </c>
      <c r="F426" s="1" t="str">
        <f t="shared" si="6"/>
        <v>March</v>
      </c>
      <c r="G426" s="1">
        <v>38</v>
      </c>
      <c r="H426" s="1">
        <v>5</v>
      </c>
      <c r="I426" s="1" t="str">
        <f>IF(Table1[[#This Row],[Temperature_F]]&lt;32,"Yes","No")</f>
        <v>No</v>
      </c>
      <c r="J426" s="1" t="str" cm="1">
        <f t="array" ref="J4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26" s="1" t="str" cm="1">
        <f t="array" ref="K426">_xlfn.IFS(
H426=0,"No Rain",
H426&lt;10,"Light",
H426&lt;50,"Moderate",
TRUE,"Heavy")</f>
        <v>Light</v>
      </c>
      <c r="L426" s="1" t="str">
        <f>IF(Table1[[#This Row],[Precipitation_mm]]&lt;&gt;0,"Wet","Dry")</f>
        <v>Wet</v>
      </c>
      <c r="M426" t="b">
        <f>OR(ISBLANK(Table1[[#This Row],[Temperature_F]]),ISERROR(Table1[[#This Row],[Temperature_F]]))</f>
        <v>0</v>
      </c>
    </row>
    <row r="427" spans="1:13" x14ac:dyDescent="0.25">
      <c r="A427" s="1" t="s">
        <v>1</v>
      </c>
      <c r="B427" s="1" t="s">
        <v>2</v>
      </c>
      <c r="C427" s="1">
        <v>42.360599999999998</v>
      </c>
      <c r="D427" s="1">
        <v>-71.010599999999997</v>
      </c>
      <c r="E427" s="5">
        <v>40613</v>
      </c>
      <c r="F427" s="1" t="str">
        <f t="shared" si="6"/>
        <v>March</v>
      </c>
      <c r="G427" s="1">
        <v>38</v>
      </c>
      <c r="H427" s="1">
        <v>132</v>
      </c>
      <c r="I427" s="1" t="str">
        <f>IF(Table1[[#This Row],[Temperature_F]]&lt;32,"Yes","No")</f>
        <v>No</v>
      </c>
      <c r="J427" s="1" t="str" cm="1">
        <f t="array" ref="J4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27" s="1" t="str" cm="1">
        <f t="array" ref="K427">_xlfn.IFS(
H427=0,"No Rain",
H427&lt;10,"Light",
H427&lt;50,"Moderate",
TRUE,"Heavy")</f>
        <v>Heavy</v>
      </c>
      <c r="L427" s="1" t="str">
        <f>IF(Table1[[#This Row],[Precipitation_mm]]&lt;&gt;0,"Wet","Dry")</f>
        <v>Wet</v>
      </c>
      <c r="M427" t="b">
        <f>OR(ISBLANK(Table1[[#This Row],[Temperature_F]]),ISERROR(Table1[[#This Row],[Temperature_F]]))</f>
        <v>0</v>
      </c>
    </row>
    <row r="428" spans="1:13" hidden="1" x14ac:dyDescent="0.25">
      <c r="A428" s="1" t="s">
        <v>1</v>
      </c>
      <c r="B428" s="1" t="s">
        <v>2</v>
      </c>
      <c r="C428" s="1">
        <v>42.360599999999998</v>
      </c>
      <c r="D428" s="1">
        <v>-71.010599999999997</v>
      </c>
      <c r="E428" s="5">
        <v>40614</v>
      </c>
      <c r="F428" s="1" t="str">
        <f t="shared" si="6"/>
        <v>March</v>
      </c>
      <c r="G428" s="1">
        <v>28</v>
      </c>
      <c r="H428" s="1">
        <v>0</v>
      </c>
      <c r="I428" s="1" t="str">
        <f>IF(Table1[[#This Row],[Temperature_F]]&lt;32,"Yes","No")</f>
        <v>Yes</v>
      </c>
      <c r="J428" s="1" t="str" cm="1">
        <f t="array" ref="J4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8" s="1" t="str" cm="1">
        <f t="array" ref="K428">_xlfn.IFS(
H428=0,"No Rain",
H428&lt;10,"Light",
H428&lt;50,"Moderate",
TRUE,"Heavy")</f>
        <v>No Rain</v>
      </c>
      <c r="L428" s="1" t="str">
        <f>IF(Table1[[#This Row],[Precipitation_mm]]&lt;&gt;0,"Wet","Dry")</f>
        <v>Dry</v>
      </c>
      <c r="M428" t="b">
        <f>OR(ISBLANK(Table1[[#This Row],[Temperature_F]]),ISERROR(Table1[[#This Row],[Temperature_F]]))</f>
        <v>0</v>
      </c>
    </row>
    <row r="429" spans="1:13" hidden="1" x14ac:dyDescent="0.25">
      <c r="A429" s="1" t="s">
        <v>1</v>
      </c>
      <c r="B429" s="1" t="s">
        <v>2</v>
      </c>
      <c r="C429" s="1">
        <v>42.360599999999998</v>
      </c>
      <c r="D429" s="1">
        <v>-71.010599999999997</v>
      </c>
      <c r="E429" s="5">
        <v>40615</v>
      </c>
      <c r="F429" s="1" t="str">
        <f t="shared" si="6"/>
        <v>March</v>
      </c>
      <c r="G429" s="1">
        <v>28</v>
      </c>
      <c r="H429" s="1">
        <v>0</v>
      </c>
      <c r="I429" s="1" t="str">
        <f>IF(Table1[[#This Row],[Temperature_F]]&lt;32,"Yes","No")</f>
        <v>Yes</v>
      </c>
      <c r="J429" s="1" t="str" cm="1">
        <f t="array" ref="J4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29" s="1" t="str" cm="1">
        <f t="array" ref="K429">_xlfn.IFS(
H429=0,"No Rain",
H429&lt;10,"Light",
H429&lt;50,"Moderate",
TRUE,"Heavy")</f>
        <v>No Rain</v>
      </c>
      <c r="L429" s="1" t="str">
        <f>IF(Table1[[#This Row],[Precipitation_mm]]&lt;&gt;0,"Wet","Dry")</f>
        <v>Dry</v>
      </c>
      <c r="M429" t="b">
        <f>OR(ISBLANK(Table1[[#This Row],[Temperature_F]]),ISERROR(Table1[[#This Row],[Temperature_F]]))</f>
        <v>0</v>
      </c>
    </row>
    <row r="430" spans="1:13" hidden="1" x14ac:dyDescent="0.25">
      <c r="A430" s="1" t="s">
        <v>1</v>
      </c>
      <c r="B430" s="1" t="s">
        <v>2</v>
      </c>
      <c r="C430" s="1">
        <v>42.360599999999998</v>
      </c>
      <c r="D430" s="1">
        <v>-71.010599999999997</v>
      </c>
      <c r="E430" s="5">
        <v>40616</v>
      </c>
      <c r="F430" s="1" t="str">
        <f t="shared" si="6"/>
        <v>March</v>
      </c>
      <c r="G430" s="1">
        <v>20</v>
      </c>
      <c r="H430" s="1">
        <v>0</v>
      </c>
      <c r="I430" s="1" t="str">
        <f>IF(Table1[[#This Row],[Temperature_F]]&lt;32,"Yes","No")</f>
        <v>Yes</v>
      </c>
      <c r="J430" s="1" t="str" cm="1">
        <f t="array" ref="J4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0" s="1" t="str" cm="1">
        <f t="array" ref="K430">_xlfn.IFS(
H430=0,"No Rain",
H430&lt;10,"Light",
H430&lt;50,"Moderate",
TRUE,"Heavy")</f>
        <v>No Rain</v>
      </c>
      <c r="L430" s="1" t="str">
        <f>IF(Table1[[#This Row],[Precipitation_mm]]&lt;&gt;0,"Wet","Dry")</f>
        <v>Dry</v>
      </c>
      <c r="M430" t="b">
        <f>OR(ISBLANK(Table1[[#This Row],[Temperature_F]]),ISERROR(Table1[[#This Row],[Temperature_F]]))</f>
        <v>0</v>
      </c>
    </row>
    <row r="431" spans="1:13" hidden="1" x14ac:dyDescent="0.25">
      <c r="A431" s="1" t="s">
        <v>1</v>
      </c>
      <c r="B431" s="1" t="s">
        <v>2</v>
      </c>
      <c r="C431" s="1">
        <v>42.360599999999998</v>
      </c>
      <c r="D431" s="1">
        <v>-71.010599999999997</v>
      </c>
      <c r="E431" s="5">
        <v>40617</v>
      </c>
      <c r="F431" s="1" t="str">
        <f t="shared" si="6"/>
        <v>March</v>
      </c>
      <c r="G431" s="1">
        <v>21</v>
      </c>
      <c r="H431" s="1">
        <v>0</v>
      </c>
      <c r="I431" s="1" t="str">
        <f>IF(Table1[[#This Row],[Temperature_F]]&lt;32,"Yes","No")</f>
        <v>Yes</v>
      </c>
      <c r="J431" s="1" t="str" cm="1">
        <f t="array" ref="J4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1" s="1" t="str" cm="1">
        <f t="array" ref="K431">_xlfn.IFS(
H431=0,"No Rain",
H431&lt;10,"Light",
H431&lt;50,"Moderate",
TRUE,"Heavy")</f>
        <v>No Rain</v>
      </c>
      <c r="L431" s="1" t="str">
        <f>IF(Table1[[#This Row],[Precipitation_mm]]&lt;&gt;0,"Wet","Dry")</f>
        <v>Dry</v>
      </c>
      <c r="M431" t="b">
        <f>OR(ISBLANK(Table1[[#This Row],[Temperature_F]]),ISERROR(Table1[[#This Row],[Temperature_F]]))</f>
        <v>0</v>
      </c>
    </row>
    <row r="432" spans="1:13" x14ac:dyDescent="0.25">
      <c r="A432" s="1" t="s">
        <v>1</v>
      </c>
      <c r="B432" s="1" t="s">
        <v>2</v>
      </c>
      <c r="C432" s="1">
        <v>42.360599999999998</v>
      </c>
      <c r="D432" s="1">
        <v>-71.010599999999997</v>
      </c>
      <c r="E432" s="5">
        <v>40618</v>
      </c>
      <c r="F432" s="1" t="str">
        <f t="shared" si="6"/>
        <v>March</v>
      </c>
      <c r="G432" s="1">
        <v>41</v>
      </c>
      <c r="H432" s="1">
        <v>137</v>
      </c>
      <c r="I432" s="1" t="str">
        <f>IF(Table1[[#This Row],[Temperature_F]]&lt;32,"Yes","No")</f>
        <v>No</v>
      </c>
      <c r="J432" s="1" t="str" cm="1">
        <f t="array" ref="J4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32" s="1" t="str" cm="1">
        <f t="array" ref="K432">_xlfn.IFS(
H432=0,"No Rain",
H432&lt;10,"Light",
H432&lt;50,"Moderate",
TRUE,"Heavy")</f>
        <v>Heavy</v>
      </c>
      <c r="L432" s="1" t="str">
        <f>IF(Table1[[#This Row],[Precipitation_mm]]&lt;&gt;0,"Wet","Dry")</f>
        <v>Wet</v>
      </c>
      <c r="M432" t="b">
        <f>OR(ISBLANK(Table1[[#This Row],[Temperature_F]]),ISERROR(Table1[[#This Row],[Temperature_F]]))</f>
        <v>0</v>
      </c>
    </row>
    <row r="433" spans="1:13" x14ac:dyDescent="0.25">
      <c r="A433" s="1" t="s">
        <v>1</v>
      </c>
      <c r="B433" s="1" t="s">
        <v>2</v>
      </c>
      <c r="C433" s="1">
        <v>42.360599999999998</v>
      </c>
      <c r="D433" s="1">
        <v>-71.010599999999997</v>
      </c>
      <c r="E433" s="5">
        <v>40619</v>
      </c>
      <c r="F433" s="1" t="str">
        <f t="shared" si="6"/>
        <v>March</v>
      </c>
      <c r="G433" s="1">
        <v>43</v>
      </c>
      <c r="H433" s="1">
        <v>0</v>
      </c>
      <c r="I433" s="1" t="str">
        <f>IF(Table1[[#This Row],[Temperature_F]]&lt;32,"Yes","No")</f>
        <v>No</v>
      </c>
      <c r="J433" s="1" t="str" cm="1">
        <f t="array" ref="J4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33" s="1" t="str" cm="1">
        <f t="array" ref="K433">_xlfn.IFS(
H433=0,"No Rain",
H433&lt;10,"Light",
H433&lt;50,"Moderate",
TRUE,"Heavy")</f>
        <v>No Rain</v>
      </c>
      <c r="L433" s="1" t="str">
        <f>IF(Table1[[#This Row],[Precipitation_mm]]&lt;&gt;0,"Wet","Dry")</f>
        <v>Dry</v>
      </c>
      <c r="M433" t="b">
        <f>OR(ISBLANK(Table1[[#This Row],[Temperature_F]]),ISERROR(Table1[[#This Row],[Temperature_F]]))</f>
        <v>0</v>
      </c>
    </row>
    <row r="434" spans="1:13" hidden="1" x14ac:dyDescent="0.25">
      <c r="A434" s="1" t="s">
        <v>1</v>
      </c>
      <c r="B434" s="1" t="s">
        <v>2</v>
      </c>
      <c r="C434" s="1">
        <v>42.360599999999998</v>
      </c>
      <c r="D434" s="1">
        <v>-71.010599999999997</v>
      </c>
      <c r="E434" s="5">
        <v>40620</v>
      </c>
      <c r="F434" s="1" t="str">
        <f t="shared" si="6"/>
        <v>March</v>
      </c>
      <c r="G434" s="1">
        <v>29</v>
      </c>
      <c r="H434" s="1">
        <v>0</v>
      </c>
      <c r="I434" s="1" t="str">
        <f>IF(Table1[[#This Row],[Temperature_F]]&lt;32,"Yes","No")</f>
        <v>Yes</v>
      </c>
      <c r="J434" s="1" t="str" cm="1">
        <f t="array" ref="J4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4" s="1" t="str" cm="1">
        <f t="array" ref="K434">_xlfn.IFS(
H434=0,"No Rain",
H434&lt;10,"Light",
H434&lt;50,"Moderate",
TRUE,"Heavy")</f>
        <v>No Rain</v>
      </c>
      <c r="L434" s="1" t="str">
        <f>IF(Table1[[#This Row],[Precipitation_mm]]&lt;&gt;0,"Wet","Dry")</f>
        <v>Dry</v>
      </c>
      <c r="M434" t="b">
        <f>OR(ISBLANK(Table1[[#This Row],[Temperature_F]]),ISERROR(Table1[[#This Row],[Temperature_F]]))</f>
        <v>0</v>
      </c>
    </row>
    <row r="435" spans="1:13" hidden="1" x14ac:dyDescent="0.25">
      <c r="A435" s="1" t="s">
        <v>1</v>
      </c>
      <c r="B435" s="1" t="s">
        <v>2</v>
      </c>
      <c r="C435" s="1">
        <v>42.360599999999998</v>
      </c>
      <c r="D435" s="1">
        <v>-71.010599999999997</v>
      </c>
      <c r="E435" s="5">
        <v>40621</v>
      </c>
      <c r="F435" s="1" t="str">
        <f t="shared" si="6"/>
        <v>March</v>
      </c>
      <c r="G435" s="1">
        <v>13</v>
      </c>
      <c r="H435" s="1">
        <v>0</v>
      </c>
      <c r="I435" s="1" t="str">
        <f>IF(Table1[[#This Row],[Temperature_F]]&lt;32,"Yes","No")</f>
        <v>Yes</v>
      </c>
      <c r="J435" s="1" t="str" cm="1">
        <f t="array" ref="J4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5" s="1" t="str" cm="1">
        <f t="array" ref="K435">_xlfn.IFS(
H435=0,"No Rain",
H435&lt;10,"Light",
H435&lt;50,"Moderate",
TRUE,"Heavy")</f>
        <v>No Rain</v>
      </c>
      <c r="L435" s="1" t="str">
        <f>IF(Table1[[#This Row],[Precipitation_mm]]&lt;&gt;0,"Wet","Dry")</f>
        <v>Dry</v>
      </c>
      <c r="M435" t="b">
        <f>OR(ISBLANK(Table1[[#This Row],[Temperature_F]]),ISERROR(Table1[[#This Row],[Temperature_F]]))</f>
        <v>0</v>
      </c>
    </row>
    <row r="436" spans="1:13" hidden="1" x14ac:dyDescent="0.25">
      <c r="A436" s="1" t="s">
        <v>1</v>
      </c>
      <c r="B436" s="1" t="s">
        <v>2</v>
      </c>
      <c r="C436" s="1">
        <v>42.360599999999998</v>
      </c>
      <c r="D436" s="1">
        <v>-71.010599999999997</v>
      </c>
      <c r="E436" s="5">
        <v>40622</v>
      </c>
      <c r="F436" s="1" t="str">
        <f t="shared" si="6"/>
        <v>March</v>
      </c>
      <c r="G436" s="1">
        <v>31</v>
      </c>
      <c r="H436" s="1">
        <v>0</v>
      </c>
      <c r="I436" s="1" t="str">
        <f>IF(Table1[[#This Row],[Temperature_F]]&lt;32,"Yes","No")</f>
        <v>Yes</v>
      </c>
      <c r="J436" s="1" t="str" cm="1">
        <f t="array" ref="J4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6" s="1" t="str" cm="1">
        <f t="array" ref="K436">_xlfn.IFS(
H436=0,"No Rain",
H436&lt;10,"Light",
H436&lt;50,"Moderate",
TRUE,"Heavy")</f>
        <v>No Rain</v>
      </c>
      <c r="L436" s="1" t="str">
        <f>IF(Table1[[#This Row],[Precipitation_mm]]&lt;&gt;0,"Wet","Dry")</f>
        <v>Dry</v>
      </c>
      <c r="M436" t="b">
        <f>OR(ISBLANK(Table1[[#This Row],[Temperature_F]]),ISERROR(Table1[[#This Row],[Temperature_F]]))</f>
        <v>0</v>
      </c>
    </row>
    <row r="437" spans="1:13" hidden="1" x14ac:dyDescent="0.25">
      <c r="A437" s="1" t="s">
        <v>1</v>
      </c>
      <c r="B437" s="1" t="s">
        <v>2</v>
      </c>
      <c r="C437" s="1">
        <v>42.360599999999998</v>
      </c>
      <c r="D437" s="1">
        <v>-71.010599999999997</v>
      </c>
      <c r="E437" s="5">
        <v>40623</v>
      </c>
      <c r="F437" s="1" t="str">
        <f t="shared" si="6"/>
        <v>March</v>
      </c>
      <c r="G437" s="1">
        <v>22</v>
      </c>
      <c r="H437" s="1">
        <v>41</v>
      </c>
      <c r="I437" s="1" t="str">
        <f>IF(Table1[[#This Row],[Temperature_F]]&lt;32,"Yes","No")</f>
        <v>Yes</v>
      </c>
      <c r="J437" s="1" t="str" cm="1">
        <f t="array" ref="J4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7" s="1" t="str" cm="1">
        <f t="array" ref="K437">_xlfn.IFS(
H437=0,"No Rain",
H437&lt;10,"Light",
H437&lt;50,"Moderate",
TRUE,"Heavy")</f>
        <v>Moderate</v>
      </c>
      <c r="L437" s="1" t="str">
        <f>IF(Table1[[#This Row],[Precipitation_mm]]&lt;&gt;0,"Wet","Dry")</f>
        <v>Wet</v>
      </c>
      <c r="M437" t="b">
        <f>OR(ISBLANK(Table1[[#This Row],[Temperature_F]]),ISERROR(Table1[[#This Row],[Temperature_F]]))</f>
        <v>0</v>
      </c>
    </row>
    <row r="438" spans="1:13" x14ac:dyDescent="0.25">
      <c r="A438" s="1" t="s">
        <v>1</v>
      </c>
      <c r="B438" s="1" t="s">
        <v>2</v>
      </c>
      <c r="C438" s="1">
        <v>42.360599999999998</v>
      </c>
      <c r="D438" s="1">
        <v>-71.010599999999997</v>
      </c>
      <c r="E438" s="5">
        <v>40624</v>
      </c>
      <c r="F438" s="1" t="str">
        <f t="shared" si="6"/>
        <v>March</v>
      </c>
      <c r="G438" s="1">
        <v>33</v>
      </c>
      <c r="H438" s="1">
        <v>0</v>
      </c>
      <c r="I438" s="1" t="str">
        <f>IF(Table1[[#This Row],[Temperature_F]]&lt;32,"Yes","No")</f>
        <v>No</v>
      </c>
      <c r="J438" s="1" t="str" cm="1">
        <f t="array" ref="J4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38" s="1" t="str" cm="1">
        <f t="array" ref="K438">_xlfn.IFS(
H438=0,"No Rain",
H438&lt;10,"Light",
H438&lt;50,"Moderate",
TRUE,"Heavy")</f>
        <v>No Rain</v>
      </c>
      <c r="L438" s="1" t="str">
        <f>IF(Table1[[#This Row],[Precipitation_mm]]&lt;&gt;0,"Wet","Dry")</f>
        <v>Dry</v>
      </c>
      <c r="M438" t="b">
        <f>OR(ISBLANK(Table1[[#This Row],[Temperature_F]]),ISERROR(Table1[[#This Row],[Temperature_F]]))</f>
        <v>0</v>
      </c>
    </row>
    <row r="439" spans="1:13" hidden="1" x14ac:dyDescent="0.25">
      <c r="A439" s="1" t="s">
        <v>1</v>
      </c>
      <c r="B439" s="1" t="s">
        <v>2</v>
      </c>
      <c r="C439" s="1">
        <v>42.360599999999998</v>
      </c>
      <c r="D439" s="1">
        <v>-71.010599999999997</v>
      </c>
      <c r="E439" s="5">
        <v>40625</v>
      </c>
      <c r="F439" s="1" t="str">
        <f t="shared" si="6"/>
        <v>March</v>
      </c>
      <c r="G439" s="1">
        <v>10</v>
      </c>
      <c r="H439" s="1">
        <v>0</v>
      </c>
      <c r="I439" s="1" t="str">
        <f>IF(Table1[[#This Row],[Temperature_F]]&lt;32,"Yes","No")</f>
        <v>Yes</v>
      </c>
      <c r="J439" s="1" t="str" cm="1">
        <f t="array" ref="J4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39" s="1" t="str" cm="1">
        <f t="array" ref="K439">_xlfn.IFS(
H439=0,"No Rain",
H439&lt;10,"Light",
H439&lt;50,"Moderate",
TRUE,"Heavy")</f>
        <v>No Rain</v>
      </c>
      <c r="L439" s="1" t="str">
        <f>IF(Table1[[#This Row],[Precipitation_mm]]&lt;&gt;0,"Wet","Dry")</f>
        <v>Dry</v>
      </c>
      <c r="M439" t="b">
        <f>OR(ISBLANK(Table1[[#This Row],[Temperature_F]]),ISERROR(Table1[[#This Row],[Temperature_F]]))</f>
        <v>0</v>
      </c>
    </row>
    <row r="440" spans="1:13" hidden="1" x14ac:dyDescent="0.25">
      <c r="A440" s="1" t="s">
        <v>1</v>
      </c>
      <c r="B440" s="1" t="s">
        <v>2</v>
      </c>
      <c r="C440" s="1">
        <v>42.360599999999998</v>
      </c>
      <c r="D440" s="1">
        <v>-71.010599999999997</v>
      </c>
      <c r="E440" s="5">
        <v>40626</v>
      </c>
      <c r="F440" s="1" t="str">
        <f t="shared" si="6"/>
        <v>March</v>
      </c>
      <c r="G440" s="1">
        <v>22</v>
      </c>
      <c r="H440" s="1">
        <v>3</v>
      </c>
      <c r="I440" s="1" t="str">
        <f>IF(Table1[[#This Row],[Temperature_F]]&lt;32,"Yes","No")</f>
        <v>Yes</v>
      </c>
      <c r="J440" s="1" t="str" cm="1">
        <f t="array" ref="J4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40" s="1" t="str" cm="1">
        <f t="array" ref="K440">_xlfn.IFS(
H440=0,"No Rain",
H440&lt;10,"Light",
H440&lt;50,"Moderate",
TRUE,"Heavy")</f>
        <v>Light</v>
      </c>
      <c r="L440" s="1" t="str">
        <f>IF(Table1[[#This Row],[Precipitation_mm]]&lt;&gt;0,"Wet","Dry")</f>
        <v>Wet</v>
      </c>
      <c r="M440" t="b">
        <f>OR(ISBLANK(Table1[[#This Row],[Temperature_F]]),ISERROR(Table1[[#This Row],[Temperature_F]]))</f>
        <v>0</v>
      </c>
    </row>
    <row r="441" spans="1:13" hidden="1" x14ac:dyDescent="0.25">
      <c r="A441" s="1" t="s">
        <v>1</v>
      </c>
      <c r="B441" s="1" t="s">
        <v>2</v>
      </c>
      <c r="C441" s="1">
        <v>42.360599999999998</v>
      </c>
      <c r="D441" s="1">
        <v>-71.010599999999997</v>
      </c>
      <c r="E441" s="5">
        <v>40627</v>
      </c>
      <c r="F441" s="1" t="str">
        <f t="shared" si="6"/>
        <v>March</v>
      </c>
      <c r="G441" s="1">
        <v>13</v>
      </c>
      <c r="H441" s="1">
        <v>0</v>
      </c>
      <c r="I441" s="1" t="str">
        <f>IF(Table1[[#This Row],[Temperature_F]]&lt;32,"Yes","No")</f>
        <v>Yes</v>
      </c>
      <c r="J441" s="1" t="str" cm="1">
        <f t="array" ref="J4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41" s="1" t="str" cm="1">
        <f t="array" ref="K441">_xlfn.IFS(
H441=0,"No Rain",
H441&lt;10,"Light",
H441&lt;50,"Moderate",
TRUE,"Heavy")</f>
        <v>No Rain</v>
      </c>
      <c r="L441" s="1" t="str">
        <f>IF(Table1[[#This Row],[Precipitation_mm]]&lt;&gt;0,"Wet","Dry")</f>
        <v>Dry</v>
      </c>
      <c r="M441" t="b">
        <f>OR(ISBLANK(Table1[[#This Row],[Temperature_F]]),ISERROR(Table1[[#This Row],[Temperature_F]]))</f>
        <v>0</v>
      </c>
    </row>
    <row r="442" spans="1:13" x14ac:dyDescent="0.25">
      <c r="A442" s="1" t="s">
        <v>1</v>
      </c>
      <c r="B442" s="1" t="s">
        <v>2</v>
      </c>
      <c r="C442" s="1">
        <v>42.360599999999998</v>
      </c>
      <c r="D442" s="1">
        <v>-71.010599999999997</v>
      </c>
      <c r="E442" s="5">
        <v>40628</v>
      </c>
      <c r="F442" s="1" t="str">
        <f t="shared" ref="F442:F505" si="7">TEXT(E442,"mmmm")</f>
        <v>March</v>
      </c>
      <c r="G442" s="1">
        <v>43</v>
      </c>
      <c r="H442" s="1">
        <v>0</v>
      </c>
      <c r="I442" s="1" t="str">
        <f>IF(Table1[[#This Row],[Temperature_F]]&lt;32,"Yes","No")</f>
        <v>No</v>
      </c>
      <c r="J442" s="1" t="str" cm="1">
        <f t="array" ref="J4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42" s="1" t="str" cm="1">
        <f t="array" ref="K442">_xlfn.IFS(
H442=0,"No Rain",
H442&lt;10,"Light",
H442&lt;50,"Moderate",
TRUE,"Heavy")</f>
        <v>No Rain</v>
      </c>
      <c r="L442" s="1" t="str">
        <f>IF(Table1[[#This Row],[Precipitation_mm]]&lt;&gt;0,"Wet","Dry")</f>
        <v>Dry</v>
      </c>
      <c r="M442" t="b">
        <f>OR(ISBLANK(Table1[[#This Row],[Temperature_F]]),ISERROR(Table1[[#This Row],[Temperature_F]]))</f>
        <v>0</v>
      </c>
    </row>
    <row r="443" spans="1:13" hidden="1" x14ac:dyDescent="0.25">
      <c r="A443" s="1" t="s">
        <v>1</v>
      </c>
      <c r="B443" s="1" t="s">
        <v>2</v>
      </c>
      <c r="C443" s="1">
        <v>42.360599999999998</v>
      </c>
      <c r="D443" s="1">
        <v>-71.010599999999997</v>
      </c>
      <c r="E443" s="5">
        <v>40629</v>
      </c>
      <c r="F443" s="1" t="str">
        <f t="shared" si="7"/>
        <v>March</v>
      </c>
      <c r="G443" s="1">
        <v>24</v>
      </c>
      <c r="H443" s="1">
        <v>0</v>
      </c>
      <c r="I443" s="1" t="str">
        <f>IF(Table1[[#This Row],[Temperature_F]]&lt;32,"Yes","No")</f>
        <v>Yes</v>
      </c>
      <c r="J443" s="1" t="str" cm="1">
        <f t="array" ref="J4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43" s="1" t="str" cm="1">
        <f t="array" ref="K443">_xlfn.IFS(
H443=0,"No Rain",
H443&lt;10,"Light",
H443&lt;50,"Moderate",
TRUE,"Heavy")</f>
        <v>No Rain</v>
      </c>
      <c r="L443" s="1" t="str">
        <f>IF(Table1[[#This Row],[Precipitation_mm]]&lt;&gt;0,"Wet","Dry")</f>
        <v>Dry</v>
      </c>
      <c r="M443" t="b">
        <f>OR(ISBLANK(Table1[[#This Row],[Temperature_F]]),ISERROR(Table1[[#This Row],[Temperature_F]]))</f>
        <v>0</v>
      </c>
    </row>
    <row r="444" spans="1:13" hidden="1" x14ac:dyDescent="0.25">
      <c r="A444" s="1" t="s">
        <v>1</v>
      </c>
      <c r="B444" s="1" t="s">
        <v>2</v>
      </c>
      <c r="C444" s="1">
        <v>42.360599999999998</v>
      </c>
      <c r="D444" s="1">
        <v>-71.010599999999997</v>
      </c>
      <c r="E444" s="5">
        <v>40630</v>
      </c>
      <c r="F444" s="1" t="str">
        <f t="shared" si="7"/>
        <v>March</v>
      </c>
      <c r="G444" s="1">
        <v>11</v>
      </c>
      <c r="H444" s="1">
        <v>0</v>
      </c>
      <c r="I444" s="1" t="str">
        <f>IF(Table1[[#This Row],[Temperature_F]]&lt;32,"Yes","No")</f>
        <v>Yes</v>
      </c>
      <c r="J444" s="1" t="str" cm="1">
        <f t="array" ref="J4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44" s="1" t="str" cm="1">
        <f t="array" ref="K444">_xlfn.IFS(
H444=0,"No Rain",
H444&lt;10,"Light",
H444&lt;50,"Moderate",
TRUE,"Heavy")</f>
        <v>No Rain</v>
      </c>
      <c r="L444" s="1" t="str">
        <f>IF(Table1[[#This Row],[Precipitation_mm]]&lt;&gt;0,"Wet","Dry")</f>
        <v>Dry</v>
      </c>
      <c r="M444" t="b">
        <f>OR(ISBLANK(Table1[[#This Row],[Temperature_F]]),ISERROR(Table1[[#This Row],[Temperature_F]]))</f>
        <v>0</v>
      </c>
    </row>
    <row r="445" spans="1:13" x14ac:dyDescent="0.25">
      <c r="A445" s="1" t="s">
        <v>1</v>
      </c>
      <c r="B445" s="1" t="s">
        <v>2</v>
      </c>
      <c r="C445" s="1">
        <v>42.360599999999998</v>
      </c>
      <c r="D445" s="1">
        <v>-71.010599999999997</v>
      </c>
      <c r="E445" s="5">
        <v>40631</v>
      </c>
      <c r="F445" s="1" t="str">
        <f t="shared" si="7"/>
        <v>March</v>
      </c>
      <c r="G445" s="1">
        <v>37</v>
      </c>
      <c r="H445" s="1">
        <v>0</v>
      </c>
      <c r="I445" s="1" t="str">
        <f>IF(Table1[[#This Row],[Temperature_F]]&lt;32,"Yes","No")</f>
        <v>No</v>
      </c>
      <c r="J445" s="1" t="str" cm="1">
        <f t="array" ref="J4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45" s="1" t="str" cm="1">
        <f t="array" ref="K445">_xlfn.IFS(
H445=0,"No Rain",
H445&lt;10,"Light",
H445&lt;50,"Moderate",
TRUE,"Heavy")</f>
        <v>No Rain</v>
      </c>
      <c r="L445" s="1" t="str">
        <f>IF(Table1[[#This Row],[Precipitation_mm]]&lt;&gt;0,"Wet","Dry")</f>
        <v>Dry</v>
      </c>
      <c r="M445" t="b">
        <f>OR(ISBLANK(Table1[[#This Row],[Temperature_F]]),ISERROR(Table1[[#This Row],[Temperature_F]]))</f>
        <v>0</v>
      </c>
    </row>
    <row r="446" spans="1:13" hidden="1" x14ac:dyDescent="0.25">
      <c r="A446" s="1" t="s">
        <v>1</v>
      </c>
      <c r="B446" s="1" t="s">
        <v>2</v>
      </c>
      <c r="C446" s="1">
        <v>42.360599999999998</v>
      </c>
      <c r="D446" s="1">
        <v>-71.010599999999997</v>
      </c>
      <c r="E446" s="5">
        <v>40632</v>
      </c>
      <c r="F446" s="1" t="str">
        <f t="shared" si="7"/>
        <v>March</v>
      </c>
      <c r="G446" s="1">
        <v>16</v>
      </c>
      <c r="H446" s="1">
        <v>0</v>
      </c>
      <c r="I446" s="1" t="str">
        <f>IF(Table1[[#This Row],[Temperature_F]]&lt;32,"Yes","No")</f>
        <v>Yes</v>
      </c>
      <c r="J446" s="1" t="str" cm="1">
        <f t="array" ref="J4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46" s="1" t="str" cm="1">
        <f t="array" ref="K446">_xlfn.IFS(
H446=0,"No Rain",
H446&lt;10,"Light",
H446&lt;50,"Moderate",
TRUE,"Heavy")</f>
        <v>No Rain</v>
      </c>
      <c r="L446" s="1" t="str">
        <f>IF(Table1[[#This Row],[Precipitation_mm]]&lt;&gt;0,"Wet","Dry")</f>
        <v>Dry</v>
      </c>
      <c r="M446" t="b">
        <f>OR(ISBLANK(Table1[[#This Row],[Temperature_F]]),ISERROR(Table1[[#This Row],[Temperature_F]]))</f>
        <v>0</v>
      </c>
    </row>
    <row r="447" spans="1:13" hidden="1" x14ac:dyDescent="0.25">
      <c r="A447" s="1" t="s">
        <v>1</v>
      </c>
      <c r="B447" s="1" t="s">
        <v>2</v>
      </c>
      <c r="C447" s="1">
        <v>42.360599999999998</v>
      </c>
      <c r="D447" s="1">
        <v>-71.010599999999997</v>
      </c>
      <c r="E447" s="5">
        <v>40633</v>
      </c>
      <c r="F447" s="1" t="str">
        <f t="shared" si="7"/>
        <v>March</v>
      </c>
      <c r="G447" s="1">
        <v>15</v>
      </c>
      <c r="H447" s="1">
        <v>89</v>
      </c>
      <c r="I447" s="1" t="str">
        <f>IF(Table1[[#This Row],[Temperature_F]]&lt;32,"Yes","No")</f>
        <v>Yes</v>
      </c>
      <c r="J447" s="1" t="str" cm="1">
        <f t="array" ref="J4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447" s="1" t="str" cm="1">
        <f t="array" ref="K447">_xlfn.IFS(
H447=0,"No Rain",
H447&lt;10,"Light",
H447&lt;50,"Moderate",
TRUE,"Heavy")</f>
        <v>Heavy</v>
      </c>
      <c r="L447" s="1" t="str">
        <f>IF(Table1[[#This Row],[Precipitation_mm]]&lt;&gt;0,"Wet","Dry")</f>
        <v>Wet</v>
      </c>
      <c r="M447" t="b">
        <f>OR(ISBLANK(Table1[[#This Row],[Temperature_F]]),ISERROR(Table1[[#This Row],[Temperature_F]]))</f>
        <v>0</v>
      </c>
    </row>
    <row r="448" spans="1:13" x14ac:dyDescent="0.25">
      <c r="A448" s="1" t="s">
        <v>1</v>
      </c>
      <c r="B448" s="1" t="s">
        <v>2</v>
      </c>
      <c r="C448" s="1">
        <v>42.360599999999998</v>
      </c>
      <c r="D448" s="1">
        <v>-71.010599999999997</v>
      </c>
      <c r="E448" s="5">
        <v>40634</v>
      </c>
      <c r="F448" s="1" t="str">
        <f t="shared" si="7"/>
        <v>April</v>
      </c>
      <c r="G448" s="1">
        <v>46</v>
      </c>
      <c r="H448" s="1">
        <v>114</v>
      </c>
      <c r="I448" s="1" t="str">
        <f>IF(Table1[[#This Row],[Temperature_F]]&lt;32,"Yes","No")</f>
        <v>No</v>
      </c>
      <c r="J448" s="1" t="str" cm="1">
        <f t="array" ref="J4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48" s="1" t="str" cm="1">
        <f t="array" ref="K448">_xlfn.IFS(
H448=0,"No Rain",
H448&lt;10,"Light",
H448&lt;50,"Moderate",
TRUE,"Heavy")</f>
        <v>Heavy</v>
      </c>
      <c r="L448" s="1" t="str">
        <f>IF(Table1[[#This Row],[Precipitation_mm]]&lt;&gt;0,"Wet","Dry")</f>
        <v>Wet</v>
      </c>
      <c r="M448" t="b">
        <f>OR(ISBLANK(Table1[[#This Row],[Temperature_F]]),ISERROR(Table1[[#This Row],[Temperature_F]]))</f>
        <v>0</v>
      </c>
    </row>
    <row r="449" spans="1:13" hidden="1" x14ac:dyDescent="0.25">
      <c r="A449" s="1" t="s">
        <v>1</v>
      </c>
      <c r="B449" s="1" t="s">
        <v>2</v>
      </c>
      <c r="C449" s="1">
        <v>42.360599999999998</v>
      </c>
      <c r="D449" s="1">
        <v>-71.010599999999997</v>
      </c>
      <c r="E449" s="5">
        <v>40635</v>
      </c>
      <c r="F449" s="1" t="str">
        <f t="shared" si="7"/>
        <v>April</v>
      </c>
      <c r="G449" s="1">
        <v>53</v>
      </c>
      <c r="H449" s="1">
        <v>0</v>
      </c>
      <c r="I449" s="1" t="str">
        <f>IF(Table1[[#This Row],[Temperature_F]]&lt;32,"Yes","No")</f>
        <v>No</v>
      </c>
      <c r="J449" s="1" t="str" cm="1">
        <f t="array" ref="J4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49" s="1" t="str" cm="1">
        <f t="array" ref="K449">_xlfn.IFS(
H449=0,"No Rain",
H449&lt;10,"Light",
H449&lt;50,"Moderate",
TRUE,"Heavy")</f>
        <v>No Rain</v>
      </c>
      <c r="L449" s="1" t="str">
        <f>IF(Table1[[#This Row],[Precipitation_mm]]&lt;&gt;0,"Wet","Dry")</f>
        <v>Dry</v>
      </c>
      <c r="M449" t="b">
        <f>OR(ISBLANK(Table1[[#This Row],[Temperature_F]]),ISERROR(Table1[[#This Row],[Temperature_F]]))</f>
        <v>0</v>
      </c>
    </row>
    <row r="450" spans="1:13" hidden="1" x14ac:dyDescent="0.25">
      <c r="A450" s="1" t="s">
        <v>1</v>
      </c>
      <c r="B450" s="1" t="s">
        <v>2</v>
      </c>
      <c r="C450" s="1">
        <v>42.360599999999998</v>
      </c>
      <c r="D450" s="1">
        <v>-71.010599999999997</v>
      </c>
      <c r="E450" s="5">
        <v>40636</v>
      </c>
      <c r="F450" s="1" t="str">
        <f t="shared" si="7"/>
        <v>April</v>
      </c>
      <c r="G450" s="1">
        <v>54</v>
      </c>
      <c r="H450" s="1">
        <v>0</v>
      </c>
      <c r="I450" s="1" t="str">
        <f>IF(Table1[[#This Row],[Temperature_F]]&lt;32,"Yes","No")</f>
        <v>No</v>
      </c>
      <c r="J450" s="1" t="str" cm="1">
        <f t="array" ref="J4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50" s="1" t="str" cm="1">
        <f t="array" ref="K450">_xlfn.IFS(
H450=0,"No Rain",
H450&lt;10,"Light",
H450&lt;50,"Moderate",
TRUE,"Heavy")</f>
        <v>No Rain</v>
      </c>
      <c r="L450" s="1" t="str">
        <f>IF(Table1[[#This Row],[Precipitation_mm]]&lt;&gt;0,"Wet","Dry")</f>
        <v>Dry</v>
      </c>
      <c r="M450" t="b">
        <f>OR(ISBLANK(Table1[[#This Row],[Temperature_F]]),ISERROR(Table1[[#This Row],[Temperature_F]]))</f>
        <v>0</v>
      </c>
    </row>
    <row r="451" spans="1:13" x14ac:dyDescent="0.25">
      <c r="A451" s="1" t="s">
        <v>1</v>
      </c>
      <c r="B451" s="1" t="s">
        <v>2</v>
      </c>
      <c r="C451" s="1">
        <v>42.360599999999998</v>
      </c>
      <c r="D451" s="1">
        <v>-71.010599999999997</v>
      </c>
      <c r="E451" s="5">
        <v>40637</v>
      </c>
      <c r="F451" s="1" t="str">
        <f t="shared" si="7"/>
        <v>April</v>
      </c>
      <c r="G451" s="1">
        <v>49</v>
      </c>
      <c r="H451" s="1">
        <v>97</v>
      </c>
      <c r="I451" s="1" t="str">
        <f>IF(Table1[[#This Row],[Temperature_F]]&lt;32,"Yes","No")</f>
        <v>No</v>
      </c>
      <c r="J451" s="1" t="str" cm="1">
        <f t="array" ref="J4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51" s="1" t="str" cm="1">
        <f t="array" ref="K451">_xlfn.IFS(
H451=0,"No Rain",
H451&lt;10,"Light",
H451&lt;50,"Moderate",
TRUE,"Heavy")</f>
        <v>Heavy</v>
      </c>
      <c r="L451" s="1" t="str">
        <f>IF(Table1[[#This Row],[Precipitation_mm]]&lt;&gt;0,"Wet","Dry")</f>
        <v>Wet</v>
      </c>
      <c r="M451" t="b">
        <f>OR(ISBLANK(Table1[[#This Row],[Temperature_F]]),ISERROR(Table1[[#This Row],[Temperature_F]]))</f>
        <v>0</v>
      </c>
    </row>
    <row r="452" spans="1:13" hidden="1" x14ac:dyDescent="0.25">
      <c r="A452" s="1" t="s">
        <v>1</v>
      </c>
      <c r="B452" s="1" t="s">
        <v>2</v>
      </c>
      <c r="C452" s="1">
        <v>42.360599999999998</v>
      </c>
      <c r="D452" s="1">
        <v>-71.010599999999997</v>
      </c>
      <c r="E452" s="5">
        <v>40638</v>
      </c>
      <c r="F452" s="1" t="str">
        <f t="shared" si="7"/>
        <v>April</v>
      </c>
      <c r="G452" s="1">
        <v>57</v>
      </c>
      <c r="H452" s="1">
        <v>18</v>
      </c>
      <c r="I452" s="1" t="str">
        <f>IF(Table1[[#This Row],[Temperature_F]]&lt;32,"Yes","No")</f>
        <v>No</v>
      </c>
      <c r="J452" s="1" t="str" cm="1">
        <f t="array" ref="J4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52" s="1" t="str" cm="1">
        <f t="array" ref="K452">_xlfn.IFS(
H452=0,"No Rain",
H452&lt;10,"Light",
H452&lt;50,"Moderate",
TRUE,"Heavy")</f>
        <v>Moderate</v>
      </c>
      <c r="L452" s="1" t="str">
        <f>IF(Table1[[#This Row],[Precipitation_mm]]&lt;&gt;0,"Wet","Dry")</f>
        <v>Wet</v>
      </c>
      <c r="M452" t="b">
        <f>OR(ISBLANK(Table1[[#This Row],[Temperature_F]]),ISERROR(Table1[[#This Row],[Temperature_F]]))</f>
        <v>0</v>
      </c>
    </row>
    <row r="453" spans="1:13" hidden="1" x14ac:dyDescent="0.25">
      <c r="A453" s="1" t="s">
        <v>1</v>
      </c>
      <c r="B453" s="1" t="s">
        <v>2</v>
      </c>
      <c r="C453" s="1">
        <v>42.360599999999998</v>
      </c>
      <c r="D453" s="1">
        <v>-71.010599999999997</v>
      </c>
      <c r="E453" s="5">
        <v>40639</v>
      </c>
      <c r="F453" s="1" t="str">
        <f t="shared" si="7"/>
        <v>April</v>
      </c>
      <c r="G453" s="1">
        <v>58</v>
      </c>
      <c r="H453" s="1">
        <v>0</v>
      </c>
      <c r="I453" s="1" t="str">
        <f>IF(Table1[[#This Row],[Temperature_F]]&lt;32,"Yes","No")</f>
        <v>No</v>
      </c>
      <c r="J453" s="1" t="str" cm="1">
        <f t="array" ref="J4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53" s="1" t="str" cm="1">
        <f t="array" ref="K453">_xlfn.IFS(
H453=0,"No Rain",
H453&lt;10,"Light",
H453&lt;50,"Moderate",
TRUE,"Heavy")</f>
        <v>No Rain</v>
      </c>
      <c r="L453" s="1" t="str">
        <f>IF(Table1[[#This Row],[Precipitation_mm]]&lt;&gt;0,"Wet","Dry")</f>
        <v>Dry</v>
      </c>
      <c r="M453" t="b">
        <f>OR(ISBLANK(Table1[[#This Row],[Temperature_F]]),ISERROR(Table1[[#This Row],[Temperature_F]]))</f>
        <v>0</v>
      </c>
    </row>
    <row r="454" spans="1:13" x14ac:dyDescent="0.25">
      <c r="A454" s="1" t="s">
        <v>1</v>
      </c>
      <c r="B454" s="1" t="s">
        <v>2</v>
      </c>
      <c r="C454" s="1">
        <v>42.360599999999998</v>
      </c>
      <c r="D454" s="1">
        <v>-71.010599999999997</v>
      </c>
      <c r="E454" s="5">
        <v>40640</v>
      </c>
      <c r="F454" s="1" t="str">
        <f t="shared" si="7"/>
        <v>April</v>
      </c>
      <c r="G454" s="1">
        <v>47</v>
      </c>
      <c r="H454" s="1">
        <v>0</v>
      </c>
      <c r="I454" s="1" t="str">
        <f>IF(Table1[[#This Row],[Temperature_F]]&lt;32,"Yes","No")</f>
        <v>No</v>
      </c>
      <c r="J454" s="1" t="str" cm="1">
        <f t="array" ref="J4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54" s="1" t="str" cm="1">
        <f t="array" ref="K454">_xlfn.IFS(
H454=0,"No Rain",
H454&lt;10,"Light",
H454&lt;50,"Moderate",
TRUE,"Heavy")</f>
        <v>No Rain</v>
      </c>
      <c r="L454" s="1" t="str">
        <f>IF(Table1[[#This Row],[Precipitation_mm]]&lt;&gt;0,"Wet","Dry")</f>
        <v>Dry</v>
      </c>
      <c r="M454" t="b">
        <f>OR(ISBLANK(Table1[[#This Row],[Temperature_F]]),ISERROR(Table1[[#This Row],[Temperature_F]]))</f>
        <v>0</v>
      </c>
    </row>
    <row r="455" spans="1:13" hidden="1" x14ac:dyDescent="0.25">
      <c r="A455" s="1" t="s">
        <v>1</v>
      </c>
      <c r="B455" s="1" t="s">
        <v>2</v>
      </c>
      <c r="C455" s="1">
        <v>42.360599999999998</v>
      </c>
      <c r="D455" s="1">
        <v>-71.010599999999997</v>
      </c>
      <c r="E455" s="5">
        <v>40641</v>
      </c>
      <c r="F455" s="1" t="str">
        <f t="shared" si="7"/>
        <v>April</v>
      </c>
      <c r="G455" s="1">
        <v>55</v>
      </c>
      <c r="H455" s="1">
        <v>0</v>
      </c>
      <c r="I455" s="1" t="str">
        <f>IF(Table1[[#This Row],[Temperature_F]]&lt;32,"Yes","No")</f>
        <v>No</v>
      </c>
      <c r="J455" s="1" t="str" cm="1">
        <f t="array" ref="J4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55" s="1" t="str" cm="1">
        <f t="array" ref="K455">_xlfn.IFS(
H455=0,"No Rain",
H455&lt;10,"Light",
H455&lt;50,"Moderate",
TRUE,"Heavy")</f>
        <v>No Rain</v>
      </c>
      <c r="L455" s="1" t="str">
        <f>IF(Table1[[#This Row],[Precipitation_mm]]&lt;&gt;0,"Wet","Dry")</f>
        <v>Dry</v>
      </c>
      <c r="M455" t="b">
        <f>OR(ISBLANK(Table1[[#This Row],[Temperature_F]]),ISERROR(Table1[[#This Row],[Temperature_F]]))</f>
        <v>0</v>
      </c>
    </row>
    <row r="456" spans="1:13" x14ac:dyDescent="0.25">
      <c r="A456" s="1" t="s">
        <v>1</v>
      </c>
      <c r="B456" s="1" t="s">
        <v>2</v>
      </c>
      <c r="C456" s="1">
        <v>42.360599999999998</v>
      </c>
      <c r="D456" s="1">
        <v>-71.010599999999997</v>
      </c>
      <c r="E456" s="5">
        <v>40642</v>
      </c>
      <c r="F456" s="1" t="str">
        <f t="shared" si="7"/>
        <v>April</v>
      </c>
      <c r="G456" s="1">
        <v>40</v>
      </c>
      <c r="H456" s="1">
        <v>0</v>
      </c>
      <c r="I456" s="1" t="str">
        <f>IF(Table1[[#This Row],[Temperature_F]]&lt;32,"Yes","No")</f>
        <v>No</v>
      </c>
      <c r="J456" s="1" t="str" cm="1">
        <f t="array" ref="J4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56" s="1" t="str" cm="1">
        <f t="array" ref="K456">_xlfn.IFS(
H456=0,"No Rain",
H456&lt;10,"Light",
H456&lt;50,"Moderate",
TRUE,"Heavy")</f>
        <v>No Rain</v>
      </c>
      <c r="L456" s="1" t="str">
        <f>IF(Table1[[#This Row],[Precipitation_mm]]&lt;&gt;0,"Wet","Dry")</f>
        <v>Dry</v>
      </c>
      <c r="M456" t="b">
        <f>OR(ISBLANK(Table1[[#This Row],[Temperature_F]]),ISERROR(Table1[[#This Row],[Temperature_F]]))</f>
        <v>0</v>
      </c>
    </row>
    <row r="457" spans="1:13" hidden="1" x14ac:dyDescent="0.25">
      <c r="A457" s="1" t="s">
        <v>1</v>
      </c>
      <c r="B457" s="1" t="s">
        <v>2</v>
      </c>
      <c r="C457" s="1">
        <v>42.360599999999998</v>
      </c>
      <c r="D457" s="1">
        <v>-71.010599999999997</v>
      </c>
      <c r="E457" s="5">
        <v>40643</v>
      </c>
      <c r="F457" s="1" t="str">
        <f t="shared" si="7"/>
        <v>April</v>
      </c>
      <c r="G457" s="1">
        <v>54</v>
      </c>
      <c r="H457" s="1">
        <v>10</v>
      </c>
      <c r="I457" s="1" t="str">
        <f>IF(Table1[[#This Row],[Temperature_F]]&lt;32,"Yes","No")</f>
        <v>No</v>
      </c>
      <c r="J457" s="1" t="str" cm="1">
        <f t="array" ref="J4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57" s="1" t="str" cm="1">
        <f t="array" ref="K457">_xlfn.IFS(
H457=0,"No Rain",
H457&lt;10,"Light",
H457&lt;50,"Moderate",
TRUE,"Heavy")</f>
        <v>Moderate</v>
      </c>
      <c r="L457" s="1" t="str">
        <f>IF(Table1[[#This Row],[Precipitation_mm]]&lt;&gt;0,"Wet","Dry")</f>
        <v>Wet</v>
      </c>
      <c r="M457" t="b">
        <f>OR(ISBLANK(Table1[[#This Row],[Temperature_F]]),ISERROR(Table1[[#This Row],[Temperature_F]]))</f>
        <v>0</v>
      </c>
    </row>
    <row r="458" spans="1:13" x14ac:dyDescent="0.25">
      <c r="A458" s="1" t="s">
        <v>1</v>
      </c>
      <c r="B458" s="1" t="s">
        <v>2</v>
      </c>
      <c r="C458" s="1">
        <v>42.360599999999998</v>
      </c>
      <c r="D458" s="1">
        <v>-71.010599999999997</v>
      </c>
      <c r="E458" s="5">
        <v>40644</v>
      </c>
      <c r="F458" s="1" t="str">
        <f t="shared" si="7"/>
        <v>April</v>
      </c>
      <c r="G458" s="1">
        <v>44</v>
      </c>
      <c r="H458" s="1">
        <v>3</v>
      </c>
      <c r="I458" s="1" t="str">
        <f>IF(Table1[[#This Row],[Temperature_F]]&lt;32,"Yes","No")</f>
        <v>No</v>
      </c>
      <c r="J458" s="1" t="str" cm="1">
        <f t="array" ref="J4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58" s="1" t="str" cm="1">
        <f t="array" ref="K458">_xlfn.IFS(
H458=0,"No Rain",
H458&lt;10,"Light",
H458&lt;50,"Moderate",
TRUE,"Heavy")</f>
        <v>Light</v>
      </c>
      <c r="L458" s="1" t="str">
        <f>IF(Table1[[#This Row],[Precipitation_mm]]&lt;&gt;0,"Wet","Dry")</f>
        <v>Wet</v>
      </c>
      <c r="M458" t="b">
        <f>OR(ISBLANK(Table1[[#This Row],[Temperature_F]]),ISERROR(Table1[[#This Row],[Temperature_F]]))</f>
        <v>0</v>
      </c>
    </row>
    <row r="459" spans="1:13" hidden="1" x14ac:dyDescent="0.25">
      <c r="A459" s="1" t="s">
        <v>1</v>
      </c>
      <c r="B459" s="1" t="s">
        <v>2</v>
      </c>
      <c r="C459" s="1">
        <v>42.360599999999998</v>
      </c>
      <c r="D459" s="1">
        <v>-71.010599999999997</v>
      </c>
      <c r="E459" s="5">
        <v>40645</v>
      </c>
      <c r="F459" s="1" t="str">
        <f t="shared" si="7"/>
        <v>April</v>
      </c>
      <c r="G459" s="1">
        <v>55</v>
      </c>
      <c r="H459" s="1">
        <v>20</v>
      </c>
      <c r="I459" s="1" t="str">
        <f>IF(Table1[[#This Row],[Temperature_F]]&lt;32,"Yes","No")</f>
        <v>No</v>
      </c>
      <c r="J459" s="1" t="str" cm="1">
        <f t="array" ref="J4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59" s="1" t="str" cm="1">
        <f t="array" ref="K459">_xlfn.IFS(
H459=0,"No Rain",
H459&lt;10,"Light",
H459&lt;50,"Moderate",
TRUE,"Heavy")</f>
        <v>Moderate</v>
      </c>
      <c r="L459" s="1" t="str">
        <f>IF(Table1[[#This Row],[Precipitation_mm]]&lt;&gt;0,"Wet","Dry")</f>
        <v>Wet</v>
      </c>
      <c r="M459" t="b">
        <f>OR(ISBLANK(Table1[[#This Row],[Temperature_F]]),ISERROR(Table1[[#This Row],[Temperature_F]]))</f>
        <v>0</v>
      </c>
    </row>
    <row r="460" spans="1:13" hidden="1" x14ac:dyDescent="0.25">
      <c r="A460" s="1" t="s">
        <v>1</v>
      </c>
      <c r="B460" s="1" t="s">
        <v>2</v>
      </c>
      <c r="C460" s="1">
        <v>42.360599999999998</v>
      </c>
      <c r="D460" s="1">
        <v>-71.010599999999997</v>
      </c>
      <c r="E460" s="5">
        <v>40646</v>
      </c>
      <c r="F460" s="1" t="str">
        <f t="shared" si="7"/>
        <v>April</v>
      </c>
      <c r="G460" s="1">
        <v>57</v>
      </c>
      <c r="H460" s="1">
        <v>338</v>
      </c>
      <c r="I460" s="1" t="str">
        <f>IF(Table1[[#This Row],[Temperature_F]]&lt;32,"Yes","No")</f>
        <v>No</v>
      </c>
      <c r="J460" s="1" t="str" cm="1">
        <f t="array" ref="J4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0" s="1" t="str" cm="1">
        <f t="array" ref="K460">_xlfn.IFS(
H460=0,"No Rain",
H460&lt;10,"Light",
H460&lt;50,"Moderate",
TRUE,"Heavy")</f>
        <v>Heavy</v>
      </c>
      <c r="L460" s="1" t="str">
        <f>IF(Table1[[#This Row],[Precipitation_mm]]&lt;&gt;0,"Wet","Dry")</f>
        <v>Wet</v>
      </c>
      <c r="M460" t="b">
        <f>OR(ISBLANK(Table1[[#This Row],[Temperature_F]]),ISERROR(Table1[[#This Row],[Temperature_F]]))</f>
        <v>0</v>
      </c>
    </row>
    <row r="461" spans="1:13" x14ac:dyDescent="0.25">
      <c r="A461" s="1" t="s">
        <v>1</v>
      </c>
      <c r="B461" s="1" t="s">
        <v>2</v>
      </c>
      <c r="C461" s="1">
        <v>42.360599999999998</v>
      </c>
      <c r="D461" s="1">
        <v>-71.010599999999997</v>
      </c>
      <c r="E461" s="5">
        <v>40647</v>
      </c>
      <c r="F461" s="1" t="str">
        <f t="shared" si="7"/>
        <v>April</v>
      </c>
      <c r="G461" s="1">
        <v>41</v>
      </c>
      <c r="H461" s="1">
        <v>5</v>
      </c>
      <c r="I461" s="1" t="str">
        <f>IF(Table1[[#This Row],[Temperature_F]]&lt;32,"Yes","No")</f>
        <v>No</v>
      </c>
      <c r="J461" s="1" t="str" cm="1">
        <f t="array" ref="J4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61" s="1" t="str" cm="1">
        <f t="array" ref="K461">_xlfn.IFS(
H461=0,"No Rain",
H461&lt;10,"Light",
H461&lt;50,"Moderate",
TRUE,"Heavy")</f>
        <v>Light</v>
      </c>
      <c r="L461" s="1" t="str">
        <f>IF(Table1[[#This Row],[Precipitation_mm]]&lt;&gt;0,"Wet","Dry")</f>
        <v>Wet</v>
      </c>
      <c r="M461" t="b">
        <f>OR(ISBLANK(Table1[[#This Row],[Temperature_F]]),ISERROR(Table1[[#This Row],[Temperature_F]]))</f>
        <v>0</v>
      </c>
    </row>
    <row r="462" spans="1:13" hidden="1" x14ac:dyDescent="0.25">
      <c r="A462" s="1" t="s">
        <v>1</v>
      </c>
      <c r="B462" s="1" t="s">
        <v>2</v>
      </c>
      <c r="C462" s="1">
        <v>42.360599999999998</v>
      </c>
      <c r="D462" s="1">
        <v>-71.010599999999997</v>
      </c>
      <c r="E462" s="5">
        <v>40648</v>
      </c>
      <c r="F462" s="1" t="str">
        <f t="shared" si="7"/>
        <v>April</v>
      </c>
      <c r="G462" s="1">
        <v>54</v>
      </c>
      <c r="H462" s="1">
        <v>0</v>
      </c>
      <c r="I462" s="1" t="str">
        <f>IF(Table1[[#This Row],[Temperature_F]]&lt;32,"Yes","No")</f>
        <v>No</v>
      </c>
      <c r="J462" s="1" t="str" cm="1">
        <f t="array" ref="J4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2" s="1" t="str" cm="1">
        <f t="array" ref="K462">_xlfn.IFS(
H462=0,"No Rain",
H462&lt;10,"Light",
H462&lt;50,"Moderate",
TRUE,"Heavy")</f>
        <v>No Rain</v>
      </c>
      <c r="L462" s="1" t="str">
        <f>IF(Table1[[#This Row],[Precipitation_mm]]&lt;&gt;0,"Wet","Dry")</f>
        <v>Dry</v>
      </c>
      <c r="M462" t="b">
        <f>OR(ISBLANK(Table1[[#This Row],[Temperature_F]]),ISERROR(Table1[[#This Row],[Temperature_F]]))</f>
        <v>0</v>
      </c>
    </row>
    <row r="463" spans="1:13" hidden="1" x14ac:dyDescent="0.25">
      <c r="A463" s="1" t="s">
        <v>1</v>
      </c>
      <c r="B463" s="1" t="s">
        <v>2</v>
      </c>
      <c r="C463" s="1">
        <v>42.360599999999998</v>
      </c>
      <c r="D463" s="1">
        <v>-71.010599999999997</v>
      </c>
      <c r="E463" s="5">
        <v>40649</v>
      </c>
      <c r="F463" s="1" t="str">
        <f t="shared" si="7"/>
        <v>April</v>
      </c>
      <c r="G463" s="1">
        <v>55</v>
      </c>
      <c r="H463" s="1">
        <v>18</v>
      </c>
      <c r="I463" s="1" t="str">
        <f>IF(Table1[[#This Row],[Temperature_F]]&lt;32,"Yes","No")</f>
        <v>No</v>
      </c>
      <c r="J463" s="1" t="str" cm="1">
        <f t="array" ref="J4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3" s="1" t="str" cm="1">
        <f t="array" ref="K463">_xlfn.IFS(
H463=0,"No Rain",
H463&lt;10,"Light",
H463&lt;50,"Moderate",
TRUE,"Heavy")</f>
        <v>Moderate</v>
      </c>
      <c r="L463" s="1" t="str">
        <f>IF(Table1[[#This Row],[Precipitation_mm]]&lt;&gt;0,"Wet","Dry")</f>
        <v>Wet</v>
      </c>
      <c r="M463" t="b">
        <f>OR(ISBLANK(Table1[[#This Row],[Temperature_F]]),ISERROR(Table1[[#This Row],[Temperature_F]]))</f>
        <v>0</v>
      </c>
    </row>
    <row r="464" spans="1:13" hidden="1" x14ac:dyDescent="0.25">
      <c r="A464" s="1" t="s">
        <v>1</v>
      </c>
      <c r="B464" s="1" t="s">
        <v>2</v>
      </c>
      <c r="C464" s="1">
        <v>42.360599999999998</v>
      </c>
      <c r="D464" s="1">
        <v>-71.010599999999997</v>
      </c>
      <c r="E464" s="5">
        <v>40650</v>
      </c>
      <c r="F464" s="1" t="str">
        <f t="shared" si="7"/>
        <v>April</v>
      </c>
      <c r="G464" s="1">
        <v>55</v>
      </c>
      <c r="H464" s="1">
        <v>244</v>
      </c>
      <c r="I464" s="1" t="str">
        <f>IF(Table1[[#This Row],[Temperature_F]]&lt;32,"Yes","No")</f>
        <v>No</v>
      </c>
      <c r="J464" s="1" t="str" cm="1">
        <f t="array" ref="J4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4" s="1" t="str" cm="1">
        <f t="array" ref="K464">_xlfn.IFS(
H464=0,"No Rain",
H464&lt;10,"Light",
H464&lt;50,"Moderate",
TRUE,"Heavy")</f>
        <v>Heavy</v>
      </c>
      <c r="L464" s="1" t="str">
        <f>IF(Table1[[#This Row],[Precipitation_mm]]&lt;&gt;0,"Wet","Dry")</f>
        <v>Wet</v>
      </c>
      <c r="M464" t="b">
        <f>OR(ISBLANK(Table1[[#This Row],[Temperature_F]]),ISERROR(Table1[[#This Row],[Temperature_F]]))</f>
        <v>0</v>
      </c>
    </row>
    <row r="465" spans="1:13" x14ac:dyDescent="0.25">
      <c r="A465" s="1" t="s">
        <v>1</v>
      </c>
      <c r="B465" s="1" t="s">
        <v>2</v>
      </c>
      <c r="C465" s="1">
        <v>42.360599999999998</v>
      </c>
      <c r="D465" s="1">
        <v>-71.010599999999997</v>
      </c>
      <c r="E465" s="5">
        <v>40651</v>
      </c>
      <c r="F465" s="1" t="str">
        <f t="shared" si="7"/>
        <v>April</v>
      </c>
      <c r="G465" s="1">
        <v>42</v>
      </c>
      <c r="H465" s="1">
        <v>0</v>
      </c>
      <c r="I465" s="1" t="str">
        <f>IF(Table1[[#This Row],[Temperature_F]]&lt;32,"Yes","No")</f>
        <v>No</v>
      </c>
      <c r="J465" s="1" t="str" cm="1">
        <f t="array" ref="J4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65" s="1" t="str" cm="1">
        <f t="array" ref="K465">_xlfn.IFS(
H465=0,"No Rain",
H465&lt;10,"Light",
H465&lt;50,"Moderate",
TRUE,"Heavy")</f>
        <v>No Rain</v>
      </c>
      <c r="L465" s="1" t="str">
        <f>IF(Table1[[#This Row],[Precipitation_mm]]&lt;&gt;0,"Wet","Dry")</f>
        <v>Dry</v>
      </c>
      <c r="M465" t="b">
        <f>OR(ISBLANK(Table1[[#This Row],[Temperature_F]]),ISERROR(Table1[[#This Row],[Temperature_F]]))</f>
        <v>0</v>
      </c>
    </row>
    <row r="466" spans="1:13" hidden="1" x14ac:dyDescent="0.25">
      <c r="A466" s="1" t="s">
        <v>1</v>
      </c>
      <c r="B466" s="1" t="s">
        <v>2</v>
      </c>
      <c r="C466" s="1">
        <v>42.360599999999998</v>
      </c>
      <c r="D466" s="1">
        <v>-71.010599999999997</v>
      </c>
      <c r="E466" s="5">
        <v>40652</v>
      </c>
      <c r="F466" s="1" t="str">
        <f t="shared" si="7"/>
        <v>April</v>
      </c>
      <c r="G466" s="1">
        <v>51</v>
      </c>
      <c r="H466" s="1">
        <v>38</v>
      </c>
      <c r="I466" s="1" t="str">
        <f>IF(Table1[[#This Row],[Temperature_F]]&lt;32,"Yes","No")</f>
        <v>No</v>
      </c>
      <c r="J466" s="1" t="str" cm="1">
        <f t="array" ref="J4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6" s="1" t="str" cm="1">
        <f t="array" ref="K466">_xlfn.IFS(
H466=0,"No Rain",
H466&lt;10,"Light",
H466&lt;50,"Moderate",
TRUE,"Heavy")</f>
        <v>Moderate</v>
      </c>
      <c r="L466" s="1" t="str">
        <f>IF(Table1[[#This Row],[Precipitation_mm]]&lt;&gt;0,"Wet","Dry")</f>
        <v>Wet</v>
      </c>
      <c r="M466" t="b">
        <f>OR(ISBLANK(Table1[[#This Row],[Temperature_F]]),ISERROR(Table1[[#This Row],[Temperature_F]]))</f>
        <v>0</v>
      </c>
    </row>
    <row r="467" spans="1:13" x14ac:dyDescent="0.25">
      <c r="A467" s="1" t="s">
        <v>1</v>
      </c>
      <c r="B467" s="1" t="s">
        <v>2</v>
      </c>
      <c r="C467" s="1">
        <v>42.360599999999998</v>
      </c>
      <c r="D467" s="1">
        <v>-71.010599999999997</v>
      </c>
      <c r="E467" s="5">
        <v>40653</v>
      </c>
      <c r="F467" s="1" t="str">
        <f t="shared" si="7"/>
        <v>April</v>
      </c>
      <c r="G467" s="1">
        <v>40</v>
      </c>
      <c r="H467" s="1">
        <v>0</v>
      </c>
      <c r="I467" s="1" t="str">
        <f>IF(Table1[[#This Row],[Temperature_F]]&lt;32,"Yes","No")</f>
        <v>No</v>
      </c>
      <c r="J467" s="1" t="str" cm="1">
        <f t="array" ref="J4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67" s="1" t="str" cm="1">
        <f t="array" ref="K467">_xlfn.IFS(
H467=0,"No Rain",
H467&lt;10,"Light",
H467&lt;50,"Moderate",
TRUE,"Heavy")</f>
        <v>No Rain</v>
      </c>
      <c r="L467" s="1" t="str">
        <f>IF(Table1[[#This Row],[Precipitation_mm]]&lt;&gt;0,"Wet","Dry")</f>
        <v>Dry</v>
      </c>
      <c r="M467" t="b">
        <f>OR(ISBLANK(Table1[[#This Row],[Temperature_F]]),ISERROR(Table1[[#This Row],[Temperature_F]]))</f>
        <v>0</v>
      </c>
    </row>
    <row r="468" spans="1:13" hidden="1" x14ac:dyDescent="0.25">
      <c r="A468" s="1" t="s">
        <v>1</v>
      </c>
      <c r="B468" s="1" t="s">
        <v>2</v>
      </c>
      <c r="C468" s="1">
        <v>42.360599999999998</v>
      </c>
      <c r="D468" s="1">
        <v>-71.010599999999997</v>
      </c>
      <c r="E468" s="5">
        <v>40654</v>
      </c>
      <c r="F468" s="1" t="str">
        <f t="shared" si="7"/>
        <v>April</v>
      </c>
      <c r="G468" s="1">
        <v>54</v>
      </c>
      <c r="H468" s="1">
        <v>0</v>
      </c>
      <c r="I468" s="1" t="str">
        <f>IF(Table1[[#This Row],[Temperature_F]]&lt;32,"Yes","No")</f>
        <v>No</v>
      </c>
      <c r="J468" s="1" t="str" cm="1">
        <f t="array" ref="J4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8" s="1" t="str" cm="1">
        <f t="array" ref="K468">_xlfn.IFS(
H468=0,"No Rain",
H468&lt;10,"Light",
H468&lt;50,"Moderate",
TRUE,"Heavy")</f>
        <v>No Rain</v>
      </c>
      <c r="L468" s="1" t="str">
        <f>IF(Table1[[#This Row],[Precipitation_mm]]&lt;&gt;0,"Wet","Dry")</f>
        <v>Dry</v>
      </c>
      <c r="M468" t="b">
        <f>OR(ISBLANK(Table1[[#This Row],[Temperature_F]]),ISERROR(Table1[[#This Row],[Temperature_F]]))</f>
        <v>0</v>
      </c>
    </row>
    <row r="469" spans="1:13" hidden="1" x14ac:dyDescent="0.25">
      <c r="A469" s="1" t="s">
        <v>1</v>
      </c>
      <c r="B469" s="1" t="s">
        <v>2</v>
      </c>
      <c r="C469" s="1">
        <v>42.360599999999998</v>
      </c>
      <c r="D469" s="1">
        <v>-71.010599999999997</v>
      </c>
      <c r="E469" s="5">
        <v>40655</v>
      </c>
      <c r="F469" s="1" t="str">
        <f t="shared" si="7"/>
        <v>April</v>
      </c>
      <c r="G469" s="1">
        <v>59</v>
      </c>
      <c r="H469" s="1">
        <v>0</v>
      </c>
      <c r="I469" s="1" t="str">
        <f>IF(Table1[[#This Row],[Temperature_F]]&lt;32,"Yes","No")</f>
        <v>No</v>
      </c>
      <c r="J469" s="1" t="str" cm="1">
        <f t="array" ref="J4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69" s="1" t="str" cm="1">
        <f t="array" ref="K469">_xlfn.IFS(
H469=0,"No Rain",
H469&lt;10,"Light",
H469&lt;50,"Moderate",
TRUE,"Heavy")</f>
        <v>No Rain</v>
      </c>
      <c r="L469" s="1" t="str">
        <f>IF(Table1[[#This Row],[Precipitation_mm]]&lt;&gt;0,"Wet","Dry")</f>
        <v>Dry</v>
      </c>
      <c r="M469" t="b">
        <f>OR(ISBLANK(Table1[[#This Row],[Temperature_F]]),ISERROR(Table1[[#This Row],[Temperature_F]]))</f>
        <v>0</v>
      </c>
    </row>
    <row r="470" spans="1:13" x14ac:dyDescent="0.25">
      <c r="A470" s="1" t="s">
        <v>1</v>
      </c>
      <c r="B470" s="1" t="s">
        <v>2</v>
      </c>
      <c r="C470" s="1">
        <v>42.360599999999998</v>
      </c>
      <c r="D470" s="1">
        <v>-71.010599999999997</v>
      </c>
      <c r="E470" s="5">
        <v>40656</v>
      </c>
      <c r="F470" s="1" t="str">
        <f t="shared" si="7"/>
        <v>April</v>
      </c>
      <c r="G470" s="1">
        <v>46</v>
      </c>
      <c r="H470" s="1">
        <v>102</v>
      </c>
      <c r="I470" s="1" t="str">
        <f>IF(Table1[[#This Row],[Temperature_F]]&lt;32,"Yes","No")</f>
        <v>No</v>
      </c>
      <c r="J470" s="1" t="str" cm="1">
        <f t="array" ref="J4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0" s="1" t="str" cm="1">
        <f t="array" ref="K470">_xlfn.IFS(
H470=0,"No Rain",
H470&lt;10,"Light",
H470&lt;50,"Moderate",
TRUE,"Heavy")</f>
        <v>Heavy</v>
      </c>
      <c r="L470" s="1" t="str">
        <f>IF(Table1[[#This Row],[Precipitation_mm]]&lt;&gt;0,"Wet","Dry")</f>
        <v>Wet</v>
      </c>
      <c r="M470" t="b">
        <f>OR(ISBLANK(Table1[[#This Row],[Temperature_F]]),ISERROR(Table1[[#This Row],[Temperature_F]]))</f>
        <v>0</v>
      </c>
    </row>
    <row r="471" spans="1:13" hidden="1" x14ac:dyDescent="0.25">
      <c r="A471" s="1" t="s">
        <v>1</v>
      </c>
      <c r="B471" s="1" t="s">
        <v>2</v>
      </c>
      <c r="C471" s="1">
        <v>42.360599999999998</v>
      </c>
      <c r="D471" s="1">
        <v>-71.010599999999997</v>
      </c>
      <c r="E471" s="5">
        <v>40657</v>
      </c>
      <c r="F471" s="1" t="str">
        <f t="shared" si="7"/>
        <v>April</v>
      </c>
      <c r="G471" s="1">
        <v>55</v>
      </c>
      <c r="H471" s="1">
        <v>8</v>
      </c>
      <c r="I471" s="1" t="str">
        <f>IF(Table1[[#This Row],[Temperature_F]]&lt;32,"Yes","No")</f>
        <v>No</v>
      </c>
      <c r="J471" s="1" t="str" cm="1">
        <f t="array" ref="J4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71" s="1" t="str" cm="1">
        <f t="array" ref="K471">_xlfn.IFS(
H471=0,"No Rain",
H471&lt;10,"Light",
H471&lt;50,"Moderate",
TRUE,"Heavy")</f>
        <v>Light</v>
      </c>
      <c r="L471" s="1" t="str">
        <f>IF(Table1[[#This Row],[Precipitation_mm]]&lt;&gt;0,"Wet","Dry")</f>
        <v>Wet</v>
      </c>
      <c r="M471" t="b">
        <f>OR(ISBLANK(Table1[[#This Row],[Temperature_F]]),ISERROR(Table1[[#This Row],[Temperature_F]]))</f>
        <v>0</v>
      </c>
    </row>
    <row r="472" spans="1:13" x14ac:dyDescent="0.25">
      <c r="A472" s="1" t="s">
        <v>1</v>
      </c>
      <c r="B472" s="1" t="s">
        <v>2</v>
      </c>
      <c r="C472" s="1">
        <v>42.360599999999998</v>
      </c>
      <c r="D472" s="1">
        <v>-71.010599999999997</v>
      </c>
      <c r="E472" s="5">
        <v>40658</v>
      </c>
      <c r="F472" s="1" t="str">
        <f t="shared" si="7"/>
        <v>April</v>
      </c>
      <c r="G472" s="1">
        <v>48</v>
      </c>
      <c r="H472" s="1">
        <v>3</v>
      </c>
      <c r="I472" s="1" t="str">
        <f>IF(Table1[[#This Row],[Temperature_F]]&lt;32,"Yes","No")</f>
        <v>No</v>
      </c>
      <c r="J472" s="1" t="str" cm="1">
        <f t="array" ref="J4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2" s="1" t="str" cm="1">
        <f t="array" ref="K472">_xlfn.IFS(
H472=0,"No Rain",
H472&lt;10,"Light",
H472&lt;50,"Moderate",
TRUE,"Heavy")</f>
        <v>Light</v>
      </c>
      <c r="L472" s="1" t="str">
        <f>IF(Table1[[#This Row],[Precipitation_mm]]&lt;&gt;0,"Wet","Dry")</f>
        <v>Wet</v>
      </c>
      <c r="M472" t="b">
        <f>OR(ISBLANK(Table1[[#This Row],[Temperature_F]]),ISERROR(Table1[[#This Row],[Temperature_F]]))</f>
        <v>0</v>
      </c>
    </row>
    <row r="473" spans="1:13" x14ac:dyDescent="0.25">
      <c r="A473" s="1" t="s">
        <v>1</v>
      </c>
      <c r="B473" s="1" t="s">
        <v>2</v>
      </c>
      <c r="C473" s="1">
        <v>42.360599999999998</v>
      </c>
      <c r="D473" s="1">
        <v>-71.010599999999997</v>
      </c>
      <c r="E473" s="5">
        <v>40659</v>
      </c>
      <c r="F473" s="1" t="str">
        <f t="shared" si="7"/>
        <v>April</v>
      </c>
      <c r="G473" s="1">
        <v>43</v>
      </c>
      <c r="H473" s="1">
        <v>0</v>
      </c>
      <c r="I473" s="1" t="str">
        <f>IF(Table1[[#This Row],[Temperature_F]]&lt;32,"Yes","No")</f>
        <v>No</v>
      </c>
      <c r="J473" s="1" t="str" cm="1">
        <f t="array" ref="J4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3" s="1" t="str" cm="1">
        <f t="array" ref="K473">_xlfn.IFS(
H473=0,"No Rain",
H473&lt;10,"Light",
H473&lt;50,"Moderate",
TRUE,"Heavy")</f>
        <v>No Rain</v>
      </c>
      <c r="L473" s="1" t="str">
        <f>IF(Table1[[#This Row],[Precipitation_mm]]&lt;&gt;0,"Wet","Dry")</f>
        <v>Dry</v>
      </c>
      <c r="M473" t="b">
        <f>OR(ISBLANK(Table1[[#This Row],[Temperature_F]]),ISERROR(Table1[[#This Row],[Temperature_F]]))</f>
        <v>0</v>
      </c>
    </row>
    <row r="474" spans="1:13" x14ac:dyDescent="0.25">
      <c r="A474" s="1" t="s">
        <v>1</v>
      </c>
      <c r="B474" s="1" t="s">
        <v>2</v>
      </c>
      <c r="C474" s="1">
        <v>42.360599999999998</v>
      </c>
      <c r="D474" s="1">
        <v>-71.010599999999997</v>
      </c>
      <c r="E474" s="5">
        <v>40660</v>
      </c>
      <c r="F474" s="1" t="str">
        <f t="shared" si="7"/>
        <v>April</v>
      </c>
      <c r="G474" s="1">
        <v>46</v>
      </c>
      <c r="H474" s="1">
        <v>0</v>
      </c>
      <c r="I474" s="1" t="str">
        <f>IF(Table1[[#This Row],[Temperature_F]]&lt;32,"Yes","No")</f>
        <v>No</v>
      </c>
      <c r="J474" s="1" t="str" cm="1">
        <f t="array" ref="J4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4" s="1" t="str" cm="1">
        <f t="array" ref="K474">_xlfn.IFS(
H474=0,"No Rain",
H474&lt;10,"Light",
H474&lt;50,"Moderate",
TRUE,"Heavy")</f>
        <v>No Rain</v>
      </c>
      <c r="L474" s="1" t="str">
        <f>IF(Table1[[#This Row],[Precipitation_mm]]&lt;&gt;0,"Wet","Dry")</f>
        <v>Dry</v>
      </c>
      <c r="M474" t="b">
        <f>OR(ISBLANK(Table1[[#This Row],[Temperature_F]]),ISERROR(Table1[[#This Row],[Temperature_F]]))</f>
        <v>0</v>
      </c>
    </row>
    <row r="475" spans="1:13" x14ac:dyDescent="0.25">
      <c r="A475" s="1" t="s">
        <v>1</v>
      </c>
      <c r="B475" s="1" t="s">
        <v>2</v>
      </c>
      <c r="C475" s="1">
        <v>42.360599999999998</v>
      </c>
      <c r="D475" s="1">
        <v>-71.010599999999997</v>
      </c>
      <c r="E475" s="5">
        <v>40661</v>
      </c>
      <c r="F475" s="1" t="str">
        <f t="shared" si="7"/>
        <v>April</v>
      </c>
      <c r="G475" s="1">
        <v>41</v>
      </c>
      <c r="H475" s="1">
        <v>8</v>
      </c>
      <c r="I475" s="1" t="str">
        <f>IF(Table1[[#This Row],[Temperature_F]]&lt;32,"Yes","No")</f>
        <v>No</v>
      </c>
      <c r="J475" s="1" t="str" cm="1">
        <f t="array" ref="J4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5" s="1" t="str" cm="1">
        <f t="array" ref="K475">_xlfn.IFS(
H475=0,"No Rain",
H475&lt;10,"Light",
H475&lt;50,"Moderate",
TRUE,"Heavy")</f>
        <v>Light</v>
      </c>
      <c r="L475" s="1" t="str">
        <f>IF(Table1[[#This Row],[Precipitation_mm]]&lt;&gt;0,"Wet","Dry")</f>
        <v>Wet</v>
      </c>
      <c r="M475" t="b">
        <f>OR(ISBLANK(Table1[[#This Row],[Temperature_F]]),ISERROR(Table1[[#This Row],[Temperature_F]]))</f>
        <v>0</v>
      </c>
    </row>
    <row r="476" spans="1:13" x14ac:dyDescent="0.25">
      <c r="A476" s="1" t="s">
        <v>1</v>
      </c>
      <c r="B476" s="1" t="s">
        <v>2</v>
      </c>
      <c r="C476" s="1">
        <v>42.360599999999998</v>
      </c>
      <c r="D476" s="1">
        <v>-71.010599999999997</v>
      </c>
      <c r="E476" s="5">
        <v>40662</v>
      </c>
      <c r="F476" s="1" t="str">
        <f t="shared" si="7"/>
        <v>April</v>
      </c>
      <c r="G476" s="1">
        <v>44</v>
      </c>
      <c r="H476" s="1">
        <v>0</v>
      </c>
      <c r="I476" s="1" t="str">
        <f>IF(Table1[[#This Row],[Temperature_F]]&lt;32,"Yes","No")</f>
        <v>No</v>
      </c>
      <c r="J476" s="1" t="str" cm="1">
        <f t="array" ref="J4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6" s="1" t="str" cm="1">
        <f t="array" ref="K476">_xlfn.IFS(
H476=0,"No Rain",
H476&lt;10,"Light",
H476&lt;50,"Moderate",
TRUE,"Heavy")</f>
        <v>No Rain</v>
      </c>
      <c r="L476" s="1" t="str">
        <f>IF(Table1[[#This Row],[Precipitation_mm]]&lt;&gt;0,"Wet","Dry")</f>
        <v>Dry</v>
      </c>
      <c r="M476" t="b">
        <f>OR(ISBLANK(Table1[[#This Row],[Temperature_F]]),ISERROR(Table1[[#This Row],[Temperature_F]]))</f>
        <v>0</v>
      </c>
    </row>
    <row r="477" spans="1:13" x14ac:dyDescent="0.25">
      <c r="A477" s="1" t="s">
        <v>1</v>
      </c>
      <c r="B477" s="1" t="s">
        <v>2</v>
      </c>
      <c r="C477" s="1">
        <v>42.360599999999998</v>
      </c>
      <c r="D477" s="1">
        <v>-71.010599999999997</v>
      </c>
      <c r="E477" s="5">
        <v>40663</v>
      </c>
      <c r="F477" s="1" t="str">
        <f t="shared" si="7"/>
        <v>April</v>
      </c>
      <c r="G477" s="1">
        <v>46</v>
      </c>
      <c r="H477" s="1">
        <v>0</v>
      </c>
      <c r="I477" s="1" t="str">
        <f>IF(Table1[[#This Row],[Temperature_F]]&lt;32,"Yes","No")</f>
        <v>No</v>
      </c>
      <c r="J477" s="1" t="str" cm="1">
        <f t="array" ref="J4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7" s="1" t="str" cm="1">
        <f t="array" ref="K477">_xlfn.IFS(
H477=0,"No Rain",
H477&lt;10,"Light",
H477&lt;50,"Moderate",
TRUE,"Heavy")</f>
        <v>No Rain</v>
      </c>
      <c r="L477" s="1" t="str">
        <f>IF(Table1[[#This Row],[Precipitation_mm]]&lt;&gt;0,"Wet","Dry")</f>
        <v>Dry</v>
      </c>
      <c r="M477" t="b">
        <f>OR(ISBLANK(Table1[[#This Row],[Temperature_F]]),ISERROR(Table1[[#This Row],[Temperature_F]]))</f>
        <v>0</v>
      </c>
    </row>
    <row r="478" spans="1:13" x14ac:dyDescent="0.25">
      <c r="A478" s="1" t="s">
        <v>1</v>
      </c>
      <c r="B478" s="1" t="s">
        <v>2</v>
      </c>
      <c r="C478" s="1">
        <v>42.360599999999998</v>
      </c>
      <c r="D478" s="1">
        <v>-71.010599999999997</v>
      </c>
      <c r="E478" s="5">
        <v>40664</v>
      </c>
      <c r="F478" s="1" t="str">
        <f t="shared" si="7"/>
        <v>May</v>
      </c>
      <c r="G478" s="1">
        <v>47</v>
      </c>
      <c r="H478" s="1">
        <v>0</v>
      </c>
      <c r="I478" s="1" t="str">
        <f>IF(Table1[[#This Row],[Temperature_F]]&lt;32,"Yes","No")</f>
        <v>No</v>
      </c>
      <c r="J478" s="1" t="str" cm="1">
        <f t="array" ref="J4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78" s="1" t="str" cm="1">
        <f t="array" ref="K478">_xlfn.IFS(
H478=0,"No Rain",
H478&lt;10,"Light",
H478&lt;50,"Moderate",
TRUE,"Heavy")</f>
        <v>No Rain</v>
      </c>
      <c r="L478" s="1" t="str">
        <f>IF(Table1[[#This Row],[Precipitation_mm]]&lt;&gt;0,"Wet","Dry")</f>
        <v>Dry</v>
      </c>
      <c r="M478" t="b">
        <f>OR(ISBLANK(Table1[[#This Row],[Temperature_F]]),ISERROR(Table1[[#This Row],[Temperature_F]]))</f>
        <v>0</v>
      </c>
    </row>
    <row r="479" spans="1:13" hidden="1" x14ac:dyDescent="0.25">
      <c r="A479" s="1" t="s">
        <v>1</v>
      </c>
      <c r="B479" s="1" t="s">
        <v>2</v>
      </c>
      <c r="C479" s="1">
        <v>42.360599999999998</v>
      </c>
      <c r="D479" s="1">
        <v>-71.010599999999997</v>
      </c>
      <c r="E479" s="5">
        <v>40665</v>
      </c>
      <c r="F479" s="1" t="str">
        <f t="shared" si="7"/>
        <v>May</v>
      </c>
      <c r="G479" s="1">
        <v>58</v>
      </c>
      <c r="H479" s="1">
        <v>0</v>
      </c>
      <c r="I479" s="1" t="str">
        <f>IF(Table1[[#This Row],[Temperature_F]]&lt;32,"Yes","No")</f>
        <v>No</v>
      </c>
      <c r="J479" s="1" t="str" cm="1">
        <f t="array" ref="J4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79" s="1" t="str" cm="1">
        <f t="array" ref="K479">_xlfn.IFS(
H479=0,"No Rain",
H479&lt;10,"Light",
H479&lt;50,"Moderate",
TRUE,"Heavy")</f>
        <v>No Rain</v>
      </c>
      <c r="L479" s="1" t="str">
        <f>IF(Table1[[#This Row],[Precipitation_mm]]&lt;&gt;0,"Wet","Dry")</f>
        <v>Dry</v>
      </c>
      <c r="M479" t="b">
        <f>OR(ISBLANK(Table1[[#This Row],[Temperature_F]]),ISERROR(Table1[[#This Row],[Temperature_F]]))</f>
        <v>0</v>
      </c>
    </row>
    <row r="480" spans="1:13" hidden="1" x14ac:dyDescent="0.25">
      <c r="A480" s="1" t="s">
        <v>1</v>
      </c>
      <c r="B480" s="1" t="s">
        <v>2</v>
      </c>
      <c r="C480" s="1">
        <v>42.360599999999998</v>
      </c>
      <c r="D480" s="1">
        <v>-71.010599999999997</v>
      </c>
      <c r="E480" s="5">
        <v>40666</v>
      </c>
      <c r="F480" s="1" t="str">
        <f t="shared" si="7"/>
        <v>May</v>
      </c>
      <c r="G480" s="1">
        <v>60</v>
      </c>
      <c r="H480" s="1">
        <v>0</v>
      </c>
      <c r="I480" s="1" t="str">
        <f>IF(Table1[[#This Row],[Temperature_F]]&lt;32,"Yes","No")</f>
        <v>No</v>
      </c>
      <c r="J480" s="1" t="str" cm="1">
        <f t="array" ref="J4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80" s="1" t="str" cm="1">
        <f t="array" ref="K480">_xlfn.IFS(
H480=0,"No Rain",
H480&lt;10,"Light",
H480&lt;50,"Moderate",
TRUE,"Heavy")</f>
        <v>No Rain</v>
      </c>
      <c r="L480" s="1" t="str">
        <f>IF(Table1[[#This Row],[Precipitation_mm]]&lt;&gt;0,"Wet","Dry")</f>
        <v>Dry</v>
      </c>
      <c r="M480" t="b">
        <f>OR(ISBLANK(Table1[[#This Row],[Temperature_F]]),ISERROR(Table1[[#This Row],[Temperature_F]]))</f>
        <v>0</v>
      </c>
    </row>
    <row r="481" spans="1:13" x14ac:dyDescent="0.25">
      <c r="A481" s="1" t="s">
        <v>1</v>
      </c>
      <c r="B481" s="1" t="s">
        <v>2</v>
      </c>
      <c r="C481" s="1">
        <v>42.360599999999998</v>
      </c>
      <c r="D481" s="1">
        <v>-71.010599999999997</v>
      </c>
      <c r="E481" s="5">
        <v>40667</v>
      </c>
      <c r="F481" s="1" t="str">
        <f t="shared" si="7"/>
        <v>May</v>
      </c>
      <c r="G481" s="1">
        <v>40</v>
      </c>
      <c r="H481" s="1">
        <v>94</v>
      </c>
      <c r="I481" s="1" t="str">
        <f>IF(Table1[[#This Row],[Temperature_F]]&lt;32,"Yes","No")</f>
        <v>No</v>
      </c>
      <c r="J481" s="1" t="str" cm="1">
        <f t="array" ref="J4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81" s="1" t="str" cm="1">
        <f t="array" ref="K481">_xlfn.IFS(
H481=0,"No Rain",
H481&lt;10,"Light",
H481&lt;50,"Moderate",
TRUE,"Heavy")</f>
        <v>Heavy</v>
      </c>
      <c r="L481" s="1" t="str">
        <f>IF(Table1[[#This Row],[Precipitation_mm]]&lt;&gt;0,"Wet","Dry")</f>
        <v>Wet</v>
      </c>
      <c r="M481" t="b">
        <f>OR(ISBLANK(Table1[[#This Row],[Temperature_F]]),ISERROR(Table1[[#This Row],[Temperature_F]]))</f>
        <v>0</v>
      </c>
    </row>
    <row r="482" spans="1:13" x14ac:dyDescent="0.25">
      <c r="A482" s="1" t="s">
        <v>1</v>
      </c>
      <c r="B482" s="1" t="s">
        <v>2</v>
      </c>
      <c r="C482" s="1">
        <v>42.360599999999998</v>
      </c>
      <c r="D482" s="1">
        <v>-71.010599999999997</v>
      </c>
      <c r="E482" s="5">
        <v>40668</v>
      </c>
      <c r="F482" s="1" t="str">
        <f t="shared" si="7"/>
        <v>May</v>
      </c>
      <c r="G482" s="1">
        <v>40</v>
      </c>
      <c r="H482" s="1">
        <v>3</v>
      </c>
      <c r="I482" s="1" t="str">
        <f>IF(Table1[[#This Row],[Temperature_F]]&lt;32,"Yes","No")</f>
        <v>No</v>
      </c>
      <c r="J482" s="1" t="str" cm="1">
        <f t="array" ref="J4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82" s="1" t="str" cm="1">
        <f t="array" ref="K482">_xlfn.IFS(
H482=0,"No Rain",
H482&lt;10,"Light",
H482&lt;50,"Moderate",
TRUE,"Heavy")</f>
        <v>Light</v>
      </c>
      <c r="L482" s="1" t="str">
        <f>IF(Table1[[#This Row],[Precipitation_mm]]&lt;&gt;0,"Wet","Dry")</f>
        <v>Wet</v>
      </c>
      <c r="M482" t="b">
        <f>OR(ISBLANK(Table1[[#This Row],[Temperature_F]]),ISERROR(Table1[[#This Row],[Temperature_F]]))</f>
        <v>0</v>
      </c>
    </row>
    <row r="483" spans="1:13" hidden="1" x14ac:dyDescent="0.25">
      <c r="A483" s="1" t="s">
        <v>1</v>
      </c>
      <c r="B483" s="1" t="s">
        <v>2</v>
      </c>
      <c r="C483" s="1">
        <v>42.360599999999998</v>
      </c>
      <c r="D483" s="1">
        <v>-71.010599999999997</v>
      </c>
      <c r="E483" s="5">
        <v>40669</v>
      </c>
      <c r="F483" s="1" t="str">
        <f t="shared" si="7"/>
        <v>May</v>
      </c>
      <c r="G483" s="1">
        <v>52</v>
      </c>
      <c r="H483" s="1">
        <v>0</v>
      </c>
      <c r="I483" s="1" t="str">
        <f>IF(Table1[[#This Row],[Temperature_F]]&lt;32,"Yes","No")</f>
        <v>No</v>
      </c>
      <c r="J483" s="1" t="str" cm="1">
        <f t="array" ref="J4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83" s="1" t="str" cm="1">
        <f t="array" ref="K483">_xlfn.IFS(
H483=0,"No Rain",
H483&lt;10,"Light",
H483&lt;50,"Moderate",
TRUE,"Heavy")</f>
        <v>No Rain</v>
      </c>
      <c r="L483" s="1" t="str">
        <f>IF(Table1[[#This Row],[Precipitation_mm]]&lt;&gt;0,"Wet","Dry")</f>
        <v>Dry</v>
      </c>
      <c r="M483" t="b">
        <f>OR(ISBLANK(Table1[[#This Row],[Temperature_F]]),ISERROR(Table1[[#This Row],[Temperature_F]]))</f>
        <v>0</v>
      </c>
    </row>
    <row r="484" spans="1:13" hidden="1" x14ac:dyDescent="0.25">
      <c r="A484" s="1" t="s">
        <v>1</v>
      </c>
      <c r="B484" s="1" t="s">
        <v>2</v>
      </c>
      <c r="C484" s="1">
        <v>42.360599999999998</v>
      </c>
      <c r="D484" s="1">
        <v>-71.010599999999997</v>
      </c>
      <c r="E484" s="5">
        <v>40670</v>
      </c>
      <c r="F484" s="1" t="str">
        <f t="shared" si="7"/>
        <v>May</v>
      </c>
      <c r="G484" s="1">
        <v>52</v>
      </c>
      <c r="H484" s="1">
        <v>91</v>
      </c>
      <c r="I484" s="1" t="str">
        <f>IF(Table1[[#This Row],[Temperature_F]]&lt;32,"Yes","No")</f>
        <v>No</v>
      </c>
      <c r="J484" s="1" t="str" cm="1">
        <f t="array" ref="J4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84" s="1" t="str" cm="1">
        <f t="array" ref="K484">_xlfn.IFS(
H484=0,"No Rain",
H484&lt;10,"Light",
H484&lt;50,"Moderate",
TRUE,"Heavy")</f>
        <v>Heavy</v>
      </c>
      <c r="L484" s="1" t="str">
        <f>IF(Table1[[#This Row],[Precipitation_mm]]&lt;&gt;0,"Wet","Dry")</f>
        <v>Wet</v>
      </c>
      <c r="M484" t="b">
        <f>OR(ISBLANK(Table1[[#This Row],[Temperature_F]]),ISERROR(Table1[[#This Row],[Temperature_F]]))</f>
        <v>0</v>
      </c>
    </row>
    <row r="485" spans="1:13" hidden="1" x14ac:dyDescent="0.25">
      <c r="A485" s="1" t="s">
        <v>1</v>
      </c>
      <c r="B485" s="1" t="s">
        <v>2</v>
      </c>
      <c r="C485" s="1">
        <v>42.360599999999998</v>
      </c>
      <c r="D485" s="1">
        <v>-71.010599999999997</v>
      </c>
      <c r="E485" s="5">
        <v>40671</v>
      </c>
      <c r="F485" s="1" t="str">
        <f t="shared" si="7"/>
        <v>May</v>
      </c>
      <c r="G485" s="1">
        <v>60</v>
      </c>
      <c r="H485" s="1">
        <v>0</v>
      </c>
      <c r="I485" s="1" t="str">
        <f>IF(Table1[[#This Row],[Temperature_F]]&lt;32,"Yes","No")</f>
        <v>No</v>
      </c>
      <c r="J485" s="1" t="str" cm="1">
        <f t="array" ref="J4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85" s="1" t="str" cm="1">
        <f t="array" ref="K485">_xlfn.IFS(
H485=0,"No Rain",
H485&lt;10,"Light",
H485&lt;50,"Moderate",
TRUE,"Heavy")</f>
        <v>No Rain</v>
      </c>
      <c r="L485" s="1" t="str">
        <f>IF(Table1[[#This Row],[Precipitation_mm]]&lt;&gt;0,"Wet","Dry")</f>
        <v>Dry</v>
      </c>
      <c r="M485" t="b">
        <f>OR(ISBLANK(Table1[[#This Row],[Temperature_F]]),ISERROR(Table1[[#This Row],[Temperature_F]]))</f>
        <v>0</v>
      </c>
    </row>
    <row r="486" spans="1:13" hidden="1" x14ac:dyDescent="0.25">
      <c r="A486" s="1" t="s">
        <v>1</v>
      </c>
      <c r="B486" s="1" t="s">
        <v>2</v>
      </c>
      <c r="C486" s="1">
        <v>42.360599999999998</v>
      </c>
      <c r="D486" s="1">
        <v>-71.010599999999997</v>
      </c>
      <c r="E486" s="5">
        <v>40672</v>
      </c>
      <c r="F486" s="1" t="str">
        <f t="shared" si="7"/>
        <v>May</v>
      </c>
      <c r="G486" s="1">
        <v>59</v>
      </c>
      <c r="H486" s="1">
        <v>0</v>
      </c>
      <c r="I486" s="1" t="str">
        <f>IF(Table1[[#This Row],[Temperature_F]]&lt;32,"Yes","No")</f>
        <v>No</v>
      </c>
      <c r="J486" s="1" t="str" cm="1">
        <f t="array" ref="J4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86" s="1" t="str" cm="1">
        <f t="array" ref="K486">_xlfn.IFS(
H486=0,"No Rain",
H486&lt;10,"Light",
H486&lt;50,"Moderate",
TRUE,"Heavy")</f>
        <v>No Rain</v>
      </c>
      <c r="L486" s="1" t="str">
        <f>IF(Table1[[#This Row],[Precipitation_mm]]&lt;&gt;0,"Wet","Dry")</f>
        <v>Dry</v>
      </c>
      <c r="M486" t="b">
        <f>OR(ISBLANK(Table1[[#This Row],[Temperature_F]]),ISERROR(Table1[[#This Row],[Temperature_F]]))</f>
        <v>0</v>
      </c>
    </row>
    <row r="487" spans="1:13" hidden="1" x14ac:dyDescent="0.25">
      <c r="A487" s="1" t="s">
        <v>1</v>
      </c>
      <c r="B487" s="1" t="s">
        <v>2</v>
      </c>
      <c r="C487" s="1">
        <v>42.360599999999998</v>
      </c>
      <c r="D487" s="1">
        <v>-71.010599999999997</v>
      </c>
      <c r="E487" s="5">
        <v>40673</v>
      </c>
      <c r="F487" s="1" t="str">
        <f t="shared" si="7"/>
        <v>May</v>
      </c>
      <c r="G487" s="1">
        <v>54</v>
      </c>
      <c r="H487" s="1">
        <v>0</v>
      </c>
      <c r="I487" s="1" t="str">
        <f>IF(Table1[[#This Row],[Temperature_F]]&lt;32,"Yes","No")</f>
        <v>No</v>
      </c>
      <c r="J487" s="1" t="str" cm="1">
        <f t="array" ref="J4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87" s="1" t="str" cm="1">
        <f t="array" ref="K487">_xlfn.IFS(
H487=0,"No Rain",
H487&lt;10,"Light",
H487&lt;50,"Moderate",
TRUE,"Heavy")</f>
        <v>No Rain</v>
      </c>
      <c r="L487" s="1" t="str">
        <f>IF(Table1[[#This Row],[Precipitation_mm]]&lt;&gt;0,"Wet","Dry")</f>
        <v>Dry</v>
      </c>
      <c r="M487" t="b">
        <f>OR(ISBLANK(Table1[[#This Row],[Temperature_F]]),ISERROR(Table1[[#This Row],[Temperature_F]]))</f>
        <v>0</v>
      </c>
    </row>
    <row r="488" spans="1:13" x14ac:dyDescent="0.25">
      <c r="A488" s="1" t="s">
        <v>1</v>
      </c>
      <c r="B488" s="1" t="s">
        <v>2</v>
      </c>
      <c r="C488" s="1">
        <v>42.360599999999998</v>
      </c>
      <c r="D488" s="1">
        <v>-71.010599999999997</v>
      </c>
      <c r="E488" s="5">
        <v>40674</v>
      </c>
      <c r="F488" s="1" t="str">
        <f t="shared" si="7"/>
        <v>May</v>
      </c>
      <c r="G488" s="1">
        <v>47</v>
      </c>
      <c r="H488" s="1">
        <v>3</v>
      </c>
      <c r="I488" s="1" t="str">
        <f>IF(Table1[[#This Row],[Temperature_F]]&lt;32,"Yes","No")</f>
        <v>No</v>
      </c>
      <c r="J488" s="1" t="str" cm="1">
        <f t="array" ref="J4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88" s="1" t="str" cm="1">
        <f t="array" ref="K488">_xlfn.IFS(
H488=0,"No Rain",
H488&lt;10,"Light",
H488&lt;50,"Moderate",
TRUE,"Heavy")</f>
        <v>Light</v>
      </c>
      <c r="L488" s="1" t="str">
        <f>IF(Table1[[#This Row],[Precipitation_mm]]&lt;&gt;0,"Wet","Dry")</f>
        <v>Wet</v>
      </c>
      <c r="M488" t="b">
        <f>OR(ISBLANK(Table1[[#This Row],[Temperature_F]]),ISERROR(Table1[[#This Row],[Temperature_F]]))</f>
        <v>0</v>
      </c>
    </row>
    <row r="489" spans="1:13" x14ac:dyDescent="0.25">
      <c r="A489" s="1" t="s">
        <v>1</v>
      </c>
      <c r="B489" s="1" t="s">
        <v>2</v>
      </c>
      <c r="C489" s="1">
        <v>42.360599999999998</v>
      </c>
      <c r="D489" s="1">
        <v>-71.010599999999997</v>
      </c>
      <c r="E489" s="5">
        <v>40675</v>
      </c>
      <c r="F489" s="1" t="str">
        <f t="shared" si="7"/>
        <v>May</v>
      </c>
      <c r="G489" s="1">
        <v>42</v>
      </c>
      <c r="H489" s="1">
        <v>0</v>
      </c>
      <c r="I489" s="1" t="str">
        <f>IF(Table1[[#This Row],[Temperature_F]]&lt;32,"Yes","No")</f>
        <v>No</v>
      </c>
      <c r="J489" s="1" t="str" cm="1">
        <f t="array" ref="J4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89" s="1" t="str" cm="1">
        <f t="array" ref="K489">_xlfn.IFS(
H489=0,"No Rain",
H489&lt;10,"Light",
H489&lt;50,"Moderate",
TRUE,"Heavy")</f>
        <v>No Rain</v>
      </c>
      <c r="L489" s="1" t="str">
        <f>IF(Table1[[#This Row],[Precipitation_mm]]&lt;&gt;0,"Wet","Dry")</f>
        <v>Dry</v>
      </c>
      <c r="M489" t="b">
        <f>OR(ISBLANK(Table1[[#This Row],[Temperature_F]]),ISERROR(Table1[[#This Row],[Temperature_F]]))</f>
        <v>0</v>
      </c>
    </row>
    <row r="490" spans="1:13" hidden="1" x14ac:dyDescent="0.25">
      <c r="A490" s="1" t="s">
        <v>1</v>
      </c>
      <c r="B490" s="1" t="s">
        <v>2</v>
      </c>
      <c r="C490" s="1">
        <v>42.360599999999998</v>
      </c>
      <c r="D490" s="1">
        <v>-71.010599999999997</v>
      </c>
      <c r="E490" s="5">
        <v>40676</v>
      </c>
      <c r="F490" s="1" t="str">
        <f t="shared" si="7"/>
        <v>May</v>
      </c>
      <c r="G490" s="1">
        <v>55</v>
      </c>
      <c r="H490" s="1">
        <v>0</v>
      </c>
      <c r="I490" s="1" t="str">
        <f>IF(Table1[[#This Row],[Temperature_F]]&lt;32,"Yes","No")</f>
        <v>No</v>
      </c>
      <c r="J490" s="1" t="str" cm="1">
        <f t="array" ref="J4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90" s="1" t="str" cm="1">
        <f t="array" ref="K490">_xlfn.IFS(
H490=0,"No Rain",
H490&lt;10,"Light",
H490&lt;50,"Moderate",
TRUE,"Heavy")</f>
        <v>No Rain</v>
      </c>
      <c r="L490" s="1" t="str">
        <f>IF(Table1[[#This Row],[Precipitation_mm]]&lt;&gt;0,"Wet","Dry")</f>
        <v>Dry</v>
      </c>
      <c r="M490" t="b">
        <f>OR(ISBLANK(Table1[[#This Row],[Temperature_F]]),ISERROR(Table1[[#This Row],[Temperature_F]]))</f>
        <v>0</v>
      </c>
    </row>
    <row r="491" spans="1:13" hidden="1" x14ac:dyDescent="0.25">
      <c r="A491" s="1" t="s">
        <v>1</v>
      </c>
      <c r="B491" s="1" t="s">
        <v>2</v>
      </c>
      <c r="C491" s="1">
        <v>42.360599999999998</v>
      </c>
      <c r="D491" s="1">
        <v>-71.010599999999997</v>
      </c>
      <c r="E491" s="5">
        <v>40677</v>
      </c>
      <c r="F491" s="1" t="str">
        <f t="shared" si="7"/>
        <v>May</v>
      </c>
      <c r="G491" s="1">
        <v>56</v>
      </c>
      <c r="H491" s="1">
        <v>3</v>
      </c>
      <c r="I491" s="1" t="str">
        <f>IF(Table1[[#This Row],[Temperature_F]]&lt;32,"Yes","No")</f>
        <v>No</v>
      </c>
      <c r="J491" s="1" t="str" cm="1">
        <f t="array" ref="J4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91" s="1" t="str" cm="1">
        <f t="array" ref="K491">_xlfn.IFS(
H491=0,"No Rain",
H491&lt;10,"Light",
H491&lt;50,"Moderate",
TRUE,"Heavy")</f>
        <v>Light</v>
      </c>
      <c r="L491" s="1" t="str">
        <f>IF(Table1[[#This Row],[Precipitation_mm]]&lt;&gt;0,"Wet","Dry")</f>
        <v>Wet</v>
      </c>
      <c r="M491" t="b">
        <f>OR(ISBLANK(Table1[[#This Row],[Temperature_F]]),ISERROR(Table1[[#This Row],[Temperature_F]]))</f>
        <v>0</v>
      </c>
    </row>
    <row r="492" spans="1:13" x14ac:dyDescent="0.25">
      <c r="A492" s="1" t="s">
        <v>1</v>
      </c>
      <c r="B492" s="1" t="s">
        <v>2</v>
      </c>
      <c r="C492" s="1">
        <v>42.360599999999998</v>
      </c>
      <c r="D492" s="1">
        <v>-71.010599999999997</v>
      </c>
      <c r="E492" s="5">
        <v>40678</v>
      </c>
      <c r="F492" s="1" t="str">
        <f t="shared" si="7"/>
        <v>May</v>
      </c>
      <c r="G492" s="1">
        <v>46</v>
      </c>
      <c r="H492" s="1">
        <v>272</v>
      </c>
      <c r="I492" s="1" t="str">
        <f>IF(Table1[[#This Row],[Temperature_F]]&lt;32,"Yes","No")</f>
        <v>No</v>
      </c>
      <c r="J492" s="1" t="str" cm="1">
        <f t="array" ref="J4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92" s="1" t="str" cm="1">
        <f t="array" ref="K492">_xlfn.IFS(
H492=0,"No Rain",
H492&lt;10,"Light",
H492&lt;50,"Moderate",
TRUE,"Heavy")</f>
        <v>Heavy</v>
      </c>
      <c r="L492" s="1" t="str">
        <f>IF(Table1[[#This Row],[Precipitation_mm]]&lt;&gt;0,"Wet","Dry")</f>
        <v>Wet</v>
      </c>
      <c r="M492" t="b">
        <f>OR(ISBLANK(Table1[[#This Row],[Temperature_F]]),ISERROR(Table1[[#This Row],[Temperature_F]]))</f>
        <v>0</v>
      </c>
    </row>
    <row r="493" spans="1:13" hidden="1" x14ac:dyDescent="0.25">
      <c r="A493" s="1" t="s">
        <v>1</v>
      </c>
      <c r="B493" s="1" t="s">
        <v>2</v>
      </c>
      <c r="C493" s="1">
        <v>42.360599999999998</v>
      </c>
      <c r="D493" s="1">
        <v>-71.010599999999997</v>
      </c>
      <c r="E493" s="5">
        <v>40679</v>
      </c>
      <c r="F493" s="1" t="str">
        <f t="shared" si="7"/>
        <v>May</v>
      </c>
      <c r="G493" s="1">
        <v>55</v>
      </c>
      <c r="H493" s="1">
        <v>97</v>
      </c>
      <c r="I493" s="1" t="str">
        <f>IF(Table1[[#This Row],[Temperature_F]]&lt;32,"Yes","No")</f>
        <v>No</v>
      </c>
      <c r="J493" s="1" t="str" cm="1">
        <f t="array" ref="J4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93" s="1" t="str" cm="1">
        <f t="array" ref="K493">_xlfn.IFS(
H493=0,"No Rain",
H493&lt;10,"Light",
H493&lt;50,"Moderate",
TRUE,"Heavy")</f>
        <v>Heavy</v>
      </c>
      <c r="L493" s="1" t="str">
        <f>IF(Table1[[#This Row],[Precipitation_mm]]&lt;&gt;0,"Wet","Dry")</f>
        <v>Wet</v>
      </c>
      <c r="M493" t="b">
        <f>OR(ISBLANK(Table1[[#This Row],[Temperature_F]]),ISERROR(Table1[[#This Row],[Temperature_F]]))</f>
        <v>0</v>
      </c>
    </row>
    <row r="494" spans="1:13" hidden="1" x14ac:dyDescent="0.25">
      <c r="A494" s="1" t="s">
        <v>1</v>
      </c>
      <c r="B494" s="1" t="s">
        <v>2</v>
      </c>
      <c r="C494" s="1">
        <v>42.360599999999998</v>
      </c>
      <c r="D494" s="1">
        <v>-71.010599999999997</v>
      </c>
      <c r="E494" s="5">
        <v>40680</v>
      </c>
      <c r="F494" s="1" t="str">
        <f t="shared" si="7"/>
        <v>May</v>
      </c>
      <c r="G494" s="1">
        <v>57</v>
      </c>
      <c r="H494" s="1">
        <v>46</v>
      </c>
      <c r="I494" s="1" t="str">
        <f>IF(Table1[[#This Row],[Temperature_F]]&lt;32,"Yes","No")</f>
        <v>No</v>
      </c>
      <c r="J494" s="1" t="str" cm="1">
        <f t="array" ref="J4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94" s="1" t="str" cm="1">
        <f t="array" ref="K494">_xlfn.IFS(
H494=0,"No Rain",
H494&lt;10,"Light",
H494&lt;50,"Moderate",
TRUE,"Heavy")</f>
        <v>Moderate</v>
      </c>
      <c r="L494" s="1" t="str">
        <f>IF(Table1[[#This Row],[Precipitation_mm]]&lt;&gt;0,"Wet","Dry")</f>
        <v>Wet</v>
      </c>
      <c r="M494" t="b">
        <f>OR(ISBLANK(Table1[[#This Row],[Temperature_F]]),ISERROR(Table1[[#This Row],[Temperature_F]]))</f>
        <v>0</v>
      </c>
    </row>
    <row r="495" spans="1:13" x14ac:dyDescent="0.25">
      <c r="A495" s="1" t="s">
        <v>1</v>
      </c>
      <c r="B495" s="1" t="s">
        <v>2</v>
      </c>
      <c r="C495" s="1">
        <v>42.360599999999998</v>
      </c>
      <c r="D495" s="1">
        <v>-71.010599999999997</v>
      </c>
      <c r="E495" s="5">
        <v>40681</v>
      </c>
      <c r="F495" s="1" t="str">
        <f t="shared" si="7"/>
        <v>May</v>
      </c>
      <c r="G495" s="1">
        <v>50</v>
      </c>
      <c r="H495" s="1">
        <v>13</v>
      </c>
      <c r="I495" s="1" t="str">
        <f>IF(Table1[[#This Row],[Temperature_F]]&lt;32,"Yes","No")</f>
        <v>No</v>
      </c>
      <c r="J495" s="1" t="str" cm="1">
        <f t="array" ref="J4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95" s="1" t="str" cm="1">
        <f t="array" ref="K495">_xlfn.IFS(
H495=0,"No Rain",
H495&lt;10,"Light",
H495&lt;50,"Moderate",
TRUE,"Heavy")</f>
        <v>Moderate</v>
      </c>
      <c r="L495" s="1" t="str">
        <f>IF(Table1[[#This Row],[Precipitation_mm]]&lt;&gt;0,"Wet","Dry")</f>
        <v>Wet</v>
      </c>
      <c r="M495" t="b">
        <f>OR(ISBLANK(Table1[[#This Row],[Temperature_F]]),ISERROR(Table1[[#This Row],[Temperature_F]]))</f>
        <v>0</v>
      </c>
    </row>
    <row r="496" spans="1:13" x14ac:dyDescent="0.25">
      <c r="A496" s="1" t="s">
        <v>1</v>
      </c>
      <c r="B496" s="1" t="s">
        <v>2</v>
      </c>
      <c r="C496" s="1">
        <v>42.360599999999998</v>
      </c>
      <c r="D496" s="1">
        <v>-71.010599999999997</v>
      </c>
      <c r="E496" s="5">
        <v>40682</v>
      </c>
      <c r="F496" s="1" t="str">
        <f t="shared" si="7"/>
        <v>May</v>
      </c>
      <c r="G496" s="1">
        <v>47</v>
      </c>
      <c r="H496" s="1">
        <v>127</v>
      </c>
      <c r="I496" s="1" t="str">
        <f>IF(Table1[[#This Row],[Temperature_F]]&lt;32,"Yes","No")</f>
        <v>No</v>
      </c>
      <c r="J496" s="1" t="str" cm="1">
        <f t="array" ref="J4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96" s="1" t="str" cm="1">
        <f t="array" ref="K496">_xlfn.IFS(
H496=0,"No Rain",
H496&lt;10,"Light",
H496&lt;50,"Moderate",
TRUE,"Heavy")</f>
        <v>Heavy</v>
      </c>
      <c r="L496" s="1" t="str">
        <f>IF(Table1[[#This Row],[Precipitation_mm]]&lt;&gt;0,"Wet","Dry")</f>
        <v>Wet</v>
      </c>
      <c r="M496" t="b">
        <f>OR(ISBLANK(Table1[[#This Row],[Temperature_F]]),ISERROR(Table1[[#This Row],[Temperature_F]]))</f>
        <v>0</v>
      </c>
    </row>
    <row r="497" spans="1:13" x14ac:dyDescent="0.25">
      <c r="A497" s="1" t="s">
        <v>1</v>
      </c>
      <c r="B497" s="1" t="s">
        <v>2</v>
      </c>
      <c r="C497" s="1">
        <v>42.360599999999998</v>
      </c>
      <c r="D497" s="1">
        <v>-71.010599999999997</v>
      </c>
      <c r="E497" s="5">
        <v>40683</v>
      </c>
      <c r="F497" s="1" t="str">
        <f t="shared" si="7"/>
        <v>May</v>
      </c>
      <c r="G497" s="1">
        <v>43</v>
      </c>
      <c r="H497" s="1">
        <v>3</v>
      </c>
      <c r="I497" s="1" t="str">
        <f>IF(Table1[[#This Row],[Temperature_F]]&lt;32,"Yes","No")</f>
        <v>No</v>
      </c>
      <c r="J497" s="1" t="str" cm="1">
        <f t="array" ref="J4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97" s="1" t="str" cm="1">
        <f t="array" ref="K497">_xlfn.IFS(
H497=0,"No Rain",
H497&lt;10,"Light",
H497&lt;50,"Moderate",
TRUE,"Heavy")</f>
        <v>Light</v>
      </c>
      <c r="L497" s="1" t="str">
        <f>IF(Table1[[#This Row],[Precipitation_mm]]&lt;&gt;0,"Wet","Dry")</f>
        <v>Wet</v>
      </c>
      <c r="M497" t="b">
        <f>OR(ISBLANK(Table1[[#This Row],[Temperature_F]]),ISERROR(Table1[[#This Row],[Temperature_F]]))</f>
        <v>0</v>
      </c>
    </row>
    <row r="498" spans="1:13" x14ac:dyDescent="0.25">
      <c r="A498" s="1" t="s">
        <v>1</v>
      </c>
      <c r="B498" s="1" t="s">
        <v>2</v>
      </c>
      <c r="C498" s="1">
        <v>42.360599999999998</v>
      </c>
      <c r="D498" s="1">
        <v>-71.010599999999997</v>
      </c>
      <c r="E498" s="5">
        <v>40684</v>
      </c>
      <c r="F498" s="1" t="str">
        <f t="shared" si="7"/>
        <v>May</v>
      </c>
      <c r="G498" s="1">
        <v>43</v>
      </c>
      <c r="H498" s="1">
        <v>0</v>
      </c>
      <c r="I498" s="1" t="str">
        <f>IF(Table1[[#This Row],[Temperature_F]]&lt;32,"Yes","No")</f>
        <v>No</v>
      </c>
      <c r="J498" s="1" t="str" cm="1">
        <f t="array" ref="J4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498" s="1" t="str" cm="1">
        <f t="array" ref="K498">_xlfn.IFS(
H498=0,"No Rain",
H498&lt;10,"Light",
H498&lt;50,"Moderate",
TRUE,"Heavy")</f>
        <v>No Rain</v>
      </c>
      <c r="L498" s="1" t="str">
        <f>IF(Table1[[#This Row],[Precipitation_mm]]&lt;&gt;0,"Wet","Dry")</f>
        <v>Dry</v>
      </c>
      <c r="M498" t="b">
        <f>OR(ISBLANK(Table1[[#This Row],[Temperature_F]]),ISERROR(Table1[[#This Row],[Temperature_F]]))</f>
        <v>0</v>
      </c>
    </row>
    <row r="499" spans="1:13" hidden="1" x14ac:dyDescent="0.25">
      <c r="A499" s="1" t="s">
        <v>1</v>
      </c>
      <c r="B499" s="1" t="s">
        <v>2</v>
      </c>
      <c r="C499" s="1">
        <v>42.360599999999998</v>
      </c>
      <c r="D499" s="1">
        <v>-71.010599999999997</v>
      </c>
      <c r="E499" s="5">
        <v>40685</v>
      </c>
      <c r="F499" s="1" t="str">
        <f t="shared" si="7"/>
        <v>May</v>
      </c>
      <c r="G499" s="1">
        <v>54</v>
      </c>
      <c r="H499" s="1">
        <v>0</v>
      </c>
      <c r="I499" s="1" t="str">
        <f>IF(Table1[[#This Row],[Temperature_F]]&lt;32,"Yes","No")</f>
        <v>No</v>
      </c>
      <c r="J499" s="1" t="str" cm="1">
        <f t="array" ref="J4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499" s="1" t="str" cm="1">
        <f t="array" ref="K499">_xlfn.IFS(
H499=0,"No Rain",
H499&lt;10,"Light",
H499&lt;50,"Moderate",
TRUE,"Heavy")</f>
        <v>No Rain</v>
      </c>
      <c r="L499" s="1" t="str">
        <f>IF(Table1[[#This Row],[Precipitation_mm]]&lt;&gt;0,"Wet","Dry")</f>
        <v>Dry</v>
      </c>
      <c r="M499" t="b">
        <f>OR(ISBLANK(Table1[[#This Row],[Temperature_F]]),ISERROR(Table1[[#This Row],[Temperature_F]]))</f>
        <v>0</v>
      </c>
    </row>
    <row r="500" spans="1:13" hidden="1" x14ac:dyDescent="0.25">
      <c r="A500" s="1" t="s">
        <v>1</v>
      </c>
      <c r="B500" s="1" t="s">
        <v>2</v>
      </c>
      <c r="C500" s="1">
        <v>42.360599999999998</v>
      </c>
      <c r="D500" s="1">
        <v>-71.010599999999997</v>
      </c>
      <c r="E500" s="5">
        <v>40686</v>
      </c>
      <c r="F500" s="1" t="str">
        <f t="shared" si="7"/>
        <v>May</v>
      </c>
      <c r="G500" s="1">
        <v>52</v>
      </c>
      <c r="H500" s="1">
        <v>28</v>
      </c>
      <c r="I500" s="1" t="str">
        <f>IF(Table1[[#This Row],[Temperature_F]]&lt;32,"Yes","No")</f>
        <v>No</v>
      </c>
      <c r="J500" s="1" t="str" cm="1">
        <f t="array" ref="J5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00" s="1" t="str" cm="1">
        <f t="array" ref="K500">_xlfn.IFS(
H500=0,"No Rain",
H500&lt;10,"Light",
H500&lt;50,"Moderate",
TRUE,"Heavy")</f>
        <v>Moderate</v>
      </c>
      <c r="L500" s="1" t="str">
        <f>IF(Table1[[#This Row],[Precipitation_mm]]&lt;&gt;0,"Wet","Dry")</f>
        <v>Wet</v>
      </c>
      <c r="M500" t="b">
        <f>OR(ISBLANK(Table1[[#This Row],[Temperature_F]]),ISERROR(Table1[[#This Row],[Temperature_F]]))</f>
        <v>0</v>
      </c>
    </row>
    <row r="501" spans="1:13" x14ac:dyDescent="0.25">
      <c r="A501" s="1" t="s">
        <v>1</v>
      </c>
      <c r="B501" s="1" t="s">
        <v>2</v>
      </c>
      <c r="C501" s="1">
        <v>42.360599999999998</v>
      </c>
      <c r="D501" s="1">
        <v>-71.010599999999997</v>
      </c>
      <c r="E501" s="5">
        <v>40687</v>
      </c>
      <c r="F501" s="1" t="str">
        <f t="shared" si="7"/>
        <v>May</v>
      </c>
      <c r="G501" s="1">
        <v>40</v>
      </c>
      <c r="H501" s="1">
        <v>43</v>
      </c>
      <c r="I501" s="1" t="str">
        <f>IF(Table1[[#This Row],[Temperature_F]]&lt;32,"Yes","No")</f>
        <v>No</v>
      </c>
      <c r="J501" s="1" t="str" cm="1">
        <f t="array" ref="J5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1" s="1" t="str" cm="1">
        <f t="array" ref="K501">_xlfn.IFS(
H501=0,"No Rain",
H501&lt;10,"Light",
H501&lt;50,"Moderate",
TRUE,"Heavy")</f>
        <v>Moderate</v>
      </c>
      <c r="L501" s="1" t="str">
        <f>IF(Table1[[#This Row],[Precipitation_mm]]&lt;&gt;0,"Wet","Dry")</f>
        <v>Wet</v>
      </c>
      <c r="M501" t="b">
        <f>OR(ISBLANK(Table1[[#This Row],[Temperature_F]]),ISERROR(Table1[[#This Row],[Temperature_F]]))</f>
        <v>0</v>
      </c>
    </row>
    <row r="502" spans="1:13" x14ac:dyDescent="0.25">
      <c r="A502" s="1" t="s">
        <v>1</v>
      </c>
      <c r="B502" s="1" t="s">
        <v>2</v>
      </c>
      <c r="C502" s="1">
        <v>42.360599999999998</v>
      </c>
      <c r="D502" s="1">
        <v>-71.010599999999997</v>
      </c>
      <c r="E502" s="5">
        <v>40688</v>
      </c>
      <c r="F502" s="1" t="str">
        <f t="shared" si="7"/>
        <v>May</v>
      </c>
      <c r="G502" s="1">
        <v>45</v>
      </c>
      <c r="H502" s="1">
        <v>0</v>
      </c>
      <c r="I502" s="1" t="str">
        <f>IF(Table1[[#This Row],[Temperature_F]]&lt;32,"Yes","No")</f>
        <v>No</v>
      </c>
      <c r="J502" s="1" t="str" cm="1">
        <f t="array" ref="J5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2" s="1" t="str" cm="1">
        <f t="array" ref="K502">_xlfn.IFS(
H502=0,"No Rain",
H502&lt;10,"Light",
H502&lt;50,"Moderate",
TRUE,"Heavy")</f>
        <v>No Rain</v>
      </c>
      <c r="L502" s="1" t="str">
        <f>IF(Table1[[#This Row],[Precipitation_mm]]&lt;&gt;0,"Wet","Dry")</f>
        <v>Dry</v>
      </c>
      <c r="M502" t="b">
        <f>OR(ISBLANK(Table1[[#This Row],[Temperature_F]]),ISERROR(Table1[[#This Row],[Temperature_F]]))</f>
        <v>0</v>
      </c>
    </row>
    <row r="503" spans="1:13" x14ac:dyDescent="0.25">
      <c r="A503" s="1" t="s">
        <v>1</v>
      </c>
      <c r="B503" s="1" t="s">
        <v>2</v>
      </c>
      <c r="C503" s="1">
        <v>42.360599999999998</v>
      </c>
      <c r="D503" s="1">
        <v>-71.010599999999997</v>
      </c>
      <c r="E503" s="5">
        <v>40689</v>
      </c>
      <c r="F503" s="1" t="str">
        <f t="shared" si="7"/>
        <v>May</v>
      </c>
      <c r="G503" s="1">
        <v>50</v>
      </c>
      <c r="H503" s="1">
        <v>0</v>
      </c>
      <c r="I503" s="1" t="str">
        <f>IF(Table1[[#This Row],[Temperature_F]]&lt;32,"Yes","No")</f>
        <v>No</v>
      </c>
      <c r="J503" s="1" t="str" cm="1">
        <f t="array" ref="J5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3" s="1" t="str" cm="1">
        <f t="array" ref="K503">_xlfn.IFS(
H503=0,"No Rain",
H503&lt;10,"Light",
H503&lt;50,"Moderate",
TRUE,"Heavy")</f>
        <v>No Rain</v>
      </c>
      <c r="L503" s="1" t="str">
        <f>IF(Table1[[#This Row],[Precipitation_mm]]&lt;&gt;0,"Wet","Dry")</f>
        <v>Dry</v>
      </c>
      <c r="M503" t="b">
        <f>OR(ISBLANK(Table1[[#This Row],[Temperature_F]]),ISERROR(Table1[[#This Row],[Temperature_F]]))</f>
        <v>0</v>
      </c>
    </row>
    <row r="504" spans="1:13" x14ac:dyDescent="0.25">
      <c r="A504" s="1" t="s">
        <v>1</v>
      </c>
      <c r="B504" s="1" t="s">
        <v>2</v>
      </c>
      <c r="C504" s="1">
        <v>42.360599999999998</v>
      </c>
      <c r="D504" s="1">
        <v>-71.010599999999997</v>
      </c>
      <c r="E504" s="5">
        <v>40690</v>
      </c>
      <c r="F504" s="1" t="str">
        <f t="shared" si="7"/>
        <v>May</v>
      </c>
      <c r="G504" s="1">
        <v>47</v>
      </c>
      <c r="H504" s="1">
        <v>0</v>
      </c>
      <c r="I504" s="1" t="str">
        <f>IF(Table1[[#This Row],[Temperature_F]]&lt;32,"Yes","No")</f>
        <v>No</v>
      </c>
      <c r="J504" s="1" t="str" cm="1">
        <f t="array" ref="J5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4" s="1" t="str" cm="1">
        <f t="array" ref="K504">_xlfn.IFS(
H504=0,"No Rain",
H504&lt;10,"Light",
H504&lt;50,"Moderate",
TRUE,"Heavy")</f>
        <v>No Rain</v>
      </c>
      <c r="L504" s="1" t="str">
        <f>IF(Table1[[#This Row],[Precipitation_mm]]&lt;&gt;0,"Wet","Dry")</f>
        <v>Dry</v>
      </c>
      <c r="M504" t="b">
        <f>OR(ISBLANK(Table1[[#This Row],[Temperature_F]]),ISERROR(Table1[[#This Row],[Temperature_F]]))</f>
        <v>0</v>
      </c>
    </row>
    <row r="505" spans="1:13" x14ac:dyDescent="0.25">
      <c r="A505" s="1" t="s">
        <v>1</v>
      </c>
      <c r="B505" s="1" t="s">
        <v>2</v>
      </c>
      <c r="C505" s="1">
        <v>42.360599999999998</v>
      </c>
      <c r="D505" s="1">
        <v>-71.010599999999997</v>
      </c>
      <c r="E505" s="5">
        <v>40691</v>
      </c>
      <c r="F505" s="1" t="str">
        <f t="shared" si="7"/>
        <v>May</v>
      </c>
      <c r="G505" s="1">
        <v>50</v>
      </c>
      <c r="H505" s="1">
        <v>0</v>
      </c>
      <c r="I505" s="1" t="str">
        <f>IF(Table1[[#This Row],[Temperature_F]]&lt;32,"Yes","No")</f>
        <v>No</v>
      </c>
      <c r="J505" s="1" t="str" cm="1">
        <f t="array" ref="J5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5" s="1" t="str" cm="1">
        <f t="array" ref="K505">_xlfn.IFS(
H505=0,"No Rain",
H505&lt;10,"Light",
H505&lt;50,"Moderate",
TRUE,"Heavy")</f>
        <v>No Rain</v>
      </c>
      <c r="L505" s="1" t="str">
        <f>IF(Table1[[#This Row],[Precipitation_mm]]&lt;&gt;0,"Wet","Dry")</f>
        <v>Dry</v>
      </c>
      <c r="M505" t="b">
        <f>OR(ISBLANK(Table1[[#This Row],[Temperature_F]]),ISERROR(Table1[[#This Row],[Temperature_F]]))</f>
        <v>0</v>
      </c>
    </row>
    <row r="506" spans="1:13" hidden="1" x14ac:dyDescent="0.25">
      <c r="A506" s="1" t="s">
        <v>1</v>
      </c>
      <c r="B506" s="1" t="s">
        <v>2</v>
      </c>
      <c r="C506" s="1">
        <v>42.360599999999998</v>
      </c>
      <c r="D506" s="1">
        <v>-71.010599999999997</v>
      </c>
      <c r="E506" s="5">
        <v>40692</v>
      </c>
      <c r="F506" s="1" t="str">
        <f t="shared" ref="F506:F569" si="8">TEXT(E506,"mmmm")</f>
        <v>May</v>
      </c>
      <c r="G506" s="1">
        <v>60</v>
      </c>
      <c r="H506" s="1">
        <v>0</v>
      </c>
      <c r="I506" s="1" t="str">
        <f>IF(Table1[[#This Row],[Temperature_F]]&lt;32,"Yes","No")</f>
        <v>No</v>
      </c>
      <c r="J506" s="1" t="str" cm="1">
        <f t="array" ref="J5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06" s="1" t="str" cm="1">
        <f t="array" ref="K506">_xlfn.IFS(
H506=0,"No Rain",
H506&lt;10,"Light",
H506&lt;50,"Moderate",
TRUE,"Heavy")</f>
        <v>No Rain</v>
      </c>
      <c r="L506" s="1" t="str">
        <f>IF(Table1[[#This Row],[Precipitation_mm]]&lt;&gt;0,"Wet","Dry")</f>
        <v>Dry</v>
      </c>
      <c r="M506" t="b">
        <f>OR(ISBLANK(Table1[[#This Row],[Temperature_F]]),ISERROR(Table1[[#This Row],[Temperature_F]]))</f>
        <v>0</v>
      </c>
    </row>
    <row r="507" spans="1:13" x14ac:dyDescent="0.25">
      <c r="A507" s="1" t="s">
        <v>1</v>
      </c>
      <c r="B507" s="1" t="s">
        <v>2</v>
      </c>
      <c r="C507" s="1">
        <v>42.360599999999998</v>
      </c>
      <c r="D507" s="1">
        <v>-71.010599999999997</v>
      </c>
      <c r="E507" s="5">
        <v>40693</v>
      </c>
      <c r="F507" s="1" t="str">
        <f t="shared" si="8"/>
        <v>May</v>
      </c>
      <c r="G507" s="1">
        <v>47</v>
      </c>
      <c r="H507" s="1">
        <v>0</v>
      </c>
      <c r="I507" s="1" t="str">
        <f>IF(Table1[[#This Row],[Temperature_F]]&lt;32,"Yes","No")</f>
        <v>No</v>
      </c>
      <c r="J507" s="1" t="str" cm="1">
        <f t="array" ref="J5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507" s="1" t="str" cm="1">
        <f t="array" ref="K507">_xlfn.IFS(
H507=0,"No Rain",
H507&lt;10,"Light",
H507&lt;50,"Moderate",
TRUE,"Heavy")</f>
        <v>No Rain</v>
      </c>
      <c r="L507" s="1" t="str">
        <f>IF(Table1[[#This Row],[Precipitation_mm]]&lt;&gt;0,"Wet","Dry")</f>
        <v>Dry</v>
      </c>
      <c r="M507" t="b">
        <f>OR(ISBLANK(Table1[[#This Row],[Temperature_F]]),ISERROR(Table1[[#This Row],[Temperature_F]]))</f>
        <v>0</v>
      </c>
    </row>
    <row r="508" spans="1:13" hidden="1" x14ac:dyDescent="0.25">
      <c r="A508" s="1" t="s">
        <v>1</v>
      </c>
      <c r="B508" s="1" t="s">
        <v>2</v>
      </c>
      <c r="C508" s="1">
        <v>42.360599999999998</v>
      </c>
      <c r="D508" s="1">
        <v>-71.010599999999997</v>
      </c>
      <c r="E508" s="5">
        <v>40694</v>
      </c>
      <c r="F508" s="1" t="str">
        <f t="shared" si="8"/>
        <v>May</v>
      </c>
      <c r="G508" s="1">
        <v>53</v>
      </c>
      <c r="H508" s="1">
        <v>0</v>
      </c>
      <c r="I508" s="1" t="str">
        <f>IF(Table1[[#This Row],[Temperature_F]]&lt;32,"Yes","No")</f>
        <v>No</v>
      </c>
      <c r="J508" s="1" t="str" cm="1">
        <f t="array" ref="J5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08" s="1" t="str" cm="1">
        <f t="array" ref="K508">_xlfn.IFS(
H508=0,"No Rain",
H508&lt;10,"Light",
H508&lt;50,"Moderate",
TRUE,"Heavy")</f>
        <v>No Rain</v>
      </c>
      <c r="L508" s="1" t="str">
        <f>IF(Table1[[#This Row],[Precipitation_mm]]&lt;&gt;0,"Wet","Dry")</f>
        <v>Dry</v>
      </c>
      <c r="M508" t="b">
        <f>OR(ISBLANK(Table1[[#This Row],[Temperature_F]]),ISERROR(Table1[[#This Row],[Temperature_F]]))</f>
        <v>0</v>
      </c>
    </row>
    <row r="509" spans="1:13" hidden="1" x14ac:dyDescent="0.25">
      <c r="A509" s="1" t="s">
        <v>1</v>
      </c>
      <c r="B509" s="1" t="s">
        <v>2</v>
      </c>
      <c r="C509" s="1">
        <v>42.360599999999998</v>
      </c>
      <c r="D509" s="1">
        <v>-71.010599999999997</v>
      </c>
      <c r="E509" s="5">
        <v>40695</v>
      </c>
      <c r="F509" s="1" t="str">
        <f t="shared" si="8"/>
        <v>June</v>
      </c>
      <c r="G509" s="1">
        <v>89</v>
      </c>
      <c r="H509" s="1">
        <v>142</v>
      </c>
      <c r="I509" s="1" t="str">
        <f>IF(Table1[[#This Row],[Temperature_F]]&lt;32,"Yes","No")</f>
        <v>No</v>
      </c>
      <c r="J509" s="1" t="str" cm="1">
        <f t="array" ref="J5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509" s="1" t="str" cm="1">
        <f t="array" ref="K509">_xlfn.IFS(
H509=0,"No Rain",
H509&lt;10,"Light",
H509&lt;50,"Moderate",
TRUE,"Heavy")</f>
        <v>Heavy</v>
      </c>
      <c r="L509" s="1" t="str">
        <f>IF(Table1[[#This Row],[Precipitation_mm]]&lt;&gt;0,"Wet","Dry")</f>
        <v>Wet</v>
      </c>
      <c r="M509" t="b">
        <f>OR(ISBLANK(Table1[[#This Row],[Temperature_F]]),ISERROR(Table1[[#This Row],[Temperature_F]]))</f>
        <v>0</v>
      </c>
    </row>
    <row r="510" spans="1:13" hidden="1" x14ac:dyDescent="0.25">
      <c r="A510" s="1" t="s">
        <v>1</v>
      </c>
      <c r="B510" s="1" t="s">
        <v>2</v>
      </c>
      <c r="C510" s="1">
        <v>42.360599999999998</v>
      </c>
      <c r="D510" s="1">
        <v>-71.010599999999997</v>
      </c>
      <c r="E510" s="5">
        <v>40696</v>
      </c>
      <c r="F510" s="1" t="str">
        <f t="shared" si="8"/>
        <v>June</v>
      </c>
      <c r="G510" s="1">
        <v>69</v>
      </c>
      <c r="H510" s="1">
        <v>0</v>
      </c>
      <c r="I510" s="1" t="str">
        <f>IF(Table1[[#This Row],[Temperature_F]]&lt;32,"Yes","No")</f>
        <v>No</v>
      </c>
      <c r="J510" s="1" t="str" cm="1">
        <f t="array" ref="J5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0" s="1" t="str" cm="1">
        <f t="array" ref="K510">_xlfn.IFS(
H510=0,"No Rain",
H510&lt;10,"Light",
H510&lt;50,"Moderate",
TRUE,"Heavy")</f>
        <v>No Rain</v>
      </c>
      <c r="L510" s="1" t="str">
        <f>IF(Table1[[#This Row],[Precipitation_mm]]&lt;&gt;0,"Wet","Dry")</f>
        <v>Dry</v>
      </c>
      <c r="M510" t="b">
        <f>OR(ISBLANK(Table1[[#This Row],[Temperature_F]]),ISERROR(Table1[[#This Row],[Temperature_F]]))</f>
        <v>0</v>
      </c>
    </row>
    <row r="511" spans="1:13" hidden="1" x14ac:dyDescent="0.25">
      <c r="A511" s="1" t="s">
        <v>1</v>
      </c>
      <c r="B511" s="1" t="s">
        <v>2</v>
      </c>
      <c r="C511" s="1">
        <v>42.360599999999998</v>
      </c>
      <c r="D511" s="1">
        <v>-71.010599999999997</v>
      </c>
      <c r="E511" s="5">
        <v>40697</v>
      </c>
      <c r="F511" s="1" t="str">
        <f t="shared" si="8"/>
        <v>June</v>
      </c>
      <c r="G511" s="1">
        <v>79</v>
      </c>
      <c r="H511" s="1">
        <v>0</v>
      </c>
      <c r="I511" s="1" t="str">
        <f>IF(Table1[[#This Row],[Temperature_F]]&lt;32,"Yes","No")</f>
        <v>No</v>
      </c>
      <c r="J511" s="1" t="str" cm="1">
        <f t="array" ref="J5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1" s="1" t="str" cm="1">
        <f t="array" ref="K511">_xlfn.IFS(
H511=0,"No Rain",
H511&lt;10,"Light",
H511&lt;50,"Moderate",
TRUE,"Heavy")</f>
        <v>No Rain</v>
      </c>
      <c r="L511" s="1" t="str">
        <f>IF(Table1[[#This Row],[Precipitation_mm]]&lt;&gt;0,"Wet","Dry")</f>
        <v>Dry</v>
      </c>
      <c r="M511" t="b">
        <f>OR(ISBLANK(Table1[[#This Row],[Temperature_F]]),ISERROR(Table1[[#This Row],[Temperature_F]]))</f>
        <v>0</v>
      </c>
    </row>
    <row r="512" spans="1:13" hidden="1" x14ac:dyDescent="0.25">
      <c r="A512" s="1" t="s">
        <v>1</v>
      </c>
      <c r="B512" s="1" t="s">
        <v>2</v>
      </c>
      <c r="C512" s="1">
        <v>42.360599999999998</v>
      </c>
      <c r="D512" s="1">
        <v>-71.010599999999997</v>
      </c>
      <c r="E512" s="5">
        <v>40698</v>
      </c>
      <c r="F512" s="1" t="str">
        <f t="shared" si="8"/>
        <v>June</v>
      </c>
      <c r="G512" s="1">
        <v>70</v>
      </c>
      <c r="H512" s="1">
        <v>0</v>
      </c>
      <c r="I512" s="1" t="str">
        <f>IF(Table1[[#This Row],[Temperature_F]]&lt;32,"Yes","No")</f>
        <v>No</v>
      </c>
      <c r="J512" s="1" t="str" cm="1">
        <f t="array" ref="J5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2" s="1" t="str" cm="1">
        <f t="array" ref="K512">_xlfn.IFS(
H512=0,"No Rain",
H512&lt;10,"Light",
H512&lt;50,"Moderate",
TRUE,"Heavy")</f>
        <v>No Rain</v>
      </c>
      <c r="L512" s="1" t="str">
        <f>IF(Table1[[#This Row],[Precipitation_mm]]&lt;&gt;0,"Wet","Dry")</f>
        <v>Dry</v>
      </c>
      <c r="M512" t="b">
        <f>OR(ISBLANK(Table1[[#This Row],[Temperature_F]]),ISERROR(Table1[[#This Row],[Temperature_F]]))</f>
        <v>0</v>
      </c>
    </row>
    <row r="513" spans="1:13" hidden="1" x14ac:dyDescent="0.25">
      <c r="A513" s="1" t="s">
        <v>1</v>
      </c>
      <c r="B513" s="1" t="s">
        <v>2</v>
      </c>
      <c r="C513" s="1">
        <v>42.360599999999998</v>
      </c>
      <c r="D513" s="1">
        <v>-71.010599999999997</v>
      </c>
      <c r="E513" s="5">
        <v>40699</v>
      </c>
      <c r="F513" s="1" t="str">
        <f t="shared" si="8"/>
        <v>June</v>
      </c>
      <c r="G513" s="1">
        <v>71</v>
      </c>
      <c r="H513" s="1">
        <v>0</v>
      </c>
      <c r="I513" s="1" t="str">
        <f>IF(Table1[[#This Row],[Temperature_F]]&lt;32,"Yes","No")</f>
        <v>No</v>
      </c>
      <c r="J513" s="1" t="str" cm="1">
        <f t="array" ref="J5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3" s="1" t="str" cm="1">
        <f t="array" ref="K513">_xlfn.IFS(
H513=0,"No Rain",
H513&lt;10,"Light",
H513&lt;50,"Moderate",
TRUE,"Heavy")</f>
        <v>No Rain</v>
      </c>
      <c r="L513" s="1" t="str">
        <f>IF(Table1[[#This Row],[Precipitation_mm]]&lt;&gt;0,"Wet","Dry")</f>
        <v>Dry</v>
      </c>
      <c r="M513" t="b">
        <f>OR(ISBLANK(Table1[[#This Row],[Temperature_F]]),ISERROR(Table1[[#This Row],[Temperature_F]]))</f>
        <v>0</v>
      </c>
    </row>
    <row r="514" spans="1:13" hidden="1" x14ac:dyDescent="0.25">
      <c r="A514" s="1" t="s">
        <v>1</v>
      </c>
      <c r="B514" s="1" t="s">
        <v>2</v>
      </c>
      <c r="C514" s="1">
        <v>42.360599999999998</v>
      </c>
      <c r="D514" s="1">
        <v>-71.010599999999997</v>
      </c>
      <c r="E514" s="5">
        <v>40700</v>
      </c>
      <c r="F514" s="1" t="str">
        <f t="shared" si="8"/>
        <v>June</v>
      </c>
      <c r="G514" s="1">
        <v>75</v>
      </c>
      <c r="H514" s="1">
        <v>0</v>
      </c>
      <c r="I514" s="1" t="str">
        <f>IF(Table1[[#This Row],[Temperature_F]]&lt;32,"Yes","No")</f>
        <v>No</v>
      </c>
      <c r="J514" s="1" t="str" cm="1">
        <f t="array" ref="J5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4" s="1" t="str" cm="1">
        <f t="array" ref="K514">_xlfn.IFS(
H514=0,"No Rain",
H514&lt;10,"Light",
H514&lt;50,"Moderate",
TRUE,"Heavy")</f>
        <v>No Rain</v>
      </c>
      <c r="L514" s="1" t="str">
        <f>IF(Table1[[#This Row],[Precipitation_mm]]&lt;&gt;0,"Wet","Dry")</f>
        <v>Dry</v>
      </c>
      <c r="M514" t="b">
        <f>OR(ISBLANK(Table1[[#This Row],[Temperature_F]]),ISERROR(Table1[[#This Row],[Temperature_F]]))</f>
        <v>0</v>
      </c>
    </row>
    <row r="515" spans="1:13" hidden="1" x14ac:dyDescent="0.25">
      <c r="A515" s="1" t="s">
        <v>1</v>
      </c>
      <c r="B515" s="1" t="s">
        <v>2</v>
      </c>
      <c r="C515" s="1">
        <v>42.360599999999998</v>
      </c>
      <c r="D515" s="1">
        <v>-71.010599999999997</v>
      </c>
      <c r="E515" s="5">
        <v>40701</v>
      </c>
      <c r="F515" s="1" t="str">
        <f t="shared" si="8"/>
        <v>June</v>
      </c>
      <c r="G515" s="1">
        <v>70</v>
      </c>
      <c r="H515" s="1">
        <v>0</v>
      </c>
      <c r="I515" s="1" t="str">
        <f>IF(Table1[[#This Row],[Temperature_F]]&lt;32,"Yes","No")</f>
        <v>No</v>
      </c>
      <c r="J515" s="1" t="str" cm="1">
        <f t="array" ref="J5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5" s="1" t="str" cm="1">
        <f t="array" ref="K515">_xlfn.IFS(
H515=0,"No Rain",
H515&lt;10,"Light",
H515&lt;50,"Moderate",
TRUE,"Heavy")</f>
        <v>No Rain</v>
      </c>
      <c r="L515" s="1" t="str">
        <f>IF(Table1[[#This Row],[Precipitation_mm]]&lt;&gt;0,"Wet","Dry")</f>
        <v>Dry</v>
      </c>
      <c r="M515" t="b">
        <f>OR(ISBLANK(Table1[[#This Row],[Temperature_F]]),ISERROR(Table1[[#This Row],[Temperature_F]]))</f>
        <v>0</v>
      </c>
    </row>
    <row r="516" spans="1:13" hidden="1" x14ac:dyDescent="0.25">
      <c r="A516" s="1" t="s">
        <v>1</v>
      </c>
      <c r="B516" s="1" t="s">
        <v>2</v>
      </c>
      <c r="C516" s="1">
        <v>42.360599999999998</v>
      </c>
      <c r="D516" s="1">
        <v>-71.010599999999997</v>
      </c>
      <c r="E516" s="5">
        <v>40702</v>
      </c>
      <c r="F516" s="1" t="str">
        <f t="shared" si="8"/>
        <v>June</v>
      </c>
      <c r="G516" s="1">
        <v>82</v>
      </c>
      <c r="H516" s="1">
        <v>0</v>
      </c>
      <c r="I516" s="1" t="str">
        <f>IF(Table1[[#This Row],[Temperature_F]]&lt;32,"Yes","No")</f>
        <v>No</v>
      </c>
      <c r="J516" s="1" t="str" cm="1">
        <f t="array" ref="J5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6" s="1" t="str" cm="1">
        <f t="array" ref="K516">_xlfn.IFS(
H516=0,"No Rain",
H516&lt;10,"Light",
H516&lt;50,"Moderate",
TRUE,"Heavy")</f>
        <v>No Rain</v>
      </c>
      <c r="L516" s="1" t="str">
        <f>IF(Table1[[#This Row],[Precipitation_mm]]&lt;&gt;0,"Wet","Dry")</f>
        <v>Dry</v>
      </c>
      <c r="M516" t="b">
        <f>OR(ISBLANK(Table1[[#This Row],[Temperature_F]]),ISERROR(Table1[[#This Row],[Temperature_F]]))</f>
        <v>0</v>
      </c>
    </row>
    <row r="517" spans="1:13" hidden="1" x14ac:dyDescent="0.25">
      <c r="A517" s="1" t="s">
        <v>1</v>
      </c>
      <c r="B517" s="1" t="s">
        <v>2</v>
      </c>
      <c r="C517" s="1">
        <v>42.360599999999998</v>
      </c>
      <c r="D517" s="1">
        <v>-71.010599999999997</v>
      </c>
      <c r="E517" s="5">
        <v>40703</v>
      </c>
      <c r="F517" s="1" t="str">
        <f t="shared" si="8"/>
        <v>June</v>
      </c>
      <c r="G517" s="1">
        <v>83</v>
      </c>
      <c r="H517" s="1">
        <v>130</v>
      </c>
      <c r="I517" s="1" t="str">
        <f>IF(Table1[[#This Row],[Temperature_F]]&lt;32,"Yes","No")</f>
        <v>No</v>
      </c>
      <c r="J517" s="1" t="str" cm="1">
        <f t="array" ref="J5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7" s="1" t="str" cm="1">
        <f t="array" ref="K517">_xlfn.IFS(
H517=0,"No Rain",
H517&lt;10,"Light",
H517&lt;50,"Moderate",
TRUE,"Heavy")</f>
        <v>Heavy</v>
      </c>
      <c r="L517" s="1" t="str">
        <f>IF(Table1[[#This Row],[Precipitation_mm]]&lt;&gt;0,"Wet","Dry")</f>
        <v>Wet</v>
      </c>
      <c r="M517" t="b">
        <f>OR(ISBLANK(Table1[[#This Row],[Temperature_F]]),ISERROR(Table1[[#This Row],[Temperature_F]]))</f>
        <v>0</v>
      </c>
    </row>
    <row r="518" spans="1:13" hidden="1" x14ac:dyDescent="0.25">
      <c r="A518" s="1" t="s">
        <v>1</v>
      </c>
      <c r="B518" s="1" t="s">
        <v>2</v>
      </c>
      <c r="C518" s="1">
        <v>42.360599999999998</v>
      </c>
      <c r="D518" s="1">
        <v>-71.010599999999997</v>
      </c>
      <c r="E518" s="5">
        <v>40704</v>
      </c>
      <c r="F518" s="1" t="str">
        <f t="shared" si="8"/>
        <v>June</v>
      </c>
      <c r="G518" s="1">
        <v>82</v>
      </c>
      <c r="H518" s="1">
        <v>0</v>
      </c>
      <c r="I518" s="1" t="str">
        <f>IF(Table1[[#This Row],[Temperature_F]]&lt;32,"Yes","No")</f>
        <v>No</v>
      </c>
      <c r="J518" s="1" t="str" cm="1">
        <f t="array" ref="J5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18" s="1" t="str" cm="1">
        <f t="array" ref="K518">_xlfn.IFS(
H518=0,"No Rain",
H518&lt;10,"Light",
H518&lt;50,"Moderate",
TRUE,"Heavy")</f>
        <v>No Rain</v>
      </c>
      <c r="L518" s="1" t="str">
        <f>IF(Table1[[#This Row],[Precipitation_mm]]&lt;&gt;0,"Wet","Dry")</f>
        <v>Dry</v>
      </c>
      <c r="M518" t="b">
        <f>OR(ISBLANK(Table1[[#This Row],[Temperature_F]]),ISERROR(Table1[[#This Row],[Temperature_F]]))</f>
        <v>0</v>
      </c>
    </row>
    <row r="519" spans="1:13" hidden="1" x14ac:dyDescent="0.25">
      <c r="A519" s="1" t="s">
        <v>1</v>
      </c>
      <c r="B519" s="1" t="s">
        <v>2</v>
      </c>
      <c r="C519" s="1">
        <v>42.360599999999998</v>
      </c>
      <c r="D519" s="1">
        <v>-71.010599999999997</v>
      </c>
      <c r="E519" s="5">
        <v>40705</v>
      </c>
      <c r="F519" s="1" t="str">
        <f t="shared" si="8"/>
        <v>June</v>
      </c>
      <c r="G519" s="1">
        <v>68</v>
      </c>
      <c r="H519" s="1">
        <v>180</v>
      </c>
      <c r="I519" s="1" t="str">
        <f>IF(Table1[[#This Row],[Temperature_F]]&lt;32,"Yes","No")</f>
        <v>No</v>
      </c>
      <c r="J519" s="1" t="str" cm="1">
        <f t="array" ref="J5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19" s="1" t="str" cm="1">
        <f t="array" ref="K519">_xlfn.IFS(
H519=0,"No Rain",
H519&lt;10,"Light",
H519&lt;50,"Moderate",
TRUE,"Heavy")</f>
        <v>Heavy</v>
      </c>
      <c r="L519" s="1" t="str">
        <f>IF(Table1[[#This Row],[Precipitation_mm]]&lt;&gt;0,"Wet","Dry")</f>
        <v>Wet</v>
      </c>
      <c r="M519" t="b">
        <f>OR(ISBLANK(Table1[[#This Row],[Temperature_F]]),ISERROR(Table1[[#This Row],[Temperature_F]]))</f>
        <v>0</v>
      </c>
    </row>
    <row r="520" spans="1:13" hidden="1" x14ac:dyDescent="0.25">
      <c r="A520" s="1" t="s">
        <v>1</v>
      </c>
      <c r="B520" s="1" t="s">
        <v>2</v>
      </c>
      <c r="C520" s="1">
        <v>42.360599999999998</v>
      </c>
      <c r="D520" s="1">
        <v>-71.010599999999997</v>
      </c>
      <c r="E520" s="5">
        <v>40706</v>
      </c>
      <c r="F520" s="1" t="str">
        <f t="shared" si="8"/>
        <v>June</v>
      </c>
      <c r="G520" s="1">
        <v>66</v>
      </c>
      <c r="H520" s="1">
        <v>84</v>
      </c>
      <c r="I520" s="1" t="str">
        <f>IF(Table1[[#This Row],[Temperature_F]]&lt;32,"Yes","No")</f>
        <v>No</v>
      </c>
      <c r="J520" s="1" t="str" cm="1">
        <f t="array" ref="J5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20" s="1" t="str" cm="1">
        <f t="array" ref="K520">_xlfn.IFS(
H520=0,"No Rain",
H520&lt;10,"Light",
H520&lt;50,"Moderate",
TRUE,"Heavy")</f>
        <v>Heavy</v>
      </c>
      <c r="L520" s="1" t="str">
        <f>IF(Table1[[#This Row],[Precipitation_mm]]&lt;&gt;0,"Wet","Dry")</f>
        <v>Wet</v>
      </c>
      <c r="M520" t="b">
        <f>OR(ISBLANK(Table1[[#This Row],[Temperature_F]]),ISERROR(Table1[[#This Row],[Temperature_F]]))</f>
        <v>0</v>
      </c>
    </row>
    <row r="521" spans="1:13" hidden="1" x14ac:dyDescent="0.25">
      <c r="A521" s="1" t="s">
        <v>1</v>
      </c>
      <c r="B521" s="1" t="s">
        <v>2</v>
      </c>
      <c r="C521" s="1">
        <v>42.360599999999998</v>
      </c>
      <c r="D521" s="1">
        <v>-71.010599999999997</v>
      </c>
      <c r="E521" s="5">
        <v>40707</v>
      </c>
      <c r="F521" s="1" t="str">
        <f t="shared" si="8"/>
        <v>June</v>
      </c>
      <c r="G521" s="1">
        <v>73</v>
      </c>
      <c r="H521" s="1">
        <v>13</v>
      </c>
      <c r="I521" s="1" t="str">
        <f>IF(Table1[[#This Row],[Temperature_F]]&lt;32,"Yes","No")</f>
        <v>No</v>
      </c>
      <c r="J521" s="1" t="str" cm="1">
        <f t="array" ref="J5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1" s="1" t="str" cm="1">
        <f t="array" ref="K521">_xlfn.IFS(
H521=0,"No Rain",
H521&lt;10,"Light",
H521&lt;50,"Moderate",
TRUE,"Heavy")</f>
        <v>Moderate</v>
      </c>
      <c r="L521" s="1" t="str">
        <f>IF(Table1[[#This Row],[Precipitation_mm]]&lt;&gt;0,"Wet","Dry")</f>
        <v>Wet</v>
      </c>
      <c r="M521" t="b">
        <f>OR(ISBLANK(Table1[[#This Row],[Temperature_F]]),ISERROR(Table1[[#This Row],[Temperature_F]]))</f>
        <v>0</v>
      </c>
    </row>
    <row r="522" spans="1:13" hidden="1" x14ac:dyDescent="0.25">
      <c r="A522" s="1" t="s">
        <v>1</v>
      </c>
      <c r="B522" s="1" t="s">
        <v>2</v>
      </c>
      <c r="C522" s="1">
        <v>42.360599999999998</v>
      </c>
      <c r="D522" s="1">
        <v>-71.010599999999997</v>
      </c>
      <c r="E522" s="5">
        <v>40708</v>
      </c>
      <c r="F522" s="1" t="str">
        <f t="shared" si="8"/>
        <v>June</v>
      </c>
      <c r="G522" s="1">
        <v>78</v>
      </c>
      <c r="H522" s="1">
        <v>10</v>
      </c>
      <c r="I522" s="1" t="str">
        <f>IF(Table1[[#This Row],[Temperature_F]]&lt;32,"Yes","No")</f>
        <v>No</v>
      </c>
      <c r="J522" s="1" t="str" cm="1">
        <f t="array" ref="J5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2" s="1" t="str" cm="1">
        <f t="array" ref="K522">_xlfn.IFS(
H522=0,"No Rain",
H522&lt;10,"Light",
H522&lt;50,"Moderate",
TRUE,"Heavy")</f>
        <v>Moderate</v>
      </c>
      <c r="L522" s="1" t="str">
        <f>IF(Table1[[#This Row],[Precipitation_mm]]&lt;&gt;0,"Wet","Dry")</f>
        <v>Wet</v>
      </c>
      <c r="M522" t="b">
        <f>OR(ISBLANK(Table1[[#This Row],[Temperature_F]]),ISERROR(Table1[[#This Row],[Temperature_F]]))</f>
        <v>0</v>
      </c>
    </row>
    <row r="523" spans="1:13" hidden="1" x14ac:dyDescent="0.25">
      <c r="A523" s="1" t="s">
        <v>1</v>
      </c>
      <c r="B523" s="1" t="s">
        <v>2</v>
      </c>
      <c r="C523" s="1">
        <v>42.360599999999998</v>
      </c>
      <c r="D523" s="1">
        <v>-71.010599999999997</v>
      </c>
      <c r="E523" s="5">
        <v>40709</v>
      </c>
      <c r="F523" s="1" t="str">
        <f t="shared" si="8"/>
        <v>June</v>
      </c>
      <c r="G523" s="1">
        <v>89</v>
      </c>
      <c r="H523" s="1">
        <v>0</v>
      </c>
      <c r="I523" s="1" t="str">
        <f>IF(Table1[[#This Row],[Temperature_F]]&lt;32,"Yes","No")</f>
        <v>No</v>
      </c>
      <c r="J523" s="1" t="str" cm="1">
        <f t="array" ref="J5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523" s="1" t="str" cm="1">
        <f t="array" ref="K523">_xlfn.IFS(
H523=0,"No Rain",
H523&lt;10,"Light",
H523&lt;50,"Moderate",
TRUE,"Heavy")</f>
        <v>No Rain</v>
      </c>
      <c r="L523" s="1" t="str">
        <f>IF(Table1[[#This Row],[Precipitation_mm]]&lt;&gt;0,"Wet","Dry")</f>
        <v>Dry</v>
      </c>
      <c r="M523" t="b">
        <f>OR(ISBLANK(Table1[[#This Row],[Temperature_F]]),ISERROR(Table1[[#This Row],[Temperature_F]]))</f>
        <v>0</v>
      </c>
    </row>
    <row r="524" spans="1:13" hidden="1" x14ac:dyDescent="0.25">
      <c r="A524" s="1" t="s">
        <v>1</v>
      </c>
      <c r="B524" s="1" t="s">
        <v>2</v>
      </c>
      <c r="C524" s="1">
        <v>42.360599999999998</v>
      </c>
      <c r="D524" s="1">
        <v>-71.010599999999997</v>
      </c>
      <c r="E524" s="5">
        <v>40710</v>
      </c>
      <c r="F524" s="1" t="str">
        <f t="shared" si="8"/>
        <v>June</v>
      </c>
      <c r="G524" s="1">
        <v>72</v>
      </c>
      <c r="H524" s="1">
        <v>0</v>
      </c>
      <c r="I524" s="1" t="str">
        <f>IF(Table1[[#This Row],[Temperature_F]]&lt;32,"Yes","No")</f>
        <v>No</v>
      </c>
      <c r="J524" s="1" t="str" cm="1">
        <f t="array" ref="J5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4" s="1" t="str" cm="1">
        <f t="array" ref="K524">_xlfn.IFS(
H524=0,"No Rain",
H524&lt;10,"Light",
H524&lt;50,"Moderate",
TRUE,"Heavy")</f>
        <v>No Rain</v>
      </c>
      <c r="L524" s="1" t="str">
        <f>IF(Table1[[#This Row],[Precipitation_mm]]&lt;&gt;0,"Wet","Dry")</f>
        <v>Dry</v>
      </c>
      <c r="M524" t="b">
        <f>OR(ISBLANK(Table1[[#This Row],[Temperature_F]]),ISERROR(Table1[[#This Row],[Temperature_F]]))</f>
        <v>0</v>
      </c>
    </row>
    <row r="525" spans="1:13" hidden="1" x14ac:dyDescent="0.25">
      <c r="A525" s="1" t="s">
        <v>1</v>
      </c>
      <c r="B525" s="1" t="s">
        <v>2</v>
      </c>
      <c r="C525" s="1">
        <v>42.360599999999998</v>
      </c>
      <c r="D525" s="1">
        <v>-71.010599999999997</v>
      </c>
      <c r="E525" s="5">
        <v>40711</v>
      </c>
      <c r="F525" s="1" t="str">
        <f t="shared" si="8"/>
        <v>June</v>
      </c>
      <c r="G525" s="1">
        <v>73</v>
      </c>
      <c r="H525" s="1">
        <v>10</v>
      </c>
      <c r="I525" s="1" t="str">
        <f>IF(Table1[[#This Row],[Temperature_F]]&lt;32,"Yes","No")</f>
        <v>No</v>
      </c>
      <c r="J525" s="1" t="str" cm="1">
        <f t="array" ref="J5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5" s="1" t="str" cm="1">
        <f t="array" ref="K525">_xlfn.IFS(
H525=0,"No Rain",
H525&lt;10,"Light",
H525&lt;50,"Moderate",
TRUE,"Heavy")</f>
        <v>Moderate</v>
      </c>
      <c r="L525" s="1" t="str">
        <f>IF(Table1[[#This Row],[Precipitation_mm]]&lt;&gt;0,"Wet","Dry")</f>
        <v>Wet</v>
      </c>
      <c r="M525" t="b">
        <f>OR(ISBLANK(Table1[[#This Row],[Temperature_F]]),ISERROR(Table1[[#This Row],[Temperature_F]]))</f>
        <v>0</v>
      </c>
    </row>
    <row r="526" spans="1:13" hidden="1" x14ac:dyDescent="0.25">
      <c r="A526" s="1" t="s">
        <v>1</v>
      </c>
      <c r="B526" s="1" t="s">
        <v>2</v>
      </c>
      <c r="C526" s="1">
        <v>42.360599999999998</v>
      </c>
      <c r="D526" s="1">
        <v>-71.010599999999997</v>
      </c>
      <c r="E526" s="5">
        <v>40712</v>
      </c>
      <c r="F526" s="1" t="str">
        <f t="shared" si="8"/>
        <v>June</v>
      </c>
      <c r="G526" s="1">
        <v>70</v>
      </c>
      <c r="H526" s="1">
        <v>18</v>
      </c>
      <c r="I526" s="1" t="str">
        <f>IF(Table1[[#This Row],[Temperature_F]]&lt;32,"Yes","No")</f>
        <v>No</v>
      </c>
      <c r="J526" s="1" t="str" cm="1">
        <f t="array" ref="J5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6" s="1" t="str" cm="1">
        <f t="array" ref="K526">_xlfn.IFS(
H526=0,"No Rain",
H526&lt;10,"Light",
H526&lt;50,"Moderate",
TRUE,"Heavy")</f>
        <v>Moderate</v>
      </c>
      <c r="L526" s="1" t="str">
        <f>IF(Table1[[#This Row],[Precipitation_mm]]&lt;&gt;0,"Wet","Dry")</f>
        <v>Wet</v>
      </c>
      <c r="M526" t="b">
        <f>OR(ISBLANK(Table1[[#This Row],[Temperature_F]]),ISERROR(Table1[[#This Row],[Temperature_F]]))</f>
        <v>0</v>
      </c>
    </row>
    <row r="527" spans="1:13" hidden="1" x14ac:dyDescent="0.25">
      <c r="A527" s="1" t="s">
        <v>1</v>
      </c>
      <c r="B527" s="1" t="s">
        <v>2</v>
      </c>
      <c r="C527" s="1">
        <v>42.360599999999998</v>
      </c>
      <c r="D527" s="1">
        <v>-71.010599999999997</v>
      </c>
      <c r="E527" s="5">
        <v>40713</v>
      </c>
      <c r="F527" s="1" t="str">
        <f t="shared" si="8"/>
        <v>June</v>
      </c>
      <c r="G527" s="1">
        <v>71</v>
      </c>
      <c r="H527" s="1">
        <v>0</v>
      </c>
      <c r="I527" s="1" t="str">
        <f>IF(Table1[[#This Row],[Temperature_F]]&lt;32,"Yes","No")</f>
        <v>No</v>
      </c>
      <c r="J527" s="1" t="str" cm="1">
        <f t="array" ref="J5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7" s="1" t="str" cm="1">
        <f t="array" ref="K527">_xlfn.IFS(
H527=0,"No Rain",
H527&lt;10,"Light",
H527&lt;50,"Moderate",
TRUE,"Heavy")</f>
        <v>No Rain</v>
      </c>
      <c r="L527" s="1" t="str">
        <f>IF(Table1[[#This Row],[Precipitation_mm]]&lt;&gt;0,"Wet","Dry")</f>
        <v>Dry</v>
      </c>
      <c r="M527" t="b">
        <f>OR(ISBLANK(Table1[[#This Row],[Temperature_F]]),ISERROR(Table1[[#This Row],[Temperature_F]]))</f>
        <v>0</v>
      </c>
    </row>
    <row r="528" spans="1:13" hidden="1" x14ac:dyDescent="0.25">
      <c r="A528" s="1" t="s">
        <v>1</v>
      </c>
      <c r="B528" s="1" t="s">
        <v>2</v>
      </c>
      <c r="C528" s="1">
        <v>42.360599999999998</v>
      </c>
      <c r="D528" s="1">
        <v>-71.010599999999997</v>
      </c>
      <c r="E528" s="5">
        <v>40714</v>
      </c>
      <c r="F528" s="1" t="str">
        <f t="shared" si="8"/>
        <v>June</v>
      </c>
      <c r="G528" s="1">
        <v>65</v>
      </c>
      <c r="H528" s="1">
        <v>0</v>
      </c>
      <c r="I528" s="1" t="str">
        <f>IF(Table1[[#This Row],[Temperature_F]]&lt;32,"Yes","No")</f>
        <v>No</v>
      </c>
      <c r="J528" s="1" t="str" cm="1">
        <f t="array" ref="J5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28" s="1" t="str" cm="1">
        <f t="array" ref="K528">_xlfn.IFS(
H528=0,"No Rain",
H528&lt;10,"Light",
H528&lt;50,"Moderate",
TRUE,"Heavy")</f>
        <v>No Rain</v>
      </c>
      <c r="L528" s="1" t="str">
        <f>IF(Table1[[#This Row],[Precipitation_mm]]&lt;&gt;0,"Wet","Dry")</f>
        <v>Dry</v>
      </c>
      <c r="M528" t="b">
        <f>OR(ISBLANK(Table1[[#This Row],[Temperature_F]]),ISERROR(Table1[[#This Row],[Temperature_F]]))</f>
        <v>0</v>
      </c>
    </row>
    <row r="529" spans="1:13" hidden="1" x14ac:dyDescent="0.25">
      <c r="A529" s="1" t="s">
        <v>1</v>
      </c>
      <c r="B529" s="1" t="s">
        <v>2</v>
      </c>
      <c r="C529" s="1">
        <v>42.360599999999998</v>
      </c>
      <c r="D529" s="1">
        <v>-71.010599999999997</v>
      </c>
      <c r="E529" s="5">
        <v>40715</v>
      </c>
      <c r="F529" s="1" t="str">
        <f t="shared" si="8"/>
        <v>June</v>
      </c>
      <c r="G529" s="1">
        <v>86</v>
      </c>
      <c r="H529" s="1">
        <v>0</v>
      </c>
      <c r="I529" s="1" t="str">
        <f>IF(Table1[[#This Row],[Temperature_F]]&lt;32,"Yes","No")</f>
        <v>No</v>
      </c>
      <c r="J529" s="1" t="str" cm="1">
        <f t="array" ref="J5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29" s="1" t="str" cm="1">
        <f t="array" ref="K529">_xlfn.IFS(
H529=0,"No Rain",
H529&lt;10,"Light",
H529&lt;50,"Moderate",
TRUE,"Heavy")</f>
        <v>No Rain</v>
      </c>
      <c r="L529" s="1" t="str">
        <f>IF(Table1[[#This Row],[Precipitation_mm]]&lt;&gt;0,"Wet","Dry")</f>
        <v>Dry</v>
      </c>
      <c r="M529" t="b">
        <f>OR(ISBLANK(Table1[[#This Row],[Temperature_F]]),ISERROR(Table1[[#This Row],[Temperature_F]]))</f>
        <v>0</v>
      </c>
    </row>
    <row r="530" spans="1:13" hidden="1" x14ac:dyDescent="0.25">
      <c r="A530" s="1" t="s">
        <v>1</v>
      </c>
      <c r="B530" s="1" t="s">
        <v>2</v>
      </c>
      <c r="C530" s="1">
        <v>42.360599999999998</v>
      </c>
      <c r="D530" s="1">
        <v>-71.010599999999997</v>
      </c>
      <c r="E530" s="5">
        <v>40716</v>
      </c>
      <c r="F530" s="1" t="str">
        <f t="shared" si="8"/>
        <v>June</v>
      </c>
      <c r="G530" s="1">
        <v>69</v>
      </c>
      <c r="H530" s="1">
        <v>462</v>
      </c>
      <c r="I530" s="1" t="str">
        <f>IF(Table1[[#This Row],[Temperature_F]]&lt;32,"Yes","No")</f>
        <v>No</v>
      </c>
      <c r="J530" s="1" t="str" cm="1">
        <f t="array" ref="J5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0" s="1" t="str" cm="1">
        <f t="array" ref="K530">_xlfn.IFS(
H530=0,"No Rain",
H530&lt;10,"Light",
H530&lt;50,"Moderate",
TRUE,"Heavy")</f>
        <v>Heavy</v>
      </c>
      <c r="L530" s="1" t="str">
        <f>IF(Table1[[#This Row],[Precipitation_mm]]&lt;&gt;0,"Wet","Dry")</f>
        <v>Wet</v>
      </c>
      <c r="M530" t="b">
        <f>OR(ISBLANK(Table1[[#This Row],[Temperature_F]]),ISERROR(Table1[[#This Row],[Temperature_F]]))</f>
        <v>0</v>
      </c>
    </row>
    <row r="531" spans="1:13" hidden="1" x14ac:dyDescent="0.25">
      <c r="A531" s="1" t="s">
        <v>1</v>
      </c>
      <c r="B531" s="1" t="s">
        <v>2</v>
      </c>
      <c r="C531" s="1">
        <v>42.360599999999998</v>
      </c>
      <c r="D531" s="1">
        <v>-71.010599999999997</v>
      </c>
      <c r="E531" s="5">
        <v>40717</v>
      </c>
      <c r="F531" s="1" t="str">
        <f t="shared" si="8"/>
        <v>June</v>
      </c>
      <c r="G531" s="1">
        <v>68</v>
      </c>
      <c r="H531" s="1">
        <v>43</v>
      </c>
      <c r="I531" s="1" t="str">
        <f>IF(Table1[[#This Row],[Temperature_F]]&lt;32,"Yes","No")</f>
        <v>No</v>
      </c>
      <c r="J531" s="1" t="str" cm="1">
        <f t="array" ref="J5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31" s="1" t="str" cm="1">
        <f t="array" ref="K531">_xlfn.IFS(
H531=0,"No Rain",
H531&lt;10,"Light",
H531&lt;50,"Moderate",
TRUE,"Heavy")</f>
        <v>Moderate</v>
      </c>
      <c r="L531" s="1" t="str">
        <f>IF(Table1[[#This Row],[Precipitation_mm]]&lt;&gt;0,"Wet","Dry")</f>
        <v>Wet</v>
      </c>
      <c r="M531" t="b">
        <f>OR(ISBLANK(Table1[[#This Row],[Temperature_F]]),ISERROR(Table1[[#This Row],[Temperature_F]]))</f>
        <v>0</v>
      </c>
    </row>
    <row r="532" spans="1:13" hidden="1" x14ac:dyDescent="0.25">
      <c r="A532" s="1" t="s">
        <v>1</v>
      </c>
      <c r="B532" s="1" t="s">
        <v>2</v>
      </c>
      <c r="C532" s="1">
        <v>42.360599999999998</v>
      </c>
      <c r="D532" s="1">
        <v>-71.010599999999997</v>
      </c>
      <c r="E532" s="5">
        <v>40718</v>
      </c>
      <c r="F532" s="1" t="str">
        <f t="shared" si="8"/>
        <v>June</v>
      </c>
      <c r="G532" s="1">
        <v>80</v>
      </c>
      <c r="H532" s="1">
        <v>3</v>
      </c>
      <c r="I532" s="1" t="str">
        <f>IF(Table1[[#This Row],[Temperature_F]]&lt;32,"Yes","No")</f>
        <v>No</v>
      </c>
      <c r="J532" s="1" t="str" cm="1">
        <f t="array" ref="J5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2" s="1" t="str" cm="1">
        <f t="array" ref="K532">_xlfn.IFS(
H532=0,"No Rain",
H532&lt;10,"Light",
H532&lt;50,"Moderate",
TRUE,"Heavy")</f>
        <v>Light</v>
      </c>
      <c r="L532" s="1" t="str">
        <f>IF(Table1[[#This Row],[Precipitation_mm]]&lt;&gt;0,"Wet","Dry")</f>
        <v>Wet</v>
      </c>
      <c r="M532" t="b">
        <f>OR(ISBLANK(Table1[[#This Row],[Temperature_F]]),ISERROR(Table1[[#This Row],[Temperature_F]]))</f>
        <v>0</v>
      </c>
    </row>
    <row r="533" spans="1:13" hidden="1" x14ac:dyDescent="0.25">
      <c r="A533" s="1" t="s">
        <v>1</v>
      </c>
      <c r="B533" s="1" t="s">
        <v>2</v>
      </c>
      <c r="C533" s="1">
        <v>42.360599999999998</v>
      </c>
      <c r="D533" s="1">
        <v>-71.010599999999997</v>
      </c>
      <c r="E533" s="5">
        <v>40719</v>
      </c>
      <c r="F533" s="1" t="str">
        <f t="shared" si="8"/>
        <v>June</v>
      </c>
      <c r="G533" s="1">
        <v>79</v>
      </c>
      <c r="H533" s="1">
        <v>69</v>
      </c>
      <c r="I533" s="1" t="str">
        <f>IF(Table1[[#This Row],[Temperature_F]]&lt;32,"Yes","No")</f>
        <v>No</v>
      </c>
      <c r="J533" s="1" t="str" cm="1">
        <f t="array" ref="J5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3" s="1" t="str" cm="1">
        <f t="array" ref="K533">_xlfn.IFS(
H533=0,"No Rain",
H533&lt;10,"Light",
H533&lt;50,"Moderate",
TRUE,"Heavy")</f>
        <v>Heavy</v>
      </c>
      <c r="L533" s="1" t="str">
        <f>IF(Table1[[#This Row],[Precipitation_mm]]&lt;&gt;0,"Wet","Dry")</f>
        <v>Wet</v>
      </c>
      <c r="M533" t="b">
        <f>OR(ISBLANK(Table1[[#This Row],[Temperature_F]]),ISERROR(Table1[[#This Row],[Temperature_F]]))</f>
        <v>0</v>
      </c>
    </row>
    <row r="534" spans="1:13" hidden="1" x14ac:dyDescent="0.25">
      <c r="A534" s="1" t="s">
        <v>1</v>
      </c>
      <c r="B534" s="1" t="s">
        <v>2</v>
      </c>
      <c r="C534" s="1">
        <v>42.360599999999998</v>
      </c>
      <c r="D534" s="1">
        <v>-71.010599999999997</v>
      </c>
      <c r="E534" s="5">
        <v>40720</v>
      </c>
      <c r="F534" s="1" t="str">
        <f t="shared" si="8"/>
        <v>June</v>
      </c>
      <c r="G534" s="1">
        <v>70</v>
      </c>
      <c r="H534" s="1">
        <v>0</v>
      </c>
      <c r="I534" s="1" t="str">
        <f>IF(Table1[[#This Row],[Temperature_F]]&lt;32,"Yes","No")</f>
        <v>No</v>
      </c>
      <c r="J534" s="1" t="str" cm="1">
        <f t="array" ref="J5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4" s="1" t="str" cm="1">
        <f t="array" ref="K534">_xlfn.IFS(
H534=0,"No Rain",
H534&lt;10,"Light",
H534&lt;50,"Moderate",
TRUE,"Heavy")</f>
        <v>No Rain</v>
      </c>
      <c r="L534" s="1" t="str">
        <f>IF(Table1[[#This Row],[Precipitation_mm]]&lt;&gt;0,"Wet","Dry")</f>
        <v>Dry</v>
      </c>
      <c r="M534" t="b">
        <f>OR(ISBLANK(Table1[[#This Row],[Temperature_F]]),ISERROR(Table1[[#This Row],[Temperature_F]]))</f>
        <v>0</v>
      </c>
    </row>
    <row r="535" spans="1:13" hidden="1" x14ac:dyDescent="0.25">
      <c r="A535" s="1" t="s">
        <v>1</v>
      </c>
      <c r="B535" s="1" t="s">
        <v>2</v>
      </c>
      <c r="C535" s="1">
        <v>42.360599999999998</v>
      </c>
      <c r="D535" s="1">
        <v>-71.010599999999997</v>
      </c>
      <c r="E535" s="5">
        <v>40721</v>
      </c>
      <c r="F535" s="1" t="str">
        <f t="shared" si="8"/>
        <v>June</v>
      </c>
      <c r="G535" s="1">
        <v>82</v>
      </c>
      <c r="H535" s="1">
        <v>0</v>
      </c>
      <c r="I535" s="1" t="str">
        <f>IF(Table1[[#This Row],[Temperature_F]]&lt;32,"Yes","No")</f>
        <v>No</v>
      </c>
      <c r="J535" s="1" t="str" cm="1">
        <f t="array" ref="J5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5" s="1" t="str" cm="1">
        <f t="array" ref="K535">_xlfn.IFS(
H535=0,"No Rain",
H535&lt;10,"Light",
H535&lt;50,"Moderate",
TRUE,"Heavy")</f>
        <v>No Rain</v>
      </c>
      <c r="L535" s="1" t="str">
        <f>IF(Table1[[#This Row],[Precipitation_mm]]&lt;&gt;0,"Wet","Dry")</f>
        <v>Dry</v>
      </c>
      <c r="M535" t="b">
        <f>OR(ISBLANK(Table1[[#This Row],[Temperature_F]]),ISERROR(Table1[[#This Row],[Temperature_F]]))</f>
        <v>0</v>
      </c>
    </row>
    <row r="536" spans="1:13" hidden="1" x14ac:dyDescent="0.25">
      <c r="A536" s="1" t="s">
        <v>1</v>
      </c>
      <c r="B536" s="1" t="s">
        <v>2</v>
      </c>
      <c r="C536" s="1">
        <v>42.360599999999998</v>
      </c>
      <c r="D536" s="1">
        <v>-71.010599999999997</v>
      </c>
      <c r="E536" s="5">
        <v>40722</v>
      </c>
      <c r="F536" s="1" t="str">
        <f t="shared" si="8"/>
        <v>June</v>
      </c>
      <c r="G536" s="1">
        <v>71</v>
      </c>
      <c r="H536" s="1">
        <v>0</v>
      </c>
      <c r="I536" s="1" t="str">
        <f>IF(Table1[[#This Row],[Temperature_F]]&lt;32,"Yes","No")</f>
        <v>No</v>
      </c>
      <c r="J536" s="1" t="str" cm="1">
        <f t="array" ref="J5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6" s="1" t="str" cm="1">
        <f t="array" ref="K536">_xlfn.IFS(
H536=0,"No Rain",
H536&lt;10,"Light",
H536&lt;50,"Moderate",
TRUE,"Heavy")</f>
        <v>No Rain</v>
      </c>
      <c r="L536" s="1" t="str">
        <f>IF(Table1[[#This Row],[Precipitation_mm]]&lt;&gt;0,"Wet","Dry")</f>
        <v>Dry</v>
      </c>
      <c r="M536" t="b">
        <f>OR(ISBLANK(Table1[[#This Row],[Temperature_F]]),ISERROR(Table1[[#This Row],[Temperature_F]]))</f>
        <v>0</v>
      </c>
    </row>
    <row r="537" spans="1:13" hidden="1" x14ac:dyDescent="0.25">
      <c r="A537" s="1" t="s">
        <v>1</v>
      </c>
      <c r="B537" s="1" t="s">
        <v>2</v>
      </c>
      <c r="C537" s="1">
        <v>42.360599999999998</v>
      </c>
      <c r="D537" s="1">
        <v>-71.010599999999997</v>
      </c>
      <c r="E537" s="5">
        <v>40723</v>
      </c>
      <c r="F537" s="1" t="str">
        <f t="shared" si="8"/>
        <v>June</v>
      </c>
      <c r="G537" s="1">
        <v>83</v>
      </c>
      <c r="H537" s="1">
        <v>46</v>
      </c>
      <c r="I537" s="1" t="str">
        <f>IF(Table1[[#This Row],[Temperature_F]]&lt;32,"Yes","No")</f>
        <v>No</v>
      </c>
      <c r="J537" s="1" t="str" cm="1">
        <f t="array" ref="J5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7" s="1" t="str" cm="1">
        <f t="array" ref="K537">_xlfn.IFS(
H537=0,"No Rain",
H537&lt;10,"Light",
H537&lt;50,"Moderate",
TRUE,"Heavy")</f>
        <v>Moderate</v>
      </c>
      <c r="L537" s="1" t="str">
        <f>IF(Table1[[#This Row],[Precipitation_mm]]&lt;&gt;0,"Wet","Dry")</f>
        <v>Wet</v>
      </c>
      <c r="M537" t="b">
        <f>OR(ISBLANK(Table1[[#This Row],[Temperature_F]]),ISERROR(Table1[[#This Row],[Temperature_F]]))</f>
        <v>0</v>
      </c>
    </row>
    <row r="538" spans="1:13" hidden="1" x14ac:dyDescent="0.25">
      <c r="A538" s="1" t="s">
        <v>1</v>
      </c>
      <c r="B538" s="1" t="s">
        <v>2</v>
      </c>
      <c r="C538" s="1">
        <v>42.360599999999998</v>
      </c>
      <c r="D538" s="1">
        <v>-71.010599999999997</v>
      </c>
      <c r="E538" s="5">
        <v>40724</v>
      </c>
      <c r="F538" s="1" t="str">
        <f t="shared" si="8"/>
        <v>June</v>
      </c>
      <c r="G538" s="1">
        <v>74</v>
      </c>
      <c r="H538" s="1">
        <v>0</v>
      </c>
      <c r="I538" s="1" t="str">
        <f>IF(Table1[[#This Row],[Temperature_F]]&lt;32,"Yes","No")</f>
        <v>No</v>
      </c>
      <c r="J538" s="1" t="str" cm="1">
        <f t="array" ref="J5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38" s="1" t="str" cm="1">
        <f t="array" ref="K538">_xlfn.IFS(
H538=0,"No Rain",
H538&lt;10,"Light",
H538&lt;50,"Moderate",
TRUE,"Heavy")</f>
        <v>No Rain</v>
      </c>
      <c r="L538" s="1" t="str">
        <f>IF(Table1[[#This Row],[Precipitation_mm]]&lt;&gt;0,"Wet","Dry")</f>
        <v>Dry</v>
      </c>
      <c r="M538" t="b">
        <f>OR(ISBLANK(Table1[[#This Row],[Temperature_F]]),ISERROR(Table1[[#This Row],[Temperature_F]]))</f>
        <v>0</v>
      </c>
    </row>
    <row r="539" spans="1:13" hidden="1" x14ac:dyDescent="0.25">
      <c r="A539" s="1" t="s">
        <v>1</v>
      </c>
      <c r="B539" s="1" t="s">
        <v>2</v>
      </c>
      <c r="C539" s="1">
        <v>42.360599999999998</v>
      </c>
      <c r="D539" s="1">
        <v>-71.010599999999997</v>
      </c>
      <c r="E539" s="5">
        <v>40725</v>
      </c>
      <c r="F539" s="1" t="str">
        <f t="shared" si="8"/>
        <v>July</v>
      </c>
      <c r="G539" s="1">
        <v>68</v>
      </c>
      <c r="H539" s="1">
        <v>0</v>
      </c>
      <c r="I539" s="1" t="str">
        <f>IF(Table1[[#This Row],[Temperature_F]]&lt;32,"Yes","No")</f>
        <v>No</v>
      </c>
      <c r="J539" s="1" t="str" cm="1">
        <f t="array" ref="J5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39" s="1" t="str" cm="1">
        <f t="array" ref="K539">_xlfn.IFS(
H539=0,"No Rain",
H539&lt;10,"Light",
H539&lt;50,"Moderate",
TRUE,"Heavy")</f>
        <v>No Rain</v>
      </c>
      <c r="L539" s="1" t="str">
        <f>IF(Table1[[#This Row],[Precipitation_mm]]&lt;&gt;0,"Wet","Dry")</f>
        <v>Dry</v>
      </c>
      <c r="M539" t="b">
        <f>OR(ISBLANK(Table1[[#This Row],[Temperature_F]]),ISERROR(Table1[[#This Row],[Temperature_F]]))</f>
        <v>0</v>
      </c>
    </row>
    <row r="540" spans="1:13" hidden="1" x14ac:dyDescent="0.25">
      <c r="A540" s="1" t="s">
        <v>1</v>
      </c>
      <c r="B540" s="1" t="s">
        <v>2</v>
      </c>
      <c r="C540" s="1">
        <v>42.360599999999998</v>
      </c>
      <c r="D540" s="1">
        <v>-71.010599999999997</v>
      </c>
      <c r="E540" s="5">
        <v>40726</v>
      </c>
      <c r="F540" s="1" t="str">
        <f t="shared" si="8"/>
        <v>July</v>
      </c>
      <c r="G540" s="1">
        <v>66</v>
      </c>
      <c r="H540" s="1">
        <v>0</v>
      </c>
      <c r="I540" s="1" t="str">
        <f>IF(Table1[[#This Row],[Temperature_F]]&lt;32,"Yes","No")</f>
        <v>No</v>
      </c>
      <c r="J540" s="1" t="str" cm="1">
        <f t="array" ref="J5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40" s="1" t="str" cm="1">
        <f t="array" ref="K540">_xlfn.IFS(
H540=0,"No Rain",
H540&lt;10,"Light",
H540&lt;50,"Moderate",
TRUE,"Heavy")</f>
        <v>No Rain</v>
      </c>
      <c r="L540" s="1" t="str">
        <f>IF(Table1[[#This Row],[Precipitation_mm]]&lt;&gt;0,"Wet","Dry")</f>
        <v>Dry</v>
      </c>
      <c r="M540" t="b">
        <f>OR(ISBLANK(Table1[[#This Row],[Temperature_F]]),ISERROR(Table1[[#This Row],[Temperature_F]]))</f>
        <v>0</v>
      </c>
    </row>
    <row r="541" spans="1:13" hidden="1" x14ac:dyDescent="0.25">
      <c r="A541" s="1" t="s">
        <v>1</v>
      </c>
      <c r="B541" s="1" t="s">
        <v>2</v>
      </c>
      <c r="C541" s="1">
        <v>42.360599999999998</v>
      </c>
      <c r="D541" s="1">
        <v>-71.010599999999997</v>
      </c>
      <c r="E541" s="5">
        <v>40727</v>
      </c>
      <c r="F541" s="1" t="str">
        <f t="shared" si="8"/>
        <v>July</v>
      </c>
      <c r="G541" s="1">
        <v>85</v>
      </c>
      <c r="H541" s="1">
        <v>8</v>
      </c>
      <c r="I541" s="1" t="str">
        <f>IF(Table1[[#This Row],[Temperature_F]]&lt;32,"Yes","No")</f>
        <v>No</v>
      </c>
      <c r="J541" s="1" t="str" cm="1">
        <f t="array" ref="J5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41" s="1" t="str" cm="1">
        <f t="array" ref="K541">_xlfn.IFS(
H541=0,"No Rain",
H541&lt;10,"Light",
H541&lt;50,"Moderate",
TRUE,"Heavy")</f>
        <v>Light</v>
      </c>
      <c r="L541" s="1" t="str">
        <f>IF(Table1[[#This Row],[Precipitation_mm]]&lt;&gt;0,"Wet","Dry")</f>
        <v>Wet</v>
      </c>
      <c r="M541" t="b">
        <f>OR(ISBLANK(Table1[[#This Row],[Temperature_F]]),ISERROR(Table1[[#This Row],[Temperature_F]]))</f>
        <v>0</v>
      </c>
    </row>
    <row r="542" spans="1:13" hidden="1" x14ac:dyDescent="0.25">
      <c r="A542" s="1" t="s">
        <v>1</v>
      </c>
      <c r="B542" s="1" t="s">
        <v>2</v>
      </c>
      <c r="C542" s="1">
        <v>42.360599999999998</v>
      </c>
      <c r="D542" s="1">
        <v>-71.010599999999997</v>
      </c>
      <c r="E542" s="5">
        <v>40728</v>
      </c>
      <c r="F542" s="1" t="str">
        <f t="shared" si="8"/>
        <v>July</v>
      </c>
      <c r="G542" s="1">
        <v>89</v>
      </c>
      <c r="H542" s="1">
        <v>0</v>
      </c>
      <c r="I542" s="1" t="str">
        <f>IF(Table1[[#This Row],[Temperature_F]]&lt;32,"Yes","No")</f>
        <v>No</v>
      </c>
      <c r="J542" s="1" t="str" cm="1">
        <f t="array" ref="J5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542" s="1" t="str" cm="1">
        <f t="array" ref="K542">_xlfn.IFS(
H542=0,"No Rain",
H542&lt;10,"Light",
H542&lt;50,"Moderate",
TRUE,"Heavy")</f>
        <v>No Rain</v>
      </c>
      <c r="L542" s="1" t="str">
        <f>IF(Table1[[#This Row],[Precipitation_mm]]&lt;&gt;0,"Wet","Dry")</f>
        <v>Dry</v>
      </c>
      <c r="M542" t="b">
        <f>OR(ISBLANK(Table1[[#This Row],[Temperature_F]]),ISERROR(Table1[[#This Row],[Temperature_F]]))</f>
        <v>0</v>
      </c>
    </row>
    <row r="543" spans="1:13" hidden="1" x14ac:dyDescent="0.25">
      <c r="A543" s="1" t="s">
        <v>1</v>
      </c>
      <c r="B543" s="1" t="s">
        <v>2</v>
      </c>
      <c r="C543" s="1">
        <v>42.360599999999998</v>
      </c>
      <c r="D543" s="1">
        <v>-71.010599999999997</v>
      </c>
      <c r="E543" s="5">
        <v>40729</v>
      </c>
      <c r="F543" s="1" t="str">
        <f t="shared" si="8"/>
        <v>July</v>
      </c>
      <c r="G543" s="1">
        <v>77</v>
      </c>
      <c r="H543" s="1">
        <v>0</v>
      </c>
      <c r="I543" s="1" t="str">
        <f>IF(Table1[[#This Row],[Temperature_F]]&lt;32,"Yes","No")</f>
        <v>No</v>
      </c>
      <c r="J543" s="1" t="str" cm="1">
        <f t="array" ref="J5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43" s="1" t="str" cm="1">
        <f t="array" ref="K543">_xlfn.IFS(
H543=0,"No Rain",
H543&lt;10,"Light",
H543&lt;50,"Moderate",
TRUE,"Heavy")</f>
        <v>No Rain</v>
      </c>
      <c r="L543" s="1" t="str">
        <f>IF(Table1[[#This Row],[Precipitation_mm]]&lt;&gt;0,"Wet","Dry")</f>
        <v>Dry</v>
      </c>
      <c r="M543" t="b">
        <f>OR(ISBLANK(Table1[[#This Row],[Temperature_F]]),ISERROR(Table1[[#This Row],[Temperature_F]]))</f>
        <v>0</v>
      </c>
    </row>
    <row r="544" spans="1:13" hidden="1" x14ac:dyDescent="0.25">
      <c r="A544" s="1" t="s">
        <v>1</v>
      </c>
      <c r="B544" s="1" t="s">
        <v>2</v>
      </c>
      <c r="C544" s="1">
        <v>42.360599999999998</v>
      </c>
      <c r="D544" s="1">
        <v>-71.010599999999997</v>
      </c>
      <c r="E544" s="5">
        <v>40730</v>
      </c>
      <c r="F544" s="1" t="str">
        <f t="shared" si="8"/>
        <v>July</v>
      </c>
      <c r="G544" s="1">
        <v>86</v>
      </c>
      <c r="H544" s="1">
        <v>0</v>
      </c>
      <c r="I544" s="1" t="str">
        <f>IF(Table1[[#This Row],[Temperature_F]]&lt;32,"Yes","No")</f>
        <v>No</v>
      </c>
      <c r="J544" s="1" t="str" cm="1">
        <f t="array" ref="J5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44" s="1" t="str" cm="1">
        <f t="array" ref="K544">_xlfn.IFS(
H544=0,"No Rain",
H544&lt;10,"Light",
H544&lt;50,"Moderate",
TRUE,"Heavy")</f>
        <v>No Rain</v>
      </c>
      <c r="L544" s="1" t="str">
        <f>IF(Table1[[#This Row],[Precipitation_mm]]&lt;&gt;0,"Wet","Dry")</f>
        <v>Dry</v>
      </c>
      <c r="M544" t="b">
        <f>OR(ISBLANK(Table1[[#This Row],[Temperature_F]]),ISERROR(Table1[[#This Row],[Temperature_F]]))</f>
        <v>0</v>
      </c>
    </row>
    <row r="545" spans="1:13" hidden="1" x14ac:dyDescent="0.25">
      <c r="A545" s="1" t="s">
        <v>1</v>
      </c>
      <c r="B545" s="1" t="s">
        <v>2</v>
      </c>
      <c r="C545" s="1">
        <v>42.360599999999998</v>
      </c>
      <c r="D545" s="1">
        <v>-71.010599999999997</v>
      </c>
      <c r="E545" s="5">
        <v>40731</v>
      </c>
      <c r="F545" s="1" t="str">
        <f t="shared" si="8"/>
        <v>July</v>
      </c>
      <c r="G545" s="1">
        <v>86</v>
      </c>
      <c r="H545" s="1">
        <v>0</v>
      </c>
      <c r="I545" s="1" t="str">
        <f>IF(Table1[[#This Row],[Temperature_F]]&lt;32,"Yes","No")</f>
        <v>No</v>
      </c>
      <c r="J545" s="1" t="str" cm="1">
        <f t="array" ref="J5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45" s="1" t="str" cm="1">
        <f t="array" ref="K545">_xlfn.IFS(
H545=0,"No Rain",
H545&lt;10,"Light",
H545&lt;50,"Moderate",
TRUE,"Heavy")</f>
        <v>No Rain</v>
      </c>
      <c r="L545" s="1" t="str">
        <f>IF(Table1[[#This Row],[Precipitation_mm]]&lt;&gt;0,"Wet","Dry")</f>
        <v>Dry</v>
      </c>
      <c r="M545" t="b">
        <f>OR(ISBLANK(Table1[[#This Row],[Temperature_F]]),ISERROR(Table1[[#This Row],[Temperature_F]]))</f>
        <v>0</v>
      </c>
    </row>
    <row r="546" spans="1:13" hidden="1" x14ac:dyDescent="0.25">
      <c r="A546" s="1" t="s">
        <v>1</v>
      </c>
      <c r="B546" s="1" t="s">
        <v>2</v>
      </c>
      <c r="C546" s="1">
        <v>42.360599999999998</v>
      </c>
      <c r="D546" s="1">
        <v>-71.010599999999997</v>
      </c>
      <c r="E546" s="5">
        <v>40732</v>
      </c>
      <c r="F546" s="1" t="str">
        <f t="shared" si="8"/>
        <v>July</v>
      </c>
      <c r="G546" s="1">
        <v>72</v>
      </c>
      <c r="H546" s="1">
        <v>74</v>
      </c>
      <c r="I546" s="1" t="str">
        <f>IF(Table1[[#This Row],[Temperature_F]]&lt;32,"Yes","No")</f>
        <v>No</v>
      </c>
      <c r="J546" s="1" t="str" cm="1">
        <f t="array" ref="J5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46" s="1" t="str" cm="1">
        <f t="array" ref="K546">_xlfn.IFS(
H546=0,"No Rain",
H546&lt;10,"Light",
H546&lt;50,"Moderate",
TRUE,"Heavy")</f>
        <v>Heavy</v>
      </c>
      <c r="L546" s="1" t="str">
        <f>IF(Table1[[#This Row],[Precipitation_mm]]&lt;&gt;0,"Wet","Dry")</f>
        <v>Wet</v>
      </c>
      <c r="M546" t="b">
        <f>OR(ISBLANK(Table1[[#This Row],[Temperature_F]]),ISERROR(Table1[[#This Row],[Temperature_F]]))</f>
        <v>0</v>
      </c>
    </row>
    <row r="547" spans="1:13" hidden="1" x14ac:dyDescent="0.25">
      <c r="A547" s="1" t="s">
        <v>1</v>
      </c>
      <c r="B547" s="1" t="s">
        <v>2</v>
      </c>
      <c r="C547" s="1">
        <v>42.360599999999998</v>
      </c>
      <c r="D547" s="1">
        <v>-71.010599999999997</v>
      </c>
      <c r="E547" s="5">
        <v>40733</v>
      </c>
      <c r="F547" s="1" t="str">
        <f t="shared" si="8"/>
        <v>July</v>
      </c>
      <c r="G547" s="1">
        <v>68</v>
      </c>
      <c r="H547" s="1">
        <v>30</v>
      </c>
      <c r="I547" s="1" t="str">
        <f>IF(Table1[[#This Row],[Temperature_F]]&lt;32,"Yes","No")</f>
        <v>No</v>
      </c>
      <c r="J547" s="1" t="str" cm="1">
        <f t="array" ref="J5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47" s="1" t="str" cm="1">
        <f t="array" ref="K547">_xlfn.IFS(
H547=0,"No Rain",
H547&lt;10,"Light",
H547&lt;50,"Moderate",
TRUE,"Heavy")</f>
        <v>Moderate</v>
      </c>
      <c r="L547" s="1" t="str">
        <f>IF(Table1[[#This Row],[Precipitation_mm]]&lt;&gt;0,"Wet","Dry")</f>
        <v>Wet</v>
      </c>
      <c r="M547" t="b">
        <f>OR(ISBLANK(Table1[[#This Row],[Temperature_F]]),ISERROR(Table1[[#This Row],[Temperature_F]]))</f>
        <v>0</v>
      </c>
    </row>
    <row r="548" spans="1:13" hidden="1" x14ac:dyDescent="0.25">
      <c r="A548" s="1" t="s">
        <v>1</v>
      </c>
      <c r="B548" s="1" t="s">
        <v>2</v>
      </c>
      <c r="C548" s="1">
        <v>42.360599999999998</v>
      </c>
      <c r="D548" s="1">
        <v>-71.010599999999997</v>
      </c>
      <c r="E548" s="5">
        <v>40734</v>
      </c>
      <c r="F548" s="1" t="str">
        <f t="shared" si="8"/>
        <v>July</v>
      </c>
      <c r="G548" s="1">
        <v>89</v>
      </c>
      <c r="H548" s="1">
        <v>0</v>
      </c>
      <c r="I548" s="1" t="str">
        <f>IF(Table1[[#This Row],[Temperature_F]]&lt;32,"Yes","No")</f>
        <v>No</v>
      </c>
      <c r="J548" s="1" t="str" cm="1">
        <f t="array" ref="J5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548" s="1" t="str" cm="1">
        <f t="array" ref="K548">_xlfn.IFS(
H548=0,"No Rain",
H548&lt;10,"Light",
H548&lt;50,"Moderate",
TRUE,"Heavy")</f>
        <v>No Rain</v>
      </c>
      <c r="L548" s="1" t="str">
        <f>IF(Table1[[#This Row],[Precipitation_mm]]&lt;&gt;0,"Wet","Dry")</f>
        <v>Dry</v>
      </c>
      <c r="M548" t="b">
        <f>OR(ISBLANK(Table1[[#This Row],[Temperature_F]]),ISERROR(Table1[[#This Row],[Temperature_F]]))</f>
        <v>0</v>
      </c>
    </row>
    <row r="549" spans="1:13" hidden="1" x14ac:dyDescent="0.25">
      <c r="A549" s="1" t="s">
        <v>1</v>
      </c>
      <c r="B549" s="1" t="s">
        <v>2</v>
      </c>
      <c r="C549" s="1">
        <v>42.360599999999998</v>
      </c>
      <c r="D549" s="1">
        <v>-71.010599999999997</v>
      </c>
      <c r="E549" s="5">
        <v>40735</v>
      </c>
      <c r="F549" s="1" t="str">
        <f t="shared" si="8"/>
        <v>July</v>
      </c>
      <c r="G549" s="1">
        <v>71</v>
      </c>
      <c r="H549" s="1">
        <v>0</v>
      </c>
      <c r="I549" s="1" t="str">
        <f>IF(Table1[[#This Row],[Temperature_F]]&lt;32,"Yes","No")</f>
        <v>No</v>
      </c>
      <c r="J549" s="1" t="str" cm="1">
        <f t="array" ref="J5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49" s="1" t="str" cm="1">
        <f t="array" ref="K549">_xlfn.IFS(
H549=0,"No Rain",
H549&lt;10,"Light",
H549&lt;50,"Moderate",
TRUE,"Heavy")</f>
        <v>No Rain</v>
      </c>
      <c r="L549" s="1" t="str">
        <f>IF(Table1[[#This Row],[Precipitation_mm]]&lt;&gt;0,"Wet","Dry")</f>
        <v>Dry</v>
      </c>
      <c r="M549" t="b">
        <f>OR(ISBLANK(Table1[[#This Row],[Temperature_F]]),ISERROR(Table1[[#This Row],[Temperature_F]]))</f>
        <v>0</v>
      </c>
    </row>
    <row r="550" spans="1:13" hidden="1" x14ac:dyDescent="0.25">
      <c r="A550" s="1" t="s">
        <v>1</v>
      </c>
      <c r="B550" s="1" t="s">
        <v>2</v>
      </c>
      <c r="C550" s="1">
        <v>42.360599999999998</v>
      </c>
      <c r="D550" s="1">
        <v>-71.010599999999997</v>
      </c>
      <c r="E550" s="5">
        <v>40736</v>
      </c>
      <c r="F550" s="1" t="str">
        <f t="shared" si="8"/>
        <v>July</v>
      </c>
      <c r="G550" s="1">
        <v>70</v>
      </c>
      <c r="H550" s="1">
        <v>0</v>
      </c>
      <c r="I550" s="1" t="str">
        <f>IF(Table1[[#This Row],[Temperature_F]]&lt;32,"Yes","No")</f>
        <v>No</v>
      </c>
      <c r="J550" s="1" t="str" cm="1">
        <f t="array" ref="J5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0" s="1" t="str" cm="1">
        <f t="array" ref="K550">_xlfn.IFS(
H550=0,"No Rain",
H550&lt;10,"Light",
H550&lt;50,"Moderate",
TRUE,"Heavy")</f>
        <v>No Rain</v>
      </c>
      <c r="L550" s="1" t="str">
        <f>IF(Table1[[#This Row],[Precipitation_mm]]&lt;&gt;0,"Wet","Dry")</f>
        <v>Dry</v>
      </c>
      <c r="M550" t="b">
        <f>OR(ISBLANK(Table1[[#This Row],[Temperature_F]]),ISERROR(Table1[[#This Row],[Temperature_F]]))</f>
        <v>0</v>
      </c>
    </row>
    <row r="551" spans="1:13" hidden="1" x14ac:dyDescent="0.25">
      <c r="A551" s="1" t="s">
        <v>1</v>
      </c>
      <c r="B551" s="1" t="s">
        <v>2</v>
      </c>
      <c r="C551" s="1">
        <v>42.360599999999998</v>
      </c>
      <c r="D551" s="1">
        <v>-71.010599999999997</v>
      </c>
      <c r="E551" s="5">
        <v>40737</v>
      </c>
      <c r="F551" s="1" t="str">
        <f t="shared" si="8"/>
        <v>July</v>
      </c>
      <c r="G551" s="1">
        <v>82</v>
      </c>
      <c r="H551" s="1">
        <v>114</v>
      </c>
      <c r="I551" s="1" t="str">
        <f>IF(Table1[[#This Row],[Temperature_F]]&lt;32,"Yes","No")</f>
        <v>No</v>
      </c>
      <c r="J551" s="1" t="str" cm="1">
        <f t="array" ref="J5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1" s="1" t="str" cm="1">
        <f t="array" ref="K551">_xlfn.IFS(
H551=0,"No Rain",
H551&lt;10,"Light",
H551&lt;50,"Moderate",
TRUE,"Heavy")</f>
        <v>Heavy</v>
      </c>
      <c r="L551" s="1" t="str">
        <f>IF(Table1[[#This Row],[Precipitation_mm]]&lt;&gt;0,"Wet","Dry")</f>
        <v>Wet</v>
      </c>
      <c r="M551" t="b">
        <f>OR(ISBLANK(Table1[[#This Row],[Temperature_F]]),ISERROR(Table1[[#This Row],[Temperature_F]]))</f>
        <v>0</v>
      </c>
    </row>
    <row r="552" spans="1:13" hidden="1" x14ac:dyDescent="0.25">
      <c r="A552" s="1" t="s">
        <v>1</v>
      </c>
      <c r="B552" s="1" t="s">
        <v>2</v>
      </c>
      <c r="C552" s="1">
        <v>42.360599999999998</v>
      </c>
      <c r="D552" s="1">
        <v>-71.010599999999997</v>
      </c>
      <c r="E552" s="5">
        <v>40738</v>
      </c>
      <c r="F552" s="1" t="str">
        <f t="shared" si="8"/>
        <v>July</v>
      </c>
      <c r="G552" s="1">
        <v>73</v>
      </c>
      <c r="H552" s="1">
        <v>183</v>
      </c>
      <c r="I552" s="1" t="str">
        <f>IF(Table1[[#This Row],[Temperature_F]]&lt;32,"Yes","No")</f>
        <v>No</v>
      </c>
      <c r="J552" s="1" t="str" cm="1">
        <f t="array" ref="J5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2" s="1" t="str" cm="1">
        <f t="array" ref="K552">_xlfn.IFS(
H552=0,"No Rain",
H552&lt;10,"Light",
H552&lt;50,"Moderate",
TRUE,"Heavy")</f>
        <v>Heavy</v>
      </c>
      <c r="L552" s="1" t="str">
        <f>IF(Table1[[#This Row],[Precipitation_mm]]&lt;&gt;0,"Wet","Dry")</f>
        <v>Wet</v>
      </c>
      <c r="M552" t="b">
        <f>OR(ISBLANK(Table1[[#This Row],[Temperature_F]]),ISERROR(Table1[[#This Row],[Temperature_F]]))</f>
        <v>0</v>
      </c>
    </row>
    <row r="553" spans="1:13" hidden="1" x14ac:dyDescent="0.25">
      <c r="A553" s="1" t="s">
        <v>1</v>
      </c>
      <c r="B553" s="1" t="s">
        <v>2</v>
      </c>
      <c r="C553" s="1">
        <v>42.360599999999998</v>
      </c>
      <c r="D553" s="1">
        <v>-71.010599999999997</v>
      </c>
      <c r="E553" s="5">
        <v>40739</v>
      </c>
      <c r="F553" s="1" t="str">
        <f t="shared" si="8"/>
        <v>July</v>
      </c>
      <c r="G553" s="1">
        <v>76</v>
      </c>
      <c r="H553" s="1">
        <v>0</v>
      </c>
      <c r="I553" s="1" t="str">
        <f>IF(Table1[[#This Row],[Temperature_F]]&lt;32,"Yes","No")</f>
        <v>No</v>
      </c>
      <c r="J553" s="1" t="str" cm="1">
        <f t="array" ref="J5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3" s="1" t="str" cm="1">
        <f t="array" ref="K553">_xlfn.IFS(
H553=0,"No Rain",
H553&lt;10,"Light",
H553&lt;50,"Moderate",
TRUE,"Heavy")</f>
        <v>No Rain</v>
      </c>
      <c r="L553" s="1" t="str">
        <f>IF(Table1[[#This Row],[Precipitation_mm]]&lt;&gt;0,"Wet","Dry")</f>
        <v>Dry</v>
      </c>
      <c r="M553" t="b">
        <f>OR(ISBLANK(Table1[[#This Row],[Temperature_F]]),ISERROR(Table1[[#This Row],[Temperature_F]]))</f>
        <v>0</v>
      </c>
    </row>
    <row r="554" spans="1:13" hidden="1" x14ac:dyDescent="0.25">
      <c r="A554" s="1" t="s">
        <v>1</v>
      </c>
      <c r="B554" s="1" t="s">
        <v>2</v>
      </c>
      <c r="C554" s="1">
        <v>42.360599999999998</v>
      </c>
      <c r="D554" s="1">
        <v>-71.010599999999997</v>
      </c>
      <c r="E554" s="5">
        <v>40740</v>
      </c>
      <c r="F554" s="1" t="str">
        <f t="shared" si="8"/>
        <v>July</v>
      </c>
      <c r="G554" s="1">
        <v>73</v>
      </c>
      <c r="H554" s="1">
        <v>0</v>
      </c>
      <c r="I554" s="1" t="str">
        <f>IF(Table1[[#This Row],[Temperature_F]]&lt;32,"Yes","No")</f>
        <v>No</v>
      </c>
      <c r="J554" s="1" t="str" cm="1">
        <f t="array" ref="J5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4" s="1" t="str" cm="1">
        <f t="array" ref="K554">_xlfn.IFS(
H554=0,"No Rain",
H554&lt;10,"Light",
H554&lt;50,"Moderate",
TRUE,"Heavy")</f>
        <v>No Rain</v>
      </c>
      <c r="L554" s="1" t="str">
        <f>IF(Table1[[#This Row],[Precipitation_mm]]&lt;&gt;0,"Wet","Dry")</f>
        <v>Dry</v>
      </c>
      <c r="M554" t="b">
        <f>OR(ISBLANK(Table1[[#This Row],[Temperature_F]]),ISERROR(Table1[[#This Row],[Temperature_F]]))</f>
        <v>0</v>
      </c>
    </row>
    <row r="555" spans="1:13" hidden="1" x14ac:dyDescent="0.25">
      <c r="A555" s="1" t="s">
        <v>1</v>
      </c>
      <c r="B555" s="1" t="s">
        <v>2</v>
      </c>
      <c r="C555" s="1">
        <v>42.360599999999998</v>
      </c>
      <c r="D555" s="1">
        <v>-71.010599999999997</v>
      </c>
      <c r="E555" s="5">
        <v>40741</v>
      </c>
      <c r="F555" s="1" t="str">
        <f t="shared" si="8"/>
        <v>July</v>
      </c>
      <c r="G555" s="1">
        <v>83</v>
      </c>
      <c r="H555" s="1">
        <v>0</v>
      </c>
      <c r="I555" s="1" t="str">
        <f>IF(Table1[[#This Row],[Temperature_F]]&lt;32,"Yes","No")</f>
        <v>No</v>
      </c>
      <c r="J555" s="1" t="str" cm="1">
        <f t="array" ref="J5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5" s="1" t="str" cm="1">
        <f t="array" ref="K555">_xlfn.IFS(
H555=0,"No Rain",
H555&lt;10,"Light",
H555&lt;50,"Moderate",
TRUE,"Heavy")</f>
        <v>No Rain</v>
      </c>
      <c r="L555" s="1" t="str">
        <f>IF(Table1[[#This Row],[Precipitation_mm]]&lt;&gt;0,"Wet","Dry")</f>
        <v>Dry</v>
      </c>
      <c r="M555" t="b">
        <f>OR(ISBLANK(Table1[[#This Row],[Temperature_F]]),ISERROR(Table1[[#This Row],[Temperature_F]]))</f>
        <v>0</v>
      </c>
    </row>
    <row r="556" spans="1:13" hidden="1" x14ac:dyDescent="0.25">
      <c r="A556" s="1" t="s">
        <v>1</v>
      </c>
      <c r="B556" s="1" t="s">
        <v>2</v>
      </c>
      <c r="C556" s="1">
        <v>42.360599999999998</v>
      </c>
      <c r="D556" s="1">
        <v>-71.010599999999997</v>
      </c>
      <c r="E556" s="5">
        <v>40742</v>
      </c>
      <c r="F556" s="1" t="str">
        <f t="shared" si="8"/>
        <v>July</v>
      </c>
      <c r="G556" s="1">
        <v>67</v>
      </c>
      <c r="H556" s="1">
        <v>0</v>
      </c>
      <c r="I556" s="1" t="str">
        <f>IF(Table1[[#This Row],[Temperature_F]]&lt;32,"Yes","No")</f>
        <v>No</v>
      </c>
      <c r="J556" s="1" t="str" cm="1">
        <f t="array" ref="J5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56" s="1" t="str" cm="1">
        <f t="array" ref="K556">_xlfn.IFS(
H556=0,"No Rain",
H556&lt;10,"Light",
H556&lt;50,"Moderate",
TRUE,"Heavy")</f>
        <v>No Rain</v>
      </c>
      <c r="L556" s="1" t="str">
        <f>IF(Table1[[#This Row],[Precipitation_mm]]&lt;&gt;0,"Wet","Dry")</f>
        <v>Dry</v>
      </c>
      <c r="M556" t="b">
        <f>OR(ISBLANK(Table1[[#This Row],[Temperature_F]]),ISERROR(Table1[[#This Row],[Temperature_F]]))</f>
        <v>0</v>
      </c>
    </row>
    <row r="557" spans="1:13" hidden="1" x14ac:dyDescent="0.25">
      <c r="A557" s="1" t="s">
        <v>1</v>
      </c>
      <c r="B557" s="1" t="s">
        <v>2</v>
      </c>
      <c r="C557" s="1">
        <v>42.360599999999998</v>
      </c>
      <c r="D557" s="1">
        <v>-71.010599999999997</v>
      </c>
      <c r="E557" s="5">
        <v>40743</v>
      </c>
      <c r="F557" s="1" t="str">
        <f t="shared" si="8"/>
        <v>July</v>
      </c>
      <c r="G557" s="1">
        <v>65</v>
      </c>
      <c r="H557" s="1">
        <v>0</v>
      </c>
      <c r="I557" s="1" t="str">
        <f>IF(Table1[[#This Row],[Temperature_F]]&lt;32,"Yes","No")</f>
        <v>No</v>
      </c>
      <c r="J557" s="1" t="str" cm="1">
        <f t="array" ref="J5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57" s="1" t="str" cm="1">
        <f t="array" ref="K557">_xlfn.IFS(
H557=0,"No Rain",
H557&lt;10,"Light",
H557&lt;50,"Moderate",
TRUE,"Heavy")</f>
        <v>No Rain</v>
      </c>
      <c r="L557" s="1" t="str">
        <f>IF(Table1[[#This Row],[Precipitation_mm]]&lt;&gt;0,"Wet","Dry")</f>
        <v>Dry</v>
      </c>
      <c r="M557" t="b">
        <f>OR(ISBLANK(Table1[[#This Row],[Temperature_F]]),ISERROR(Table1[[#This Row],[Temperature_F]]))</f>
        <v>0</v>
      </c>
    </row>
    <row r="558" spans="1:13" hidden="1" x14ac:dyDescent="0.25">
      <c r="A558" s="1" t="s">
        <v>1</v>
      </c>
      <c r="B558" s="1" t="s">
        <v>2</v>
      </c>
      <c r="C558" s="1">
        <v>42.360599999999998</v>
      </c>
      <c r="D558" s="1">
        <v>-71.010599999999997</v>
      </c>
      <c r="E558" s="5">
        <v>40744</v>
      </c>
      <c r="F558" s="1" t="str">
        <f t="shared" si="8"/>
        <v>July</v>
      </c>
      <c r="G558" s="1">
        <v>72</v>
      </c>
      <c r="H558" s="1">
        <v>0</v>
      </c>
      <c r="I558" s="1" t="str">
        <f>IF(Table1[[#This Row],[Temperature_F]]&lt;32,"Yes","No")</f>
        <v>No</v>
      </c>
      <c r="J558" s="1" t="str" cm="1">
        <f t="array" ref="J5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8" s="1" t="str" cm="1">
        <f t="array" ref="K558">_xlfn.IFS(
H558=0,"No Rain",
H558&lt;10,"Light",
H558&lt;50,"Moderate",
TRUE,"Heavy")</f>
        <v>No Rain</v>
      </c>
      <c r="L558" s="1" t="str">
        <f>IF(Table1[[#This Row],[Precipitation_mm]]&lt;&gt;0,"Wet","Dry")</f>
        <v>Dry</v>
      </c>
      <c r="M558" t="b">
        <f>OR(ISBLANK(Table1[[#This Row],[Temperature_F]]),ISERROR(Table1[[#This Row],[Temperature_F]]))</f>
        <v>0</v>
      </c>
    </row>
    <row r="559" spans="1:13" hidden="1" x14ac:dyDescent="0.25">
      <c r="A559" s="1" t="s">
        <v>1</v>
      </c>
      <c r="B559" s="1" t="s">
        <v>2</v>
      </c>
      <c r="C559" s="1">
        <v>42.360599999999998</v>
      </c>
      <c r="D559" s="1">
        <v>-71.010599999999997</v>
      </c>
      <c r="E559" s="5">
        <v>40745</v>
      </c>
      <c r="F559" s="1" t="str">
        <f t="shared" si="8"/>
        <v>July</v>
      </c>
      <c r="G559" s="1">
        <v>76</v>
      </c>
      <c r="H559" s="1">
        <v>0</v>
      </c>
      <c r="I559" s="1" t="str">
        <f>IF(Table1[[#This Row],[Temperature_F]]&lt;32,"Yes","No")</f>
        <v>No</v>
      </c>
      <c r="J559" s="1" t="str" cm="1">
        <f t="array" ref="J5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59" s="1" t="str" cm="1">
        <f t="array" ref="K559">_xlfn.IFS(
H559=0,"No Rain",
H559&lt;10,"Light",
H559&lt;50,"Moderate",
TRUE,"Heavy")</f>
        <v>No Rain</v>
      </c>
      <c r="L559" s="1" t="str">
        <f>IF(Table1[[#This Row],[Precipitation_mm]]&lt;&gt;0,"Wet","Dry")</f>
        <v>Dry</v>
      </c>
      <c r="M559" t="b">
        <f>OR(ISBLANK(Table1[[#This Row],[Temperature_F]]),ISERROR(Table1[[#This Row],[Temperature_F]]))</f>
        <v>0</v>
      </c>
    </row>
    <row r="560" spans="1:13" hidden="1" x14ac:dyDescent="0.25">
      <c r="A560" s="1" t="s">
        <v>1</v>
      </c>
      <c r="B560" s="1" t="s">
        <v>2</v>
      </c>
      <c r="C560" s="1">
        <v>42.360599999999998</v>
      </c>
      <c r="D560" s="1">
        <v>-71.010599999999997</v>
      </c>
      <c r="E560" s="5">
        <v>40746</v>
      </c>
      <c r="F560" s="1" t="str">
        <f t="shared" si="8"/>
        <v>July</v>
      </c>
      <c r="G560" s="1">
        <v>79</v>
      </c>
      <c r="H560" s="1">
        <v>0</v>
      </c>
      <c r="I560" s="1" t="str">
        <f>IF(Table1[[#This Row],[Temperature_F]]&lt;32,"Yes","No")</f>
        <v>No</v>
      </c>
      <c r="J560" s="1" t="str" cm="1">
        <f t="array" ref="J5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0" s="1" t="str" cm="1">
        <f t="array" ref="K560">_xlfn.IFS(
H560=0,"No Rain",
H560&lt;10,"Light",
H560&lt;50,"Moderate",
TRUE,"Heavy")</f>
        <v>No Rain</v>
      </c>
      <c r="L560" s="1" t="str">
        <f>IF(Table1[[#This Row],[Precipitation_mm]]&lt;&gt;0,"Wet","Dry")</f>
        <v>Dry</v>
      </c>
      <c r="M560" t="b">
        <f>OR(ISBLANK(Table1[[#This Row],[Temperature_F]]),ISERROR(Table1[[#This Row],[Temperature_F]]))</f>
        <v>0</v>
      </c>
    </row>
    <row r="561" spans="1:13" hidden="1" x14ac:dyDescent="0.25">
      <c r="A561" s="1" t="s">
        <v>1</v>
      </c>
      <c r="B561" s="1" t="s">
        <v>2</v>
      </c>
      <c r="C561" s="1">
        <v>42.360599999999998</v>
      </c>
      <c r="D561" s="1">
        <v>-71.010599999999997</v>
      </c>
      <c r="E561" s="5">
        <v>40747</v>
      </c>
      <c r="F561" s="1" t="str">
        <f t="shared" si="8"/>
        <v>July</v>
      </c>
      <c r="G561" s="1">
        <v>67</v>
      </c>
      <c r="H561" s="1">
        <v>28</v>
      </c>
      <c r="I561" s="1" t="str">
        <f>IF(Table1[[#This Row],[Temperature_F]]&lt;32,"Yes","No")</f>
        <v>No</v>
      </c>
      <c r="J561" s="1" t="str" cm="1">
        <f t="array" ref="J5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61" s="1" t="str" cm="1">
        <f t="array" ref="K561">_xlfn.IFS(
H561=0,"No Rain",
H561&lt;10,"Light",
H561&lt;50,"Moderate",
TRUE,"Heavy")</f>
        <v>Moderate</v>
      </c>
      <c r="L561" s="1" t="str">
        <f>IF(Table1[[#This Row],[Precipitation_mm]]&lt;&gt;0,"Wet","Dry")</f>
        <v>Wet</v>
      </c>
      <c r="M561" t="b">
        <f>OR(ISBLANK(Table1[[#This Row],[Temperature_F]]),ISERROR(Table1[[#This Row],[Temperature_F]]))</f>
        <v>0</v>
      </c>
    </row>
    <row r="562" spans="1:13" hidden="1" x14ac:dyDescent="0.25">
      <c r="A562" s="1" t="s">
        <v>1</v>
      </c>
      <c r="B562" s="1" t="s">
        <v>2</v>
      </c>
      <c r="C562" s="1">
        <v>42.360599999999998</v>
      </c>
      <c r="D562" s="1">
        <v>-71.010599999999997</v>
      </c>
      <c r="E562" s="5">
        <v>40748</v>
      </c>
      <c r="F562" s="1" t="str">
        <f t="shared" si="8"/>
        <v>July</v>
      </c>
      <c r="G562" s="1">
        <v>71</v>
      </c>
      <c r="H562" s="1">
        <v>5</v>
      </c>
      <c r="I562" s="1" t="str">
        <f>IF(Table1[[#This Row],[Temperature_F]]&lt;32,"Yes","No")</f>
        <v>No</v>
      </c>
      <c r="J562" s="1" t="str" cm="1">
        <f t="array" ref="J5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2" s="1" t="str" cm="1">
        <f t="array" ref="K562">_xlfn.IFS(
H562=0,"No Rain",
H562&lt;10,"Light",
H562&lt;50,"Moderate",
TRUE,"Heavy")</f>
        <v>Light</v>
      </c>
      <c r="L562" s="1" t="str">
        <f>IF(Table1[[#This Row],[Precipitation_mm]]&lt;&gt;0,"Wet","Dry")</f>
        <v>Wet</v>
      </c>
      <c r="M562" t="b">
        <f>OR(ISBLANK(Table1[[#This Row],[Temperature_F]]),ISERROR(Table1[[#This Row],[Temperature_F]]))</f>
        <v>0</v>
      </c>
    </row>
    <row r="563" spans="1:13" hidden="1" x14ac:dyDescent="0.25">
      <c r="A563" s="1" t="s">
        <v>1</v>
      </c>
      <c r="B563" s="1" t="s">
        <v>2</v>
      </c>
      <c r="C563" s="1">
        <v>42.360599999999998</v>
      </c>
      <c r="D563" s="1">
        <v>-71.010599999999997</v>
      </c>
      <c r="E563" s="5">
        <v>40749</v>
      </c>
      <c r="F563" s="1" t="str">
        <f t="shared" si="8"/>
        <v>July</v>
      </c>
      <c r="G563" s="1">
        <v>74</v>
      </c>
      <c r="H563" s="1">
        <v>38</v>
      </c>
      <c r="I563" s="1" t="str">
        <f>IF(Table1[[#This Row],[Temperature_F]]&lt;32,"Yes","No")</f>
        <v>No</v>
      </c>
      <c r="J563" s="1" t="str" cm="1">
        <f t="array" ref="J5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3" s="1" t="str" cm="1">
        <f t="array" ref="K563">_xlfn.IFS(
H563=0,"No Rain",
H563&lt;10,"Light",
H563&lt;50,"Moderate",
TRUE,"Heavy")</f>
        <v>Moderate</v>
      </c>
      <c r="L563" s="1" t="str">
        <f>IF(Table1[[#This Row],[Precipitation_mm]]&lt;&gt;0,"Wet","Dry")</f>
        <v>Wet</v>
      </c>
      <c r="M563" t="b">
        <f>OR(ISBLANK(Table1[[#This Row],[Temperature_F]]),ISERROR(Table1[[#This Row],[Temperature_F]]))</f>
        <v>0</v>
      </c>
    </row>
    <row r="564" spans="1:13" hidden="1" x14ac:dyDescent="0.25">
      <c r="A564" s="1" t="s">
        <v>1</v>
      </c>
      <c r="B564" s="1" t="s">
        <v>2</v>
      </c>
      <c r="C564" s="1">
        <v>42.360599999999998</v>
      </c>
      <c r="D564" s="1">
        <v>-71.010599999999997</v>
      </c>
      <c r="E564" s="5">
        <v>40750</v>
      </c>
      <c r="F564" s="1" t="str">
        <f t="shared" si="8"/>
        <v>July</v>
      </c>
      <c r="G564" s="1">
        <v>65</v>
      </c>
      <c r="H564" s="1">
        <v>3</v>
      </c>
      <c r="I564" s="1" t="str">
        <f>IF(Table1[[#This Row],[Temperature_F]]&lt;32,"Yes","No")</f>
        <v>No</v>
      </c>
      <c r="J564" s="1" t="str" cm="1">
        <f t="array" ref="J5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64" s="1" t="str" cm="1">
        <f t="array" ref="K564">_xlfn.IFS(
H564=0,"No Rain",
H564&lt;10,"Light",
H564&lt;50,"Moderate",
TRUE,"Heavy")</f>
        <v>Light</v>
      </c>
      <c r="L564" s="1" t="str">
        <f>IF(Table1[[#This Row],[Precipitation_mm]]&lt;&gt;0,"Wet","Dry")</f>
        <v>Wet</v>
      </c>
      <c r="M564" t="b">
        <f>OR(ISBLANK(Table1[[#This Row],[Temperature_F]]),ISERROR(Table1[[#This Row],[Temperature_F]]))</f>
        <v>0</v>
      </c>
    </row>
    <row r="565" spans="1:13" hidden="1" x14ac:dyDescent="0.25">
      <c r="A565" s="1" t="s">
        <v>1</v>
      </c>
      <c r="B565" s="1" t="s">
        <v>2</v>
      </c>
      <c r="C565" s="1">
        <v>42.360599999999998</v>
      </c>
      <c r="D565" s="1">
        <v>-71.010599999999997</v>
      </c>
      <c r="E565" s="5">
        <v>40751</v>
      </c>
      <c r="F565" s="1" t="str">
        <f t="shared" si="8"/>
        <v>July</v>
      </c>
      <c r="G565" s="1">
        <v>81</v>
      </c>
      <c r="H565" s="1">
        <v>0</v>
      </c>
      <c r="I565" s="1" t="str">
        <f>IF(Table1[[#This Row],[Temperature_F]]&lt;32,"Yes","No")</f>
        <v>No</v>
      </c>
      <c r="J565" s="1" t="str" cm="1">
        <f t="array" ref="J5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5" s="1" t="str" cm="1">
        <f t="array" ref="K565">_xlfn.IFS(
H565=0,"No Rain",
H565&lt;10,"Light",
H565&lt;50,"Moderate",
TRUE,"Heavy")</f>
        <v>No Rain</v>
      </c>
      <c r="L565" s="1" t="str">
        <f>IF(Table1[[#This Row],[Precipitation_mm]]&lt;&gt;0,"Wet","Dry")</f>
        <v>Dry</v>
      </c>
      <c r="M565" t="b">
        <f>OR(ISBLANK(Table1[[#This Row],[Temperature_F]]),ISERROR(Table1[[#This Row],[Temperature_F]]))</f>
        <v>0</v>
      </c>
    </row>
    <row r="566" spans="1:13" hidden="1" x14ac:dyDescent="0.25">
      <c r="A566" s="1" t="s">
        <v>1</v>
      </c>
      <c r="B566" s="1" t="s">
        <v>2</v>
      </c>
      <c r="C566" s="1">
        <v>42.360599999999998</v>
      </c>
      <c r="D566" s="1">
        <v>-71.010599999999997</v>
      </c>
      <c r="E566" s="5">
        <v>40752</v>
      </c>
      <c r="F566" s="1" t="str">
        <f t="shared" si="8"/>
        <v>July</v>
      </c>
      <c r="G566" s="1">
        <v>86</v>
      </c>
      <c r="H566" s="1">
        <v>0</v>
      </c>
      <c r="I566" s="1" t="str">
        <f>IF(Table1[[#This Row],[Temperature_F]]&lt;32,"Yes","No")</f>
        <v>No</v>
      </c>
      <c r="J566" s="1" t="str" cm="1">
        <f t="array" ref="J5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6" s="1" t="str" cm="1">
        <f t="array" ref="K566">_xlfn.IFS(
H566=0,"No Rain",
H566&lt;10,"Light",
H566&lt;50,"Moderate",
TRUE,"Heavy")</f>
        <v>No Rain</v>
      </c>
      <c r="L566" s="1" t="str">
        <f>IF(Table1[[#This Row],[Precipitation_mm]]&lt;&gt;0,"Wet","Dry")</f>
        <v>Dry</v>
      </c>
      <c r="M566" t="b">
        <f>OR(ISBLANK(Table1[[#This Row],[Temperature_F]]),ISERROR(Table1[[#This Row],[Temperature_F]]))</f>
        <v>0</v>
      </c>
    </row>
    <row r="567" spans="1:13" hidden="1" x14ac:dyDescent="0.25">
      <c r="A567" s="1" t="s">
        <v>1</v>
      </c>
      <c r="B567" s="1" t="s">
        <v>2</v>
      </c>
      <c r="C567" s="1">
        <v>42.360599999999998</v>
      </c>
      <c r="D567" s="1">
        <v>-71.010599999999997</v>
      </c>
      <c r="E567" s="5">
        <v>40753</v>
      </c>
      <c r="F567" s="1" t="str">
        <f t="shared" si="8"/>
        <v>July</v>
      </c>
      <c r="G567" s="1">
        <v>69</v>
      </c>
      <c r="H567" s="1">
        <v>36</v>
      </c>
      <c r="I567" s="1" t="str">
        <f>IF(Table1[[#This Row],[Temperature_F]]&lt;32,"Yes","No")</f>
        <v>No</v>
      </c>
      <c r="J567" s="1" t="str" cm="1">
        <f t="array" ref="J5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7" s="1" t="str" cm="1">
        <f t="array" ref="K567">_xlfn.IFS(
H567=0,"No Rain",
H567&lt;10,"Light",
H567&lt;50,"Moderate",
TRUE,"Heavy")</f>
        <v>Moderate</v>
      </c>
      <c r="L567" s="1" t="str">
        <f>IF(Table1[[#This Row],[Precipitation_mm]]&lt;&gt;0,"Wet","Dry")</f>
        <v>Wet</v>
      </c>
      <c r="M567" t="b">
        <f>OR(ISBLANK(Table1[[#This Row],[Temperature_F]]),ISERROR(Table1[[#This Row],[Temperature_F]]))</f>
        <v>0</v>
      </c>
    </row>
    <row r="568" spans="1:13" hidden="1" x14ac:dyDescent="0.25">
      <c r="A568" s="1" t="s">
        <v>1</v>
      </c>
      <c r="B568" s="1" t="s">
        <v>2</v>
      </c>
      <c r="C568" s="1">
        <v>42.360599999999998</v>
      </c>
      <c r="D568" s="1">
        <v>-71.010599999999997</v>
      </c>
      <c r="E568" s="5">
        <v>40754</v>
      </c>
      <c r="F568" s="1" t="str">
        <f t="shared" si="8"/>
        <v>July</v>
      </c>
      <c r="G568" s="1">
        <v>77</v>
      </c>
      <c r="H568" s="1">
        <v>0</v>
      </c>
      <c r="I568" s="1" t="str">
        <f>IF(Table1[[#This Row],[Temperature_F]]&lt;32,"Yes","No")</f>
        <v>No</v>
      </c>
      <c r="J568" s="1" t="str" cm="1">
        <f t="array" ref="J5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8" s="1" t="str" cm="1">
        <f t="array" ref="K568">_xlfn.IFS(
H568=0,"No Rain",
H568&lt;10,"Light",
H568&lt;50,"Moderate",
TRUE,"Heavy")</f>
        <v>No Rain</v>
      </c>
      <c r="L568" s="1" t="str">
        <f>IF(Table1[[#This Row],[Precipitation_mm]]&lt;&gt;0,"Wet","Dry")</f>
        <v>Dry</v>
      </c>
      <c r="M568" t="b">
        <f>OR(ISBLANK(Table1[[#This Row],[Temperature_F]]),ISERROR(Table1[[#This Row],[Temperature_F]]))</f>
        <v>0</v>
      </c>
    </row>
    <row r="569" spans="1:13" hidden="1" x14ac:dyDescent="0.25">
      <c r="A569" s="1" t="s">
        <v>1</v>
      </c>
      <c r="B569" s="1" t="s">
        <v>2</v>
      </c>
      <c r="C569" s="1">
        <v>42.360599999999998</v>
      </c>
      <c r="D569" s="1">
        <v>-71.010599999999997</v>
      </c>
      <c r="E569" s="5">
        <v>40755</v>
      </c>
      <c r="F569" s="1" t="str">
        <f t="shared" si="8"/>
        <v>July</v>
      </c>
      <c r="G569" s="1">
        <v>81</v>
      </c>
      <c r="H569" s="1">
        <v>0</v>
      </c>
      <c r="I569" s="1" t="str">
        <f>IF(Table1[[#This Row],[Temperature_F]]&lt;32,"Yes","No")</f>
        <v>No</v>
      </c>
      <c r="J569" s="1" t="str" cm="1">
        <f t="array" ref="J5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69" s="1" t="str" cm="1">
        <f t="array" ref="K569">_xlfn.IFS(
H569=0,"No Rain",
H569&lt;10,"Light",
H569&lt;50,"Moderate",
TRUE,"Heavy")</f>
        <v>No Rain</v>
      </c>
      <c r="L569" s="1" t="str">
        <f>IF(Table1[[#This Row],[Precipitation_mm]]&lt;&gt;0,"Wet","Dry")</f>
        <v>Dry</v>
      </c>
      <c r="M569" t="b">
        <f>OR(ISBLANK(Table1[[#This Row],[Temperature_F]]),ISERROR(Table1[[#This Row],[Temperature_F]]))</f>
        <v>0</v>
      </c>
    </row>
    <row r="570" spans="1:13" hidden="1" x14ac:dyDescent="0.25">
      <c r="A570" s="1" t="s">
        <v>1</v>
      </c>
      <c r="B570" s="1" t="s">
        <v>2</v>
      </c>
      <c r="C570" s="1">
        <v>42.360599999999998</v>
      </c>
      <c r="D570" s="1">
        <v>-71.010599999999997</v>
      </c>
      <c r="E570" s="5">
        <v>40756</v>
      </c>
      <c r="F570" s="1" t="str">
        <f t="shared" ref="F570:F633" si="9">TEXT(E570,"mmmm")</f>
        <v>August</v>
      </c>
      <c r="G570" s="1">
        <v>82</v>
      </c>
      <c r="H570" s="1">
        <v>0</v>
      </c>
      <c r="I570" s="1" t="str">
        <f>IF(Table1[[#This Row],[Temperature_F]]&lt;32,"Yes","No")</f>
        <v>No</v>
      </c>
      <c r="J570" s="1" t="str" cm="1">
        <f t="array" ref="J5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70" s="1" t="str" cm="1">
        <f t="array" ref="K570">_xlfn.IFS(
H570=0,"No Rain",
H570&lt;10,"Light",
H570&lt;50,"Moderate",
TRUE,"Heavy")</f>
        <v>No Rain</v>
      </c>
      <c r="L570" s="1" t="str">
        <f>IF(Table1[[#This Row],[Precipitation_mm]]&lt;&gt;0,"Wet","Dry")</f>
        <v>Dry</v>
      </c>
      <c r="M570" t="b">
        <f>OR(ISBLANK(Table1[[#This Row],[Temperature_F]]),ISERROR(Table1[[#This Row],[Temperature_F]]))</f>
        <v>0</v>
      </c>
    </row>
    <row r="571" spans="1:13" hidden="1" x14ac:dyDescent="0.25">
      <c r="A571" s="1" t="s">
        <v>1</v>
      </c>
      <c r="B571" s="1" t="s">
        <v>2</v>
      </c>
      <c r="C571" s="1">
        <v>42.360599999999998</v>
      </c>
      <c r="D571" s="1">
        <v>-71.010599999999997</v>
      </c>
      <c r="E571" s="5">
        <v>40757</v>
      </c>
      <c r="F571" s="1" t="str">
        <f t="shared" si="9"/>
        <v>August</v>
      </c>
      <c r="G571" s="1">
        <v>87</v>
      </c>
      <c r="H571" s="1">
        <v>152</v>
      </c>
      <c r="I571" s="1" t="str">
        <f>IF(Table1[[#This Row],[Temperature_F]]&lt;32,"Yes","No")</f>
        <v>No</v>
      </c>
      <c r="J571" s="1" t="str" cm="1">
        <f t="array" ref="J5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571" s="1" t="str" cm="1">
        <f t="array" ref="K571">_xlfn.IFS(
H571=0,"No Rain",
H571&lt;10,"Light",
H571&lt;50,"Moderate",
TRUE,"Heavy")</f>
        <v>Heavy</v>
      </c>
      <c r="L571" s="1" t="str">
        <f>IF(Table1[[#This Row],[Precipitation_mm]]&lt;&gt;0,"Wet","Dry")</f>
        <v>Wet</v>
      </c>
      <c r="M571" t="b">
        <f>OR(ISBLANK(Table1[[#This Row],[Temperature_F]]),ISERROR(Table1[[#This Row],[Temperature_F]]))</f>
        <v>0</v>
      </c>
    </row>
    <row r="572" spans="1:13" hidden="1" x14ac:dyDescent="0.25">
      <c r="A572" s="1" t="s">
        <v>1</v>
      </c>
      <c r="B572" s="1" t="s">
        <v>2</v>
      </c>
      <c r="C572" s="1">
        <v>42.360599999999998</v>
      </c>
      <c r="D572" s="1">
        <v>-71.010599999999997</v>
      </c>
      <c r="E572" s="5">
        <v>40758</v>
      </c>
      <c r="F572" s="1" t="str">
        <f t="shared" si="9"/>
        <v>August</v>
      </c>
      <c r="G572" s="1">
        <v>90</v>
      </c>
      <c r="H572" s="1">
        <v>0</v>
      </c>
      <c r="I572" s="1" t="str">
        <f>IF(Table1[[#This Row],[Temperature_F]]&lt;32,"Yes","No")</f>
        <v>No</v>
      </c>
      <c r="J572" s="1" t="str" cm="1">
        <f t="array" ref="J5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572" s="1" t="str" cm="1">
        <f t="array" ref="K572">_xlfn.IFS(
H572=0,"No Rain",
H572&lt;10,"Light",
H572&lt;50,"Moderate",
TRUE,"Heavy")</f>
        <v>No Rain</v>
      </c>
      <c r="L572" s="1" t="str">
        <f>IF(Table1[[#This Row],[Precipitation_mm]]&lt;&gt;0,"Wet","Dry")</f>
        <v>Dry</v>
      </c>
      <c r="M572" t="b">
        <f>OR(ISBLANK(Table1[[#This Row],[Temperature_F]]),ISERROR(Table1[[#This Row],[Temperature_F]]))</f>
        <v>0</v>
      </c>
    </row>
    <row r="573" spans="1:13" hidden="1" x14ac:dyDescent="0.25">
      <c r="A573" s="1" t="s">
        <v>1</v>
      </c>
      <c r="B573" s="1" t="s">
        <v>2</v>
      </c>
      <c r="C573" s="1">
        <v>42.360599999999998</v>
      </c>
      <c r="D573" s="1">
        <v>-71.010599999999997</v>
      </c>
      <c r="E573" s="5">
        <v>40759</v>
      </c>
      <c r="F573" s="1" t="str">
        <f t="shared" si="9"/>
        <v>August</v>
      </c>
      <c r="G573" s="1">
        <v>84</v>
      </c>
      <c r="H573" s="1">
        <v>0</v>
      </c>
      <c r="I573" s="1" t="str">
        <f>IF(Table1[[#This Row],[Temperature_F]]&lt;32,"Yes","No")</f>
        <v>No</v>
      </c>
      <c r="J573" s="1" t="str" cm="1">
        <f t="array" ref="J5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73" s="1" t="str" cm="1">
        <f t="array" ref="K573">_xlfn.IFS(
H573=0,"No Rain",
H573&lt;10,"Light",
H573&lt;50,"Moderate",
TRUE,"Heavy")</f>
        <v>No Rain</v>
      </c>
      <c r="L573" s="1" t="str">
        <f>IF(Table1[[#This Row],[Precipitation_mm]]&lt;&gt;0,"Wet","Dry")</f>
        <v>Dry</v>
      </c>
      <c r="M573" t="b">
        <f>OR(ISBLANK(Table1[[#This Row],[Temperature_F]]),ISERROR(Table1[[#This Row],[Temperature_F]]))</f>
        <v>0</v>
      </c>
    </row>
    <row r="574" spans="1:13" hidden="1" x14ac:dyDescent="0.25">
      <c r="A574" s="1" t="s">
        <v>1</v>
      </c>
      <c r="B574" s="1" t="s">
        <v>2</v>
      </c>
      <c r="C574" s="1">
        <v>42.360599999999998</v>
      </c>
      <c r="D574" s="1">
        <v>-71.010599999999997</v>
      </c>
      <c r="E574" s="5">
        <v>40760</v>
      </c>
      <c r="F574" s="1" t="str">
        <f t="shared" si="9"/>
        <v>August</v>
      </c>
      <c r="G574" s="1">
        <v>86</v>
      </c>
      <c r="H574" s="1">
        <v>0</v>
      </c>
      <c r="I574" s="1" t="str">
        <f>IF(Table1[[#This Row],[Temperature_F]]&lt;32,"Yes","No")</f>
        <v>No</v>
      </c>
      <c r="J574" s="1" t="str" cm="1">
        <f t="array" ref="J5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74" s="1" t="str" cm="1">
        <f t="array" ref="K574">_xlfn.IFS(
H574=0,"No Rain",
H574&lt;10,"Light",
H574&lt;50,"Moderate",
TRUE,"Heavy")</f>
        <v>No Rain</v>
      </c>
      <c r="L574" s="1" t="str">
        <f>IF(Table1[[#This Row],[Precipitation_mm]]&lt;&gt;0,"Wet","Dry")</f>
        <v>Dry</v>
      </c>
      <c r="M574" t="b">
        <f>OR(ISBLANK(Table1[[#This Row],[Temperature_F]]),ISERROR(Table1[[#This Row],[Temperature_F]]))</f>
        <v>0</v>
      </c>
    </row>
    <row r="575" spans="1:13" hidden="1" x14ac:dyDescent="0.25">
      <c r="A575" s="1" t="s">
        <v>1</v>
      </c>
      <c r="B575" s="1" t="s">
        <v>2</v>
      </c>
      <c r="C575" s="1">
        <v>42.360599999999998</v>
      </c>
      <c r="D575" s="1">
        <v>-71.010599999999997</v>
      </c>
      <c r="E575" s="5">
        <v>40761</v>
      </c>
      <c r="F575" s="1" t="str">
        <f t="shared" si="9"/>
        <v>August</v>
      </c>
      <c r="G575" s="1">
        <v>71</v>
      </c>
      <c r="H575" s="1">
        <v>0</v>
      </c>
      <c r="I575" s="1" t="str">
        <f>IF(Table1[[#This Row],[Temperature_F]]&lt;32,"Yes","No")</f>
        <v>No</v>
      </c>
      <c r="J575" s="1" t="str" cm="1">
        <f t="array" ref="J5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75" s="1" t="str" cm="1">
        <f t="array" ref="K575">_xlfn.IFS(
H575=0,"No Rain",
H575&lt;10,"Light",
H575&lt;50,"Moderate",
TRUE,"Heavy")</f>
        <v>No Rain</v>
      </c>
      <c r="L575" s="1" t="str">
        <f>IF(Table1[[#This Row],[Precipitation_mm]]&lt;&gt;0,"Wet","Dry")</f>
        <v>Dry</v>
      </c>
      <c r="M575" t="b">
        <f>OR(ISBLANK(Table1[[#This Row],[Temperature_F]]),ISERROR(Table1[[#This Row],[Temperature_F]]))</f>
        <v>0</v>
      </c>
    </row>
    <row r="576" spans="1:13" hidden="1" x14ac:dyDescent="0.25">
      <c r="A576" s="1" t="s">
        <v>1</v>
      </c>
      <c r="B576" s="1" t="s">
        <v>2</v>
      </c>
      <c r="C576" s="1">
        <v>42.360599999999998</v>
      </c>
      <c r="D576" s="1">
        <v>-71.010599999999997</v>
      </c>
      <c r="E576" s="5">
        <v>40762</v>
      </c>
      <c r="F576" s="1" t="str">
        <f t="shared" si="9"/>
        <v>August</v>
      </c>
      <c r="G576" s="1">
        <v>73</v>
      </c>
      <c r="H576" s="1">
        <v>269</v>
      </c>
      <c r="I576" s="1" t="str">
        <f>IF(Table1[[#This Row],[Temperature_F]]&lt;32,"Yes","No")</f>
        <v>No</v>
      </c>
      <c r="J576" s="1" t="str" cm="1">
        <f t="array" ref="J5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76" s="1" t="str" cm="1">
        <f t="array" ref="K576">_xlfn.IFS(
H576=0,"No Rain",
H576&lt;10,"Light",
H576&lt;50,"Moderate",
TRUE,"Heavy")</f>
        <v>Heavy</v>
      </c>
      <c r="L576" s="1" t="str">
        <f>IF(Table1[[#This Row],[Precipitation_mm]]&lt;&gt;0,"Wet","Dry")</f>
        <v>Wet</v>
      </c>
      <c r="M576" t="b">
        <f>OR(ISBLANK(Table1[[#This Row],[Temperature_F]]),ISERROR(Table1[[#This Row],[Temperature_F]]))</f>
        <v>0</v>
      </c>
    </row>
    <row r="577" spans="1:13" hidden="1" x14ac:dyDescent="0.25">
      <c r="A577" s="1" t="s">
        <v>1</v>
      </c>
      <c r="B577" s="1" t="s">
        <v>2</v>
      </c>
      <c r="C577" s="1">
        <v>42.360599999999998</v>
      </c>
      <c r="D577" s="1">
        <v>-71.010599999999997</v>
      </c>
      <c r="E577" s="5">
        <v>40763</v>
      </c>
      <c r="F577" s="1" t="str">
        <f t="shared" si="9"/>
        <v>August</v>
      </c>
      <c r="G577" s="1">
        <v>65</v>
      </c>
      <c r="H577" s="1">
        <v>74</v>
      </c>
      <c r="I577" s="1" t="str">
        <f>IF(Table1[[#This Row],[Temperature_F]]&lt;32,"Yes","No")</f>
        <v>No</v>
      </c>
      <c r="J577" s="1" t="str" cm="1">
        <f t="array" ref="J5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77" s="1" t="str" cm="1">
        <f t="array" ref="K577">_xlfn.IFS(
H577=0,"No Rain",
H577&lt;10,"Light",
H577&lt;50,"Moderate",
TRUE,"Heavy")</f>
        <v>Heavy</v>
      </c>
      <c r="L577" s="1" t="str">
        <f>IF(Table1[[#This Row],[Precipitation_mm]]&lt;&gt;0,"Wet","Dry")</f>
        <v>Wet</v>
      </c>
      <c r="M577" t="b">
        <f>OR(ISBLANK(Table1[[#This Row],[Temperature_F]]),ISERROR(Table1[[#This Row],[Temperature_F]]))</f>
        <v>0</v>
      </c>
    </row>
    <row r="578" spans="1:13" hidden="1" x14ac:dyDescent="0.25">
      <c r="A578" s="1" t="s">
        <v>1</v>
      </c>
      <c r="B578" s="1" t="s">
        <v>2</v>
      </c>
      <c r="C578" s="1">
        <v>42.360599999999998</v>
      </c>
      <c r="D578" s="1">
        <v>-71.010599999999997</v>
      </c>
      <c r="E578" s="5">
        <v>40764</v>
      </c>
      <c r="F578" s="1" t="str">
        <f t="shared" si="9"/>
        <v>August</v>
      </c>
      <c r="G578" s="1">
        <v>66</v>
      </c>
      <c r="H578" s="1">
        <v>307</v>
      </c>
      <c r="I578" s="1" t="str">
        <f>IF(Table1[[#This Row],[Temperature_F]]&lt;32,"Yes","No")</f>
        <v>No</v>
      </c>
      <c r="J578" s="1" t="str" cm="1">
        <f t="array" ref="J5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78" s="1" t="str" cm="1">
        <f t="array" ref="K578">_xlfn.IFS(
H578=0,"No Rain",
H578&lt;10,"Light",
H578&lt;50,"Moderate",
TRUE,"Heavy")</f>
        <v>Heavy</v>
      </c>
      <c r="L578" s="1" t="str">
        <f>IF(Table1[[#This Row],[Precipitation_mm]]&lt;&gt;0,"Wet","Dry")</f>
        <v>Wet</v>
      </c>
      <c r="M578" t="b">
        <f>OR(ISBLANK(Table1[[#This Row],[Temperature_F]]),ISERROR(Table1[[#This Row],[Temperature_F]]))</f>
        <v>0</v>
      </c>
    </row>
    <row r="579" spans="1:13" hidden="1" x14ac:dyDescent="0.25">
      <c r="A579" s="1" t="s">
        <v>1</v>
      </c>
      <c r="B579" s="1" t="s">
        <v>2</v>
      </c>
      <c r="C579" s="1">
        <v>42.360599999999998</v>
      </c>
      <c r="D579" s="1">
        <v>-71.010599999999997</v>
      </c>
      <c r="E579" s="5">
        <v>40765</v>
      </c>
      <c r="F579" s="1" t="str">
        <f t="shared" si="9"/>
        <v>August</v>
      </c>
      <c r="G579" s="1">
        <v>71</v>
      </c>
      <c r="H579" s="1">
        <v>185</v>
      </c>
      <c r="I579" s="1" t="str">
        <f>IF(Table1[[#This Row],[Temperature_F]]&lt;32,"Yes","No")</f>
        <v>No</v>
      </c>
      <c r="J579" s="1" t="str" cm="1">
        <f t="array" ref="J5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79" s="1" t="str" cm="1">
        <f t="array" ref="K579">_xlfn.IFS(
H579=0,"No Rain",
H579&lt;10,"Light",
H579&lt;50,"Moderate",
TRUE,"Heavy")</f>
        <v>Heavy</v>
      </c>
      <c r="L579" s="1" t="str">
        <f>IF(Table1[[#This Row],[Precipitation_mm]]&lt;&gt;0,"Wet","Dry")</f>
        <v>Wet</v>
      </c>
      <c r="M579" t="b">
        <f>OR(ISBLANK(Table1[[#This Row],[Temperature_F]]),ISERROR(Table1[[#This Row],[Temperature_F]]))</f>
        <v>0</v>
      </c>
    </row>
    <row r="580" spans="1:13" hidden="1" x14ac:dyDescent="0.25">
      <c r="A580" s="1" t="s">
        <v>1</v>
      </c>
      <c r="B580" s="1" t="s">
        <v>2</v>
      </c>
      <c r="C580" s="1">
        <v>42.360599999999998</v>
      </c>
      <c r="D580" s="1">
        <v>-71.010599999999997</v>
      </c>
      <c r="E580" s="5">
        <v>40766</v>
      </c>
      <c r="F580" s="1" t="str">
        <f t="shared" si="9"/>
        <v>August</v>
      </c>
      <c r="G580" s="1">
        <v>74</v>
      </c>
      <c r="H580" s="1">
        <v>0</v>
      </c>
      <c r="I580" s="1" t="str">
        <f>IF(Table1[[#This Row],[Temperature_F]]&lt;32,"Yes","No")</f>
        <v>No</v>
      </c>
      <c r="J580" s="1" t="str" cm="1">
        <f t="array" ref="J5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0" s="1" t="str" cm="1">
        <f t="array" ref="K580">_xlfn.IFS(
H580=0,"No Rain",
H580&lt;10,"Light",
H580&lt;50,"Moderate",
TRUE,"Heavy")</f>
        <v>No Rain</v>
      </c>
      <c r="L580" s="1" t="str">
        <f>IF(Table1[[#This Row],[Precipitation_mm]]&lt;&gt;0,"Wet","Dry")</f>
        <v>Dry</v>
      </c>
      <c r="M580" t="b">
        <f>OR(ISBLANK(Table1[[#This Row],[Temperature_F]]),ISERROR(Table1[[#This Row],[Temperature_F]]))</f>
        <v>0</v>
      </c>
    </row>
    <row r="581" spans="1:13" hidden="1" x14ac:dyDescent="0.25">
      <c r="A581" s="1" t="s">
        <v>1</v>
      </c>
      <c r="B581" s="1" t="s">
        <v>2</v>
      </c>
      <c r="C581" s="1">
        <v>42.360599999999998</v>
      </c>
      <c r="D581" s="1">
        <v>-71.010599999999997</v>
      </c>
      <c r="E581" s="5">
        <v>40767</v>
      </c>
      <c r="F581" s="1" t="str">
        <f t="shared" si="9"/>
        <v>August</v>
      </c>
      <c r="G581" s="1">
        <v>78</v>
      </c>
      <c r="H581" s="1">
        <v>0</v>
      </c>
      <c r="I581" s="1" t="str">
        <f>IF(Table1[[#This Row],[Temperature_F]]&lt;32,"Yes","No")</f>
        <v>No</v>
      </c>
      <c r="J581" s="1" t="str" cm="1">
        <f t="array" ref="J5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1" s="1" t="str" cm="1">
        <f t="array" ref="K581">_xlfn.IFS(
H581=0,"No Rain",
H581&lt;10,"Light",
H581&lt;50,"Moderate",
TRUE,"Heavy")</f>
        <v>No Rain</v>
      </c>
      <c r="L581" s="1" t="str">
        <f>IF(Table1[[#This Row],[Precipitation_mm]]&lt;&gt;0,"Wet","Dry")</f>
        <v>Dry</v>
      </c>
      <c r="M581" t="b">
        <f>OR(ISBLANK(Table1[[#This Row],[Temperature_F]]),ISERROR(Table1[[#This Row],[Temperature_F]]))</f>
        <v>0</v>
      </c>
    </row>
    <row r="582" spans="1:13" hidden="1" x14ac:dyDescent="0.25">
      <c r="A582" s="1" t="s">
        <v>1</v>
      </c>
      <c r="B582" s="1" t="s">
        <v>2</v>
      </c>
      <c r="C582" s="1">
        <v>42.360599999999998</v>
      </c>
      <c r="D582" s="1">
        <v>-71.010599999999997</v>
      </c>
      <c r="E582" s="5">
        <v>40768</v>
      </c>
      <c r="F582" s="1" t="str">
        <f t="shared" si="9"/>
        <v>August</v>
      </c>
      <c r="G582" s="1">
        <v>66</v>
      </c>
      <c r="H582" s="1">
        <v>0</v>
      </c>
      <c r="I582" s="1" t="str">
        <f>IF(Table1[[#This Row],[Temperature_F]]&lt;32,"Yes","No")</f>
        <v>No</v>
      </c>
      <c r="J582" s="1" t="str" cm="1">
        <f t="array" ref="J5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82" s="1" t="str" cm="1">
        <f t="array" ref="K582">_xlfn.IFS(
H582=0,"No Rain",
H582&lt;10,"Light",
H582&lt;50,"Moderate",
TRUE,"Heavy")</f>
        <v>No Rain</v>
      </c>
      <c r="L582" s="1" t="str">
        <f>IF(Table1[[#This Row],[Precipitation_mm]]&lt;&gt;0,"Wet","Dry")</f>
        <v>Dry</v>
      </c>
      <c r="M582" t="b">
        <f>OR(ISBLANK(Table1[[#This Row],[Temperature_F]]),ISERROR(Table1[[#This Row],[Temperature_F]]))</f>
        <v>0</v>
      </c>
    </row>
    <row r="583" spans="1:13" hidden="1" x14ac:dyDescent="0.25">
      <c r="A583" s="1" t="s">
        <v>1</v>
      </c>
      <c r="B583" s="1" t="s">
        <v>2</v>
      </c>
      <c r="C583" s="1">
        <v>42.360599999999998</v>
      </c>
      <c r="D583" s="1">
        <v>-71.010599999999997</v>
      </c>
      <c r="E583" s="5">
        <v>40769</v>
      </c>
      <c r="F583" s="1" t="str">
        <f t="shared" si="9"/>
        <v>August</v>
      </c>
      <c r="G583" s="1">
        <v>72</v>
      </c>
      <c r="H583" s="1">
        <v>5</v>
      </c>
      <c r="I583" s="1" t="str">
        <f>IF(Table1[[#This Row],[Temperature_F]]&lt;32,"Yes","No")</f>
        <v>No</v>
      </c>
      <c r="J583" s="1" t="str" cm="1">
        <f t="array" ref="J5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3" s="1" t="str" cm="1">
        <f t="array" ref="K583">_xlfn.IFS(
H583=0,"No Rain",
H583&lt;10,"Light",
H583&lt;50,"Moderate",
TRUE,"Heavy")</f>
        <v>Light</v>
      </c>
      <c r="L583" s="1" t="str">
        <f>IF(Table1[[#This Row],[Precipitation_mm]]&lt;&gt;0,"Wet","Dry")</f>
        <v>Wet</v>
      </c>
      <c r="M583" t="b">
        <f>OR(ISBLANK(Table1[[#This Row],[Temperature_F]]),ISERROR(Table1[[#This Row],[Temperature_F]]))</f>
        <v>0</v>
      </c>
    </row>
    <row r="584" spans="1:13" hidden="1" x14ac:dyDescent="0.25">
      <c r="A584" s="1" t="s">
        <v>1</v>
      </c>
      <c r="B584" s="1" t="s">
        <v>2</v>
      </c>
      <c r="C584" s="1">
        <v>42.360599999999998</v>
      </c>
      <c r="D584" s="1">
        <v>-71.010599999999997</v>
      </c>
      <c r="E584" s="5">
        <v>40770</v>
      </c>
      <c r="F584" s="1" t="str">
        <f t="shared" si="9"/>
        <v>August</v>
      </c>
      <c r="G584" s="1">
        <v>81</v>
      </c>
      <c r="H584" s="1">
        <v>363</v>
      </c>
      <c r="I584" s="1" t="str">
        <f>IF(Table1[[#This Row],[Temperature_F]]&lt;32,"Yes","No")</f>
        <v>No</v>
      </c>
      <c r="J584" s="1" t="str" cm="1">
        <f t="array" ref="J5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4" s="1" t="str" cm="1">
        <f t="array" ref="K584">_xlfn.IFS(
H584=0,"No Rain",
H584&lt;10,"Light",
H584&lt;50,"Moderate",
TRUE,"Heavy")</f>
        <v>Heavy</v>
      </c>
      <c r="L584" s="1" t="str">
        <f>IF(Table1[[#This Row],[Precipitation_mm]]&lt;&gt;0,"Wet","Dry")</f>
        <v>Wet</v>
      </c>
      <c r="M584" t="b">
        <f>OR(ISBLANK(Table1[[#This Row],[Temperature_F]]),ISERROR(Table1[[#This Row],[Temperature_F]]))</f>
        <v>0</v>
      </c>
    </row>
    <row r="585" spans="1:13" hidden="1" x14ac:dyDescent="0.25">
      <c r="A585" s="1" t="s">
        <v>1</v>
      </c>
      <c r="B585" s="1" t="s">
        <v>2</v>
      </c>
      <c r="C585" s="1">
        <v>42.360599999999998</v>
      </c>
      <c r="D585" s="1">
        <v>-71.010599999999997</v>
      </c>
      <c r="E585" s="5">
        <v>40771</v>
      </c>
      <c r="F585" s="1" t="str">
        <f t="shared" si="9"/>
        <v>August</v>
      </c>
      <c r="G585" s="1">
        <v>69</v>
      </c>
      <c r="H585" s="1">
        <v>3</v>
      </c>
      <c r="I585" s="1" t="str">
        <f>IF(Table1[[#This Row],[Temperature_F]]&lt;32,"Yes","No")</f>
        <v>No</v>
      </c>
      <c r="J585" s="1" t="str" cm="1">
        <f t="array" ref="J5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5" s="1" t="str" cm="1">
        <f t="array" ref="K585">_xlfn.IFS(
H585=0,"No Rain",
H585&lt;10,"Light",
H585&lt;50,"Moderate",
TRUE,"Heavy")</f>
        <v>Light</v>
      </c>
      <c r="L585" s="1" t="str">
        <f>IF(Table1[[#This Row],[Precipitation_mm]]&lt;&gt;0,"Wet","Dry")</f>
        <v>Wet</v>
      </c>
      <c r="M585" t="b">
        <f>OR(ISBLANK(Table1[[#This Row],[Temperature_F]]),ISERROR(Table1[[#This Row],[Temperature_F]]))</f>
        <v>0</v>
      </c>
    </row>
    <row r="586" spans="1:13" hidden="1" x14ac:dyDescent="0.25">
      <c r="A586" s="1" t="s">
        <v>1</v>
      </c>
      <c r="B586" s="1" t="s">
        <v>2</v>
      </c>
      <c r="C586" s="1">
        <v>42.360599999999998</v>
      </c>
      <c r="D586" s="1">
        <v>-71.010599999999997</v>
      </c>
      <c r="E586" s="5">
        <v>40772</v>
      </c>
      <c r="F586" s="1" t="str">
        <f t="shared" si="9"/>
        <v>August</v>
      </c>
      <c r="G586" s="1">
        <v>71</v>
      </c>
      <c r="H586" s="1">
        <v>0</v>
      </c>
      <c r="I586" s="1" t="str">
        <f>IF(Table1[[#This Row],[Temperature_F]]&lt;32,"Yes","No")</f>
        <v>No</v>
      </c>
      <c r="J586" s="1" t="str" cm="1">
        <f t="array" ref="J5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6" s="1" t="str" cm="1">
        <f t="array" ref="K586">_xlfn.IFS(
H586=0,"No Rain",
H586&lt;10,"Light",
H586&lt;50,"Moderate",
TRUE,"Heavy")</f>
        <v>No Rain</v>
      </c>
      <c r="L586" s="1" t="str">
        <f>IF(Table1[[#This Row],[Precipitation_mm]]&lt;&gt;0,"Wet","Dry")</f>
        <v>Dry</v>
      </c>
      <c r="M586" t="b">
        <f>OR(ISBLANK(Table1[[#This Row],[Temperature_F]]),ISERROR(Table1[[#This Row],[Temperature_F]]))</f>
        <v>0</v>
      </c>
    </row>
    <row r="587" spans="1:13" hidden="1" x14ac:dyDescent="0.25">
      <c r="A587" s="1" t="s">
        <v>1</v>
      </c>
      <c r="B587" s="1" t="s">
        <v>2</v>
      </c>
      <c r="C587" s="1">
        <v>42.360599999999998</v>
      </c>
      <c r="D587" s="1">
        <v>-71.010599999999997</v>
      </c>
      <c r="E587" s="5">
        <v>40773</v>
      </c>
      <c r="F587" s="1" t="str">
        <f t="shared" si="9"/>
        <v>August</v>
      </c>
      <c r="G587" s="1">
        <v>68</v>
      </c>
      <c r="H587" s="1">
        <v>0</v>
      </c>
      <c r="I587" s="1" t="str">
        <f>IF(Table1[[#This Row],[Temperature_F]]&lt;32,"Yes","No")</f>
        <v>No</v>
      </c>
      <c r="J587" s="1" t="str" cm="1">
        <f t="array" ref="J5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87" s="1" t="str" cm="1">
        <f t="array" ref="K587">_xlfn.IFS(
H587=0,"No Rain",
H587&lt;10,"Light",
H587&lt;50,"Moderate",
TRUE,"Heavy")</f>
        <v>No Rain</v>
      </c>
      <c r="L587" s="1" t="str">
        <f>IF(Table1[[#This Row],[Precipitation_mm]]&lt;&gt;0,"Wet","Dry")</f>
        <v>Dry</v>
      </c>
      <c r="M587" t="b">
        <f>OR(ISBLANK(Table1[[#This Row],[Temperature_F]]),ISERROR(Table1[[#This Row],[Temperature_F]]))</f>
        <v>0</v>
      </c>
    </row>
    <row r="588" spans="1:13" hidden="1" x14ac:dyDescent="0.25">
      <c r="A588" s="1" t="s">
        <v>1</v>
      </c>
      <c r="B588" s="1" t="s">
        <v>2</v>
      </c>
      <c r="C588" s="1">
        <v>42.360599999999998</v>
      </c>
      <c r="D588" s="1">
        <v>-71.010599999999997</v>
      </c>
      <c r="E588" s="5">
        <v>40774</v>
      </c>
      <c r="F588" s="1" t="str">
        <f t="shared" si="9"/>
        <v>August</v>
      </c>
      <c r="G588" s="1">
        <v>84</v>
      </c>
      <c r="H588" s="1">
        <v>8</v>
      </c>
      <c r="I588" s="1" t="str">
        <f>IF(Table1[[#This Row],[Temperature_F]]&lt;32,"Yes","No")</f>
        <v>No</v>
      </c>
      <c r="J588" s="1" t="str" cm="1">
        <f t="array" ref="J5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8" s="1" t="str" cm="1">
        <f t="array" ref="K588">_xlfn.IFS(
H588=0,"No Rain",
H588&lt;10,"Light",
H588&lt;50,"Moderate",
TRUE,"Heavy")</f>
        <v>Light</v>
      </c>
      <c r="L588" s="1" t="str">
        <f>IF(Table1[[#This Row],[Precipitation_mm]]&lt;&gt;0,"Wet","Dry")</f>
        <v>Wet</v>
      </c>
      <c r="M588" t="b">
        <f>OR(ISBLANK(Table1[[#This Row],[Temperature_F]]),ISERROR(Table1[[#This Row],[Temperature_F]]))</f>
        <v>0</v>
      </c>
    </row>
    <row r="589" spans="1:13" hidden="1" x14ac:dyDescent="0.25">
      <c r="A589" s="1" t="s">
        <v>1</v>
      </c>
      <c r="B589" s="1" t="s">
        <v>2</v>
      </c>
      <c r="C589" s="1">
        <v>42.360599999999998</v>
      </c>
      <c r="D589" s="1">
        <v>-71.010599999999997</v>
      </c>
      <c r="E589" s="5">
        <v>40775</v>
      </c>
      <c r="F589" s="1" t="str">
        <f t="shared" si="9"/>
        <v>August</v>
      </c>
      <c r="G589" s="1">
        <v>74</v>
      </c>
      <c r="H589" s="1">
        <v>0</v>
      </c>
      <c r="I589" s="1" t="str">
        <f>IF(Table1[[#This Row],[Temperature_F]]&lt;32,"Yes","No")</f>
        <v>No</v>
      </c>
      <c r="J589" s="1" t="str" cm="1">
        <f t="array" ref="J5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89" s="1" t="str" cm="1">
        <f t="array" ref="K589">_xlfn.IFS(
H589=0,"No Rain",
H589&lt;10,"Light",
H589&lt;50,"Moderate",
TRUE,"Heavy")</f>
        <v>No Rain</v>
      </c>
      <c r="L589" s="1" t="str">
        <f>IF(Table1[[#This Row],[Precipitation_mm]]&lt;&gt;0,"Wet","Dry")</f>
        <v>Dry</v>
      </c>
      <c r="M589" t="b">
        <f>OR(ISBLANK(Table1[[#This Row],[Temperature_F]]),ISERROR(Table1[[#This Row],[Temperature_F]]))</f>
        <v>0</v>
      </c>
    </row>
    <row r="590" spans="1:13" hidden="1" x14ac:dyDescent="0.25">
      <c r="A590" s="1" t="s">
        <v>1</v>
      </c>
      <c r="B590" s="1" t="s">
        <v>2</v>
      </c>
      <c r="C590" s="1">
        <v>42.360599999999998</v>
      </c>
      <c r="D590" s="1">
        <v>-71.010599999999997</v>
      </c>
      <c r="E590" s="5">
        <v>40776</v>
      </c>
      <c r="F590" s="1" t="str">
        <f t="shared" si="9"/>
        <v>August</v>
      </c>
      <c r="G590" s="1">
        <v>80</v>
      </c>
      <c r="H590" s="1">
        <v>0</v>
      </c>
      <c r="I590" s="1" t="str">
        <f>IF(Table1[[#This Row],[Temperature_F]]&lt;32,"Yes","No")</f>
        <v>No</v>
      </c>
      <c r="J590" s="1" t="str" cm="1">
        <f t="array" ref="J5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90" s="1" t="str" cm="1">
        <f t="array" ref="K590">_xlfn.IFS(
H590=0,"No Rain",
H590&lt;10,"Light",
H590&lt;50,"Moderate",
TRUE,"Heavy")</f>
        <v>No Rain</v>
      </c>
      <c r="L590" s="1" t="str">
        <f>IF(Table1[[#This Row],[Precipitation_mm]]&lt;&gt;0,"Wet","Dry")</f>
        <v>Dry</v>
      </c>
      <c r="M590" t="b">
        <f>OR(ISBLANK(Table1[[#This Row],[Temperature_F]]),ISERROR(Table1[[#This Row],[Temperature_F]]))</f>
        <v>0</v>
      </c>
    </row>
    <row r="591" spans="1:13" hidden="1" x14ac:dyDescent="0.25">
      <c r="A591" s="1" t="s">
        <v>1</v>
      </c>
      <c r="B591" s="1" t="s">
        <v>2</v>
      </c>
      <c r="C591" s="1">
        <v>42.360599999999998</v>
      </c>
      <c r="D591" s="1">
        <v>-71.010599999999997</v>
      </c>
      <c r="E591" s="5">
        <v>40777</v>
      </c>
      <c r="F591" s="1" t="str">
        <f t="shared" si="9"/>
        <v>August</v>
      </c>
      <c r="G591" s="1">
        <v>84</v>
      </c>
      <c r="H591" s="1">
        <v>150</v>
      </c>
      <c r="I591" s="1" t="str">
        <f>IF(Table1[[#This Row],[Temperature_F]]&lt;32,"Yes","No")</f>
        <v>No</v>
      </c>
      <c r="J591" s="1" t="str" cm="1">
        <f t="array" ref="J5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91" s="1" t="str" cm="1">
        <f t="array" ref="K591">_xlfn.IFS(
H591=0,"No Rain",
H591&lt;10,"Light",
H591&lt;50,"Moderate",
TRUE,"Heavy")</f>
        <v>Heavy</v>
      </c>
      <c r="L591" s="1" t="str">
        <f>IF(Table1[[#This Row],[Precipitation_mm]]&lt;&gt;0,"Wet","Dry")</f>
        <v>Wet</v>
      </c>
      <c r="M591" t="b">
        <f>OR(ISBLANK(Table1[[#This Row],[Temperature_F]]),ISERROR(Table1[[#This Row],[Temperature_F]]))</f>
        <v>0</v>
      </c>
    </row>
    <row r="592" spans="1:13" hidden="1" x14ac:dyDescent="0.25">
      <c r="A592" s="1" t="s">
        <v>1</v>
      </c>
      <c r="B592" s="1" t="s">
        <v>2</v>
      </c>
      <c r="C592" s="1">
        <v>42.360599999999998</v>
      </c>
      <c r="D592" s="1">
        <v>-71.010599999999997</v>
      </c>
      <c r="E592" s="5">
        <v>40778</v>
      </c>
      <c r="F592" s="1" t="str">
        <f t="shared" si="9"/>
        <v>August</v>
      </c>
      <c r="G592" s="1">
        <v>65</v>
      </c>
      <c r="H592" s="1">
        <v>0</v>
      </c>
      <c r="I592" s="1" t="str">
        <f>IF(Table1[[#This Row],[Temperature_F]]&lt;32,"Yes","No")</f>
        <v>No</v>
      </c>
      <c r="J592" s="1" t="str" cm="1">
        <f t="array" ref="J5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92" s="1" t="str" cm="1">
        <f t="array" ref="K592">_xlfn.IFS(
H592=0,"No Rain",
H592&lt;10,"Light",
H592&lt;50,"Moderate",
TRUE,"Heavy")</f>
        <v>No Rain</v>
      </c>
      <c r="L592" s="1" t="str">
        <f>IF(Table1[[#This Row],[Precipitation_mm]]&lt;&gt;0,"Wet","Dry")</f>
        <v>Dry</v>
      </c>
      <c r="M592" t="b">
        <f>OR(ISBLANK(Table1[[#This Row],[Temperature_F]]),ISERROR(Table1[[#This Row],[Temperature_F]]))</f>
        <v>0</v>
      </c>
    </row>
    <row r="593" spans="1:13" hidden="1" x14ac:dyDescent="0.25">
      <c r="A593" s="1" t="s">
        <v>1</v>
      </c>
      <c r="B593" s="1" t="s">
        <v>2</v>
      </c>
      <c r="C593" s="1">
        <v>42.360599999999998</v>
      </c>
      <c r="D593" s="1">
        <v>-71.010599999999997</v>
      </c>
      <c r="E593" s="5">
        <v>40779</v>
      </c>
      <c r="F593" s="1" t="str">
        <f t="shared" si="9"/>
        <v>August</v>
      </c>
      <c r="G593" s="1">
        <v>73</v>
      </c>
      <c r="H593" s="1">
        <v>0</v>
      </c>
      <c r="I593" s="1" t="str">
        <f>IF(Table1[[#This Row],[Temperature_F]]&lt;32,"Yes","No")</f>
        <v>No</v>
      </c>
      <c r="J593" s="1" t="str" cm="1">
        <f t="array" ref="J5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93" s="1" t="str" cm="1">
        <f t="array" ref="K593">_xlfn.IFS(
H593=0,"No Rain",
H593&lt;10,"Light",
H593&lt;50,"Moderate",
TRUE,"Heavy")</f>
        <v>No Rain</v>
      </c>
      <c r="L593" s="1" t="str">
        <f>IF(Table1[[#This Row],[Precipitation_mm]]&lt;&gt;0,"Wet","Dry")</f>
        <v>Dry</v>
      </c>
      <c r="M593" t="b">
        <f>OR(ISBLANK(Table1[[#This Row],[Temperature_F]]),ISERROR(Table1[[#This Row],[Temperature_F]]))</f>
        <v>0</v>
      </c>
    </row>
    <row r="594" spans="1:13" hidden="1" x14ac:dyDescent="0.25">
      <c r="A594" s="1" t="s">
        <v>1</v>
      </c>
      <c r="B594" s="1" t="s">
        <v>2</v>
      </c>
      <c r="C594" s="1">
        <v>42.360599999999998</v>
      </c>
      <c r="D594" s="1">
        <v>-71.010599999999997</v>
      </c>
      <c r="E594" s="5">
        <v>40780</v>
      </c>
      <c r="F594" s="1" t="str">
        <f t="shared" si="9"/>
        <v>August</v>
      </c>
      <c r="G594" s="1">
        <v>66</v>
      </c>
      <c r="H594" s="1">
        <v>15</v>
      </c>
      <c r="I594" s="1" t="str">
        <f>IF(Table1[[#This Row],[Temperature_F]]&lt;32,"Yes","No")</f>
        <v>No</v>
      </c>
      <c r="J594" s="1" t="str" cm="1">
        <f t="array" ref="J5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94" s="1" t="str" cm="1">
        <f t="array" ref="K594">_xlfn.IFS(
H594=0,"No Rain",
H594&lt;10,"Light",
H594&lt;50,"Moderate",
TRUE,"Heavy")</f>
        <v>Moderate</v>
      </c>
      <c r="L594" s="1" t="str">
        <f>IF(Table1[[#This Row],[Precipitation_mm]]&lt;&gt;0,"Wet","Dry")</f>
        <v>Wet</v>
      </c>
      <c r="M594" t="b">
        <f>OR(ISBLANK(Table1[[#This Row],[Temperature_F]]),ISERROR(Table1[[#This Row],[Temperature_F]]))</f>
        <v>0</v>
      </c>
    </row>
    <row r="595" spans="1:13" hidden="1" x14ac:dyDescent="0.25">
      <c r="A595" s="1" t="s">
        <v>1</v>
      </c>
      <c r="B595" s="1" t="s">
        <v>2</v>
      </c>
      <c r="C595" s="1">
        <v>42.360599999999998</v>
      </c>
      <c r="D595" s="1">
        <v>-71.010599999999997</v>
      </c>
      <c r="E595" s="5">
        <v>40781</v>
      </c>
      <c r="F595" s="1" t="str">
        <f t="shared" si="9"/>
        <v>August</v>
      </c>
      <c r="G595" s="1">
        <v>65</v>
      </c>
      <c r="H595" s="1">
        <v>8</v>
      </c>
      <c r="I595" s="1" t="str">
        <f>IF(Table1[[#This Row],[Temperature_F]]&lt;32,"Yes","No")</f>
        <v>No</v>
      </c>
      <c r="J595" s="1" t="str" cm="1">
        <f t="array" ref="J5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95" s="1" t="str" cm="1">
        <f t="array" ref="K595">_xlfn.IFS(
H595=0,"No Rain",
H595&lt;10,"Light",
H595&lt;50,"Moderate",
TRUE,"Heavy")</f>
        <v>Light</v>
      </c>
      <c r="L595" s="1" t="str">
        <f>IF(Table1[[#This Row],[Precipitation_mm]]&lt;&gt;0,"Wet","Dry")</f>
        <v>Wet</v>
      </c>
      <c r="M595" t="b">
        <f>OR(ISBLANK(Table1[[#This Row],[Temperature_F]]),ISERROR(Table1[[#This Row],[Temperature_F]]))</f>
        <v>0</v>
      </c>
    </row>
    <row r="596" spans="1:13" hidden="1" x14ac:dyDescent="0.25">
      <c r="A596" s="1" t="s">
        <v>1</v>
      </c>
      <c r="B596" s="1" t="s">
        <v>2</v>
      </c>
      <c r="C596" s="1">
        <v>42.360599999999998</v>
      </c>
      <c r="D596" s="1">
        <v>-71.010599999999997</v>
      </c>
      <c r="E596" s="5">
        <v>40782</v>
      </c>
      <c r="F596" s="1" t="str">
        <f t="shared" si="9"/>
        <v>August</v>
      </c>
      <c r="G596" s="1">
        <v>68</v>
      </c>
      <c r="H596" s="1">
        <v>196</v>
      </c>
      <c r="I596" s="1" t="str">
        <f>IF(Table1[[#This Row],[Temperature_F]]&lt;32,"Yes","No")</f>
        <v>No</v>
      </c>
      <c r="J596" s="1" t="str" cm="1">
        <f t="array" ref="J5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596" s="1" t="str" cm="1">
        <f t="array" ref="K596">_xlfn.IFS(
H596=0,"No Rain",
H596&lt;10,"Light",
H596&lt;50,"Moderate",
TRUE,"Heavy")</f>
        <v>Heavy</v>
      </c>
      <c r="L596" s="1" t="str">
        <f>IF(Table1[[#This Row],[Precipitation_mm]]&lt;&gt;0,"Wet","Dry")</f>
        <v>Wet</v>
      </c>
      <c r="M596" t="b">
        <f>OR(ISBLANK(Table1[[#This Row],[Temperature_F]]),ISERROR(Table1[[#This Row],[Temperature_F]]))</f>
        <v>0</v>
      </c>
    </row>
    <row r="597" spans="1:13" hidden="1" x14ac:dyDescent="0.25">
      <c r="A597" s="1" t="s">
        <v>1</v>
      </c>
      <c r="B597" s="1" t="s">
        <v>2</v>
      </c>
      <c r="C597" s="1">
        <v>42.360599999999998</v>
      </c>
      <c r="D597" s="1">
        <v>-71.010599999999997</v>
      </c>
      <c r="E597" s="5">
        <v>40783</v>
      </c>
      <c r="F597" s="1" t="str">
        <f t="shared" si="9"/>
        <v>August</v>
      </c>
      <c r="G597" s="1">
        <v>74</v>
      </c>
      <c r="H597" s="1">
        <v>231</v>
      </c>
      <c r="I597" s="1" t="str">
        <f>IF(Table1[[#This Row],[Temperature_F]]&lt;32,"Yes","No")</f>
        <v>No</v>
      </c>
      <c r="J597" s="1" t="str" cm="1">
        <f t="array" ref="J5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97" s="1" t="str" cm="1">
        <f t="array" ref="K597">_xlfn.IFS(
H597=0,"No Rain",
H597&lt;10,"Light",
H597&lt;50,"Moderate",
TRUE,"Heavy")</f>
        <v>Heavy</v>
      </c>
      <c r="L597" s="1" t="str">
        <f>IF(Table1[[#This Row],[Precipitation_mm]]&lt;&gt;0,"Wet","Dry")</f>
        <v>Wet</v>
      </c>
      <c r="M597" t="b">
        <f>OR(ISBLANK(Table1[[#This Row],[Temperature_F]]),ISERROR(Table1[[#This Row],[Temperature_F]]))</f>
        <v>0</v>
      </c>
    </row>
    <row r="598" spans="1:13" hidden="1" x14ac:dyDescent="0.25">
      <c r="A598" s="1" t="s">
        <v>1</v>
      </c>
      <c r="B598" s="1" t="s">
        <v>2</v>
      </c>
      <c r="C598" s="1">
        <v>42.360599999999998</v>
      </c>
      <c r="D598" s="1">
        <v>-71.010599999999997</v>
      </c>
      <c r="E598" s="5">
        <v>40784</v>
      </c>
      <c r="F598" s="1" t="str">
        <f t="shared" si="9"/>
        <v>August</v>
      </c>
      <c r="G598" s="1">
        <v>76</v>
      </c>
      <c r="H598" s="1">
        <v>0</v>
      </c>
      <c r="I598" s="1" t="str">
        <f>IF(Table1[[#This Row],[Temperature_F]]&lt;32,"Yes","No")</f>
        <v>No</v>
      </c>
      <c r="J598" s="1" t="str" cm="1">
        <f t="array" ref="J5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98" s="1" t="str" cm="1">
        <f t="array" ref="K598">_xlfn.IFS(
H598=0,"No Rain",
H598&lt;10,"Light",
H598&lt;50,"Moderate",
TRUE,"Heavy")</f>
        <v>No Rain</v>
      </c>
      <c r="L598" s="1" t="str">
        <f>IF(Table1[[#This Row],[Precipitation_mm]]&lt;&gt;0,"Wet","Dry")</f>
        <v>Dry</v>
      </c>
      <c r="M598" t="b">
        <f>OR(ISBLANK(Table1[[#This Row],[Temperature_F]]),ISERROR(Table1[[#This Row],[Temperature_F]]))</f>
        <v>0</v>
      </c>
    </row>
    <row r="599" spans="1:13" hidden="1" x14ac:dyDescent="0.25">
      <c r="A599" s="1" t="s">
        <v>1</v>
      </c>
      <c r="B599" s="1" t="s">
        <v>2</v>
      </c>
      <c r="C599" s="1">
        <v>42.360599999999998</v>
      </c>
      <c r="D599" s="1">
        <v>-71.010599999999997</v>
      </c>
      <c r="E599" s="5">
        <v>40785</v>
      </c>
      <c r="F599" s="1" t="str">
        <f t="shared" si="9"/>
        <v>August</v>
      </c>
      <c r="G599" s="1">
        <v>72</v>
      </c>
      <c r="H599" s="1">
        <v>0</v>
      </c>
      <c r="I599" s="1" t="str">
        <f>IF(Table1[[#This Row],[Temperature_F]]&lt;32,"Yes","No")</f>
        <v>No</v>
      </c>
      <c r="J599" s="1" t="str" cm="1">
        <f t="array" ref="J5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599" s="1" t="str" cm="1">
        <f t="array" ref="K599">_xlfn.IFS(
H599=0,"No Rain",
H599&lt;10,"Light",
H599&lt;50,"Moderate",
TRUE,"Heavy")</f>
        <v>No Rain</v>
      </c>
      <c r="L599" s="1" t="str">
        <f>IF(Table1[[#This Row],[Precipitation_mm]]&lt;&gt;0,"Wet","Dry")</f>
        <v>Dry</v>
      </c>
      <c r="M599" t="b">
        <f>OR(ISBLANK(Table1[[#This Row],[Temperature_F]]),ISERROR(Table1[[#This Row],[Temperature_F]]))</f>
        <v>0</v>
      </c>
    </row>
    <row r="600" spans="1:13" hidden="1" x14ac:dyDescent="0.25">
      <c r="A600" s="1" t="s">
        <v>1</v>
      </c>
      <c r="B600" s="1" t="s">
        <v>2</v>
      </c>
      <c r="C600" s="1">
        <v>42.360599999999998</v>
      </c>
      <c r="D600" s="1">
        <v>-71.010599999999997</v>
      </c>
      <c r="E600" s="5">
        <v>40786</v>
      </c>
      <c r="F600" s="1" t="str">
        <f t="shared" si="9"/>
        <v>August</v>
      </c>
      <c r="G600" s="1">
        <v>76</v>
      </c>
      <c r="H600" s="1">
        <v>0</v>
      </c>
      <c r="I600" s="1" t="str">
        <f>IF(Table1[[#This Row],[Temperature_F]]&lt;32,"Yes","No")</f>
        <v>No</v>
      </c>
      <c r="J600" s="1" t="str" cm="1">
        <f t="array" ref="J6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00" s="1" t="str" cm="1">
        <f t="array" ref="K600">_xlfn.IFS(
H600=0,"No Rain",
H600&lt;10,"Light",
H600&lt;50,"Moderate",
TRUE,"Heavy")</f>
        <v>No Rain</v>
      </c>
      <c r="L600" s="1" t="str">
        <f>IF(Table1[[#This Row],[Precipitation_mm]]&lt;&gt;0,"Wet","Dry")</f>
        <v>Dry</v>
      </c>
      <c r="M600" t="b">
        <f>OR(ISBLANK(Table1[[#This Row],[Temperature_F]]),ISERROR(Table1[[#This Row],[Temperature_F]]))</f>
        <v>0</v>
      </c>
    </row>
    <row r="601" spans="1:13" x14ac:dyDescent="0.25">
      <c r="A601" s="1" t="s">
        <v>1</v>
      </c>
      <c r="B601" s="1" t="s">
        <v>2</v>
      </c>
      <c r="C601" s="1">
        <v>42.360599999999998</v>
      </c>
      <c r="D601" s="1">
        <v>-71.010599999999997</v>
      </c>
      <c r="E601" s="5">
        <v>40787</v>
      </c>
      <c r="F601" s="1" t="str">
        <f t="shared" si="9"/>
        <v>September</v>
      </c>
      <c r="G601" s="1">
        <v>46</v>
      </c>
      <c r="H601" s="1">
        <v>0</v>
      </c>
      <c r="I601" s="1" t="str">
        <f>IF(Table1[[#This Row],[Temperature_F]]&lt;32,"Yes","No")</f>
        <v>No</v>
      </c>
      <c r="J601" s="1" t="str" cm="1">
        <f t="array" ref="J6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01" s="1" t="str" cm="1">
        <f t="array" ref="K601">_xlfn.IFS(
H601=0,"No Rain",
H601&lt;10,"Light",
H601&lt;50,"Moderate",
TRUE,"Heavy")</f>
        <v>No Rain</v>
      </c>
      <c r="L601" s="1" t="str">
        <f>IF(Table1[[#This Row],[Precipitation_mm]]&lt;&gt;0,"Wet","Dry")</f>
        <v>Dry</v>
      </c>
      <c r="M601" t="b">
        <f>OR(ISBLANK(Table1[[#This Row],[Temperature_F]]),ISERROR(Table1[[#This Row],[Temperature_F]]))</f>
        <v>0</v>
      </c>
    </row>
    <row r="602" spans="1:13" hidden="1" x14ac:dyDescent="0.25">
      <c r="A602" s="1" t="s">
        <v>1</v>
      </c>
      <c r="B602" s="1" t="s">
        <v>2</v>
      </c>
      <c r="C602" s="1">
        <v>42.360599999999998</v>
      </c>
      <c r="D602" s="1">
        <v>-71.010599999999997</v>
      </c>
      <c r="E602" s="5">
        <v>40788</v>
      </c>
      <c r="F602" s="1" t="str">
        <f t="shared" si="9"/>
        <v>September</v>
      </c>
      <c r="G602" s="1">
        <v>70</v>
      </c>
      <c r="H602" s="1">
        <v>0</v>
      </c>
      <c r="I602" s="1" t="str">
        <f>IF(Table1[[#This Row],[Temperature_F]]&lt;32,"Yes","No")</f>
        <v>No</v>
      </c>
      <c r="J602" s="1" t="str" cm="1">
        <f t="array" ref="J6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02" s="1" t="str" cm="1">
        <f t="array" ref="K602">_xlfn.IFS(
H602=0,"No Rain",
H602&lt;10,"Light",
H602&lt;50,"Moderate",
TRUE,"Heavy")</f>
        <v>No Rain</v>
      </c>
      <c r="L602" s="1" t="str">
        <f>IF(Table1[[#This Row],[Precipitation_mm]]&lt;&gt;0,"Wet","Dry")</f>
        <v>Dry</v>
      </c>
      <c r="M602" t="b">
        <f>OR(ISBLANK(Table1[[#This Row],[Temperature_F]]),ISERROR(Table1[[#This Row],[Temperature_F]]))</f>
        <v>0</v>
      </c>
    </row>
    <row r="603" spans="1:13" hidden="1" x14ac:dyDescent="0.25">
      <c r="A603" s="1" t="s">
        <v>1</v>
      </c>
      <c r="B603" s="1" t="s">
        <v>2</v>
      </c>
      <c r="C603" s="1">
        <v>42.360599999999998</v>
      </c>
      <c r="D603" s="1">
        <v>-71.010599999999997</v>
      </c>
      <c r="E603" s="5">
        <v>40789</v>
      </c>
      <c r="F603" s="1" t="str">
        <f t="shared" si="9"/>
        <v>September</v>
      </c>
      <c r="G603" s="1">
        <v>61</v>
      </c>
      <c r="H603" s="1">
        <v>0</v>
      </c>
      <c r="I603" s="1" t="str">
        <f>IF(Table1[[#This Row],[Temperature_F]]&lt;32,"Yes","No")</f>
        <v>No</v>
      </c>
      <c r="J603" s="1" t="str" cm="1">
        <f t="array" ref="J6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03" s="1" t="str" cm="1">
        <f t="array" ref="K603">_xlfn.IFS(
H603=0,"No Rain",
H603&lt;10,"Light",
H603&lt;50,"Moderate",
TRUE,"Heavy")</f>
        <v>No Rain</v>
      </c>
      <c r="L603" s="1" t="str">
        <f>IF(Table1[[#This Row],[Precipitation_mm]]&lt;&gt;0,"Wet","Dry")</f>
        <v>Dry</v>
      </c>
      <c r="M603" t="b">
        <f>OR(ISBLANK(Table1[[#This Row],[Temperature_F]]),ISERROR(Table1[[#This Row],[Temperature_F]]))</f>
        <v>0</v>
      </c>
    </row>
    <row r="604" spans="1:13" hidden="1" x14ac:dyDescent="0.25">
      <c r="A604" s="1" t="s">
        <v>1</v>
      </c>
      <c r="B604" s="1" t="s">
        <v>2</v>
      </c>
      <c r="C604" s="1">
        <v>42.360599999999998</v>
      </c>
      <c r="D604" s="1">
        <v>-71.010599999999997</v>
      </c>
      <c r="E604" s="5">
        <v>40790</v>
      </c>
      <c r="F604" s="1" t="str">
        <f t="shared" si="9"/>
        <v>September</v>
      </c>
      <c r="G604" s="1">
        <v>65</v>
      </c>
      <c r="H604" s="1">
        <v>0</v>
      </c>
      <c r="I604" s="1" t="str">
        <f>IF(Table1[[#This Row],[Temperature_F]]&lt;32,"Yes","No")</f>
        <v>No</v>
      </c>
      <c r="J604" s="1" t="str" cm="1">
        <f t="array" ref="J6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04" s="1" t="str" cm="1">
        <f t="array" ref="K604">_xlfn.IFS(
H604=0,"No Rain",
H604&lt;10,"Light",
H604&lt;50,"Moderate",
TRUE,"Heavy")</f>
        <v>No Rain</v>
      </c>
      <c r="L604" s="1" t="str">
        <f>IF(Table1[[#This Row],[Precipitation_mm]]&lt;&gt;0,"Wet","Dry")</f>
        <v>Dry</v>
      </c>
      <c r="M604" t="b">
        <f>OR(ISBLANK(Table1[[#This Row],[Temperature_F]]),ISERROR(Table1[[#This Row],[Temperature_F]]))</f>
        <v>0</v>
      </c>
    </row>
    <row r="605" spans="1:13" hidden="1" x14ac:dyDescent="0.25">
      <c r="A605" s="1" t="s">
        <v>1</v>
      </c>
      <c r="B605" s="1" t="s">
        <v>2</v>
      </c>
      <c r="C605" s="1">
        <v>42.360599999999998</v>
      </c>
      <c r="D605" s="1">
        <v>-71.010599999999997</v>
      </c>
      <c r="E605" s="5">
        <v>40791</v>
      </c>
      <c r="F605" s="1" t="str">
        <f t="shared" si="9"/>
        <v>September</v>
      </c>
      <c r="G605" s="1">
        <v>58</v>
      </c>
      <c r="H605" s="1">
        <v>0</v>
      </c>
      <c r="I605" s="1" t="str">
        <f>IF(Table1[[#This Row],[Temperature_F]]&lt;32,"Yes","No")</f>
        <v>No</v>
      </c>
      <c r="J605" s="1" t="str" cm="1">
        <f t="array" ref="J6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05" s="1" t="str" cm="1">
        <f t="array" ref="K605">_xlfn.IFS(
H605=0,"No Rain",
H605&lt;10,"Light",
H605&lt;50,"Moderate",
TRUE,"Heavy")</f>
        <v>No Rain</v>
      </c>
      <c r="L605" s="1" t="str">
        <f>IF(Table1[[#This Row],[Precipitation_mm]]&lt;&gt;0,"Wet","Dry")</f>
        <v>Dry</v>
      </c>
      <c r="M605" t="b">
        <f>OR(ISBLANK(Table1[[#This Row],[Temperature_F]]),ISERROR(Table1[[#This Row],[Temperature_F]]))</f>
        <v>0</v>
      </c>
    </row>
    <row r="606" spans="1:13" hidden="1" x14ac:dyDescent="0.25">
      <c r="A606" s="1" t="s">
        <v>1</v>
      </c>
      <c r="B606" s="1" t="s">
        <v>2</v>
      </c>
      <c r="C606" s="1">
        <v>42.360599999999998</v>
      </c>
      <c r="D606" s="1">
        <v>-71.010599999999997</v>
      </c>
      <c r="E606" s="5">
        <v>40792</v>
      </c>
      <c r="F606" s="1" t="str">
        <f t="shared" si="9"/>
        <v>September</v>
      </c>
      <c r="G606" s="1">
        <v>59</v>
      </c>
      <c r="H606" s="1">
        <v>173</v>
      </c>
      <c r="I606" s="1" t="str">
        <f>IF(Table1[[#This Row],[Temperature_F]]&lt;32,"Yes","No")</f>
        <v>No</v>
      </c>
      <c r="J606" s="1" t="str" cm="1">
        <f t="array" ref="J6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06" s="1" t="str" cm="1">
        <f t="array" ref="K606">_xlfn.IFS(
H606=0,"No Rain",
H606&lt;10,"Light",
H606&lt;50,"Moderate",
TRUE,"Heavy")</f>
        <v>Heavy</v>
      </c>
      <c r="L606" s="1" t="str">
        <f>IF(Table1[[#This Row],[Precipitation_mm]]&lt;&gt;0,"Wet","Dry")</f>
        <v>Wet</v>
      </c>
      <c r="M606" t="b">
        <f>OR(ISBLANK(Table1[[#This Row],[Temperature_F]]),ISERROR(Table1[[#This Row],[Temperature_F]]))</f>
        <v>0</v>
      </c>
    </row>
    <row r="607" spans="1:13" hidden="1" x14ac:dyDescent="0.25">
      <c r="A607" s="1" t="s">
        <v>1</v>
      </c>
      <c r="B607" s="1" t="s">
        <v>2</v>
      </c>
      <c r="C607" s="1">
        <v>42.360599999999998</v>
      </c>
      <c r="D607" s="1">
        <v>-71.010599999999997</v>
      </c>
      <c r="E607" s="5">
        <v>40793</v>
      </c>
      <c r="F607" s="1" t="str">
        <f t="shared" si="9"/>
        <v>September</v>
      </c>
      <c r="G607" s="1">
        <v>64</v>
      </c>
      <c r="H607" s="1">
        <v>76</v>
      </c>
      <c r="I607" s="1" t="str">
        <f>IF(Table1[[#This Row],[Temperature_F]]&lt;32,"Yes","No")</f>
        <v>No</v>
      </c>
      <c r="J607" s="1" t="str" cm="1">
        <f t="array" ref="J6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07" s="1" t="str" cm="1">
        <f t="array" ref="K607">_xlfn.IFS(
H607=0,"No Rain",
H607&lt;10,"Light",
H607&lt;50,"Moderate",
TRUE,"Heavy")</f>
        <v>Heavy</v>
      </c>
      <c r="L607" s="1" t="str">
        <f>IF(Table1[[#This Row],[Precipitation_mm]]&lt;&gt;0,"Wet","Dry")</f>
        <v>Wet</v>
      </c>
      <c r="M607" t="b">
        <f>OR(ISBLANK(Table1[[#This Row],[Temperature_F]]),ISERROR(Table1[[#This Row],[Temperature_F]]))</f>
        <v>0</v>
      </c>
    </row>
    <row r="608" spans="1:13" hidden="1" x14ac:dyDescent="0.25">
      <c r="A608" s="1" t="s">
        <v>1</v>
      </c>
      <c r="B608" s="1" t="s">
        <v>2</v>
      </c>
      <c r="C608" s="1">
        <v>42.360599999999998</v>
      </c>
      <c r="D608" s="1">
        <v>-71.010599999999997</v>
      </c>
      <c r="E608" s="5">
        <v>40794</v>
      </c>
      <c r="F608" s="1" t="str">
        <f t="shared" si="9"/>
        <v>September</v>
      </c>
      <c r="G608" s="1">
        <v>70</v>
      </c>
      <c r="H608" s="1">
        <v>297</v>
      </c>
      <c r="I608" s="1" t="str">
        <f>IF(Table1[[#This Row],[Temperature_F]]&lt;32,"Yes","No")</f>
        <v>No</v>
      </c>
      <c r="J608" s="1" t="str" cm="1">
        <f t="array" ref="J6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08" s="1" t="str" cm="1">
        <f t="array" ref="K608">_xlfn.IFS(
H608=0,"No Rain",
H608&lt;10,"Light",
H608&lt;50,"Moderate",
TRUE,"Heavy")</f>
        <v>Heavy</v>
      </c>
      <c r="L608" s="1" t="str">
        <f>IF(Table1[[#This Row],[Precipitation_mm]]&lt;&gt;0,"Wet","Dry")</f>
        <v>Wet</v>
      </c>
      <c r="M608" t="b">
        <f>OR(ISBLANK(Table1[[#This Row],[Temperature_F]]),ISERROR(Table1[[#This Row],[Temperature_F]]))</f>
        <v>0</v>
      </c>
    </row>
    <row r="609" spans="1:13" hidden="1" x14ac:dyDescent="0.25">
      <c r="A609" s="1" t="s">
        <v>1</v>
      </c>
      <c r="B609" s="1" t="s">
        <v>2</v>
      </c>
      <c r="C609" s="1">
        <v>42.360599999999998</v>
      </c>
      <c r="D609" s="1">
        <v>-71.010599999999997</v>
      </c>
      <c r="E609" s="5">
        <v>40795</v>
      </c>
      <c r="F609" s="1" t="str">
        <f t="shared" si="9"/>
        <v>September</v>
      </c>
      <c r="G609" s="1">
        <v>57</v>
      </c>
      <c r="H609" s="1">
        <v>0</v>
      </c>
      <c r="I609" s="1" t="str">
        <f>IF(Table1[[#This Row],[Temperature_F]]&lt;32,"Yes","No")</f>
        <v>No</v>
      </c>
      <c r="J609" s="1" t="str" cm="1">
        <f t="array" ref="J6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09" s="1" t="str" cm="1">
        <f t="array" ref="K609">_xlfn.IFS(
H609=0,"No Rain",
H609&lt;10,"Light",
H609&lt;50,"Moderate",
TRUE,"Heavy")</f>
        <v>No Rain</v>
      </c>
      <c r="L609" s="1" t="str">
        <f>IF(Table1[[#This Row],[Precipitation_mm]]&lt;&gt;0,"Wet","Dry")</f>
        <v>Dry</v>
      </c>
      <c r="M609" t="b">
        <f>OR(ISBLANK(Table1[[#This Row],[Temperature_F]]),ISERROR(Table1[[#This Row],[Temperature_F]]))</f>
        <v>0</v>
      </c>
    </row>
    <row r="610" spans="1:13" hidden="1" x14ac:dyDescent="0.25">
      <c r="A610" s="1" t="s">
        <v>1</v>
      </c>
      <c r="B610" s="1" t="s">
        <v>2</v>
      </c>
      <c r="C610" s="1">
        <v>42.360599999999998</v>
      </c>
      <c r="D610" s="1">
        <v>-71.010599999999997</v>
      </c>
      <c r="E610" s="5">
        <v>40796</v>
      </c>
      <c r="F610" s="1" t="str">
        <f t="shared" si="9"/>
        <v>September</v>
      </c>
      <c r="G610" s="1">
        <v>57</v>
      </c>
      <c r="H610" s="1">
        <v>0</v>
      </c>
      <c r="I610" s="1" t="str">
        <f>IF(Table1[[#This Row],[Temperature_F]]&lt;32,"Yes","No")</f>
        <v>No</v>
      </c>
      <c r="J610" s="1" t="str" cm="1">
        <f t="array" ref="J6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0" s="1" t="str" cm="1">
        <f t="array" ref="K610">_xlfn.IFS(
H610=0,"No Rain",
H610&lt;10,"Light",
H610&lt;50,"Moderate",
TRUE,"Heavy")</f>
        <v>No Rain</v>
      </c>
      <c r="L610" s="1" t="str">
        <f>IF(Table1[[#This Row],[Precipitation_mm]]&lt;&gt;0,"Wet","Dry")</f>
        <v>Dry</v>
      </c>
      <c r="M610" t="b">
        <f>OR(ISBLANK(Table1[[#This Row],[Temperature_F]]),ISERROR(Table1[[#This Row],[Temperature_F]]))</f>
        <v>0</v>
      </c>
    </row>
    <row r="611" spans="1:13" x14ac:dyDescent="0.25">
      <c r="A611" s="1" t="s">
        <v>1</v>
      </c>
      <c r="B611" s="1" t="s">
        <v>2</v>
      </c>
      <c r="C611" s="1">
        <v>42.360599999999998</v>
      </c>
      <c r="D611" s="1">
        <v>-71.010599999999997</v>
      </c>
      <c r="E611" s="5">
        <v>40797</v>
      </c>
      <c r="F611" s="1" t="str">
        <f t="shared" si="9"/>
        <v>September</v>
      </c>
      <c r="G611" s="1">
        <v>45</v>
      </c>
      <c r="H611" s="1">
        <v>0</v>
      </c>
      <c r="I611" s="1" t="str">
        <f>IF(Table1[[#This Row],[Temperature_F]]&lt;32,"Yes","No")</f>
        <v>No</v>
      </c>
      <c r="J611" s="1" t="str" cm="1">
        <f t="array" ref="J6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11" s="1" t="str" cm="1">
        <f t="array" ref="K611">_xlfn.IFS(
H611=0,"No Rain",
H611&lt;10,"Light",
H611&lt;50,"Moderate",
TRUE,"Heavy")</f>
        <v>No Rain</v>
      </c>
      <c r="L611" s="1" t="str">
        <f>IF(Table1[[#This Row],[Precipitation_mm]]&lt;&gt;0,"Wet","Dry")</f>
        <v>Dry</v>
      </c>
      <c r="M611" t="b">
        <f>OR(ISBLANK(Table1[[#This Row],[Temperature_F]]),ISERROR(Table1[[#This Row],[Temperature_F]]))</f>
        <v>0</v>
      </c>
    </row>
    <row r="612" spans="1:13" x14ac:dyDescent="0.25">
      <c r="A612" s="1" t="s">
        <v>1</v>
      </c>
      <c r="B612" s="1" t="s">
        <v>2</v>
      </c>
      <c r="C612" s="1">
        <v>42.360599999999998</v>
      </c>
      <c r="D612" s="1">
        <v>-71.010599999999997</v>
      </c>
      <c r="E612" s="5">
        <v>40798</v>
      </c>
      <c r="F612" s="1" t="str">
        <f t="shared" si="9"/>
        <v>September</v>
      </c>
      <c r="G612" s="1">
        <v>41</v>
      </c>
      <c r="H612" s="1">
        <v>0</v>
      </c>
      <c r="I612" s="1" t="str">
        <f>IF(Table1[[#This Row],[Temperature_F]]&lt;32,"Yes","No")</f>
        <v>No</v>
      </c>
      <c r="J612" s="1" t="str" cm="1">
        <f t="array" ref="J6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12" s="1" t="str" cm="1">
        <f t="array" ref="K612">_xlfn.IFS(
H612=0,"No Rain",
H612&lt;10,"Light",
H612&lt;50,"Moderate",
TRUE,"Heavy")</f>
        <v>No Rain</v>
      </c>
      <c r="L612" s="1" t="str">
        <f>IF(Table1[[#This Row],[Precipitation_mm]]&lt;&gt;0,"Wet","Dry")</f>
        <v>Dry</v>
      </c>
      <c r="M612" t="b">
        <f>OR(ISBLANK(Table1[[#This Row],[Temperature_F]]),ISERROR(Table1[[#This Row],[Temperature_F]]))</f>
        <v>0</v>
      </c>
    </row>
    <row r="613" spans="1:13" hidden="1" x14ac:dyDescent="0.25">
      <c r="A613" s="1" t="s">
        <v>1</v>
      </c>
      <c r="B613" s="1" t="s">
        <v>2</v>
      </c>
      <c r="C613" s="1">
        <v>42.360599999999998</v>
      </c>
      <c r="D613" s="1">
        <v>-71.010599999999997</v>
      </c>
      <c r="E613" s="5">
        <v>40799</v>
      </c>
      <c r="F613" s="1" t="str">
        <f t="shared" si="9"/>
        <v>September</v>
      </c>
      <c r="G613" s="1">
        <v>55</v>
      </c>
      <c r="H613" s="1">
        <v>0</v>
      </c>
      <c r="I613" s="1" t="str">
        <f>IF(Table1[[#This Row],[Temperature_F]]&lt;32,"Yes","No")</f>
        <v>No</v>
      </c>
      <c r="J613" s="1" t="str" cm="1">
        <f t="array" ref="J6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3" s="1" t="str" cm="1">
        <f t="array" ref="K613">_xlfn.IFS(
H613=0,"No Rain",
H613&lt;10,"Light",
H613&lt;50,"Moderate",
TRUE,"Heavy")</f>
        <v>No Rain</v>
      </c>
      <c r="L613" s="1" t="str">
        <f>IF(Table1[[#This Row],[Precipitation_mm]]&lt;&gt;0,"Wet","Dry")</f>
        <v>Dry</v>
      </c>
      <c r="M613" t="b">
        <f>OR(ISBLANK(Table1[[#This Row],[Temperature_F]]),ISERROR(Table1[[#This Row],[Temperature_F]]))</f>
        <v>0</v>
      </c>
    </row>
    <row r="614" spans="1:13" hidden="1" x14ac:dyDescent="0.25">
      <c r="A614" s="1" t="s">
        <v>1</v>
      </c>
      <c r="B614" s="1" t="s">
        <v>2</v>
      </c>
      <c r="C614" s="1">
        <v>42.360599999999998</v>
      </c>
      <c r="D614" s="1">
        <v>-71.010599999999997</v>
      </c>
      <c r="E614" s="5">
        <v>40800</v>
      </c>
      <c r="F614" s="1" t="str">
        <f t="shared" si="9"/>
        <v>September</v>
      </c>
      <c r="G614" s="1">
        <v>58</v>
      </c>
      <c r="H614" s="1">
        <v>20</v>
      </c>
      <c r="I614" s="1" t="str">
        <f>IF(Table1[[#This Row],[Temperature_F]]&lt;32,"Yes","No")</f>
        <v>No</v>
      </c>
      <c r="J614" s="1" t="str" cm="1">
        <f t="array" ref="J6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4" s="1" t="str" cm="1">
        <f t="array" ref="K614">_xlfn.IFS(
H614=0,"No Rain",
H614&lt;10,"Light",
H614&lt;50,"Moderate",
TRUE,"Heavy")</f>
        <v>Moderate</v>
      </c>
      <c r="L614" s="1" t="str">
        <f>IF(Table1[[#This Row],[Precipitation_mm]]&lt;&gt;0,"Wet","Dry")</f>
        <v>Wet</v>
      </c>
      <c r="M614" t="b">
        <f>OR(ISBLANK(Table1[[#This Row],[Temperature_F]]),ISERROR(Table1[[#This Row],[Temperature_F]]))</f>
        <v>0</v>
      </c>
    </row>
    <row r="615" spans="1:13" hidden="1" x14ac:dyDescent="0.25">
      <c r="A615" s="1" t="s">
        <v>1</v>
      </c>
      <c r="B615" s="1" t="s">
        <v>2</v>
      </c>
      <c r="C615" s="1">
        <v>42.360599999999998</v>
      </c>
      <c r="D615" s="1">
        <v>-71.010599999999997</v>
      </c>
      <c r="E615" s="5">
        <v>40801</v>
      </c>
      <c r="F615" s="1" t="str">
        <f t="shared" si="9"/>
        <v>September</v>
      </c>
      <c r="G615" s="1">
        <v>57</v>
      </c>
      <c r="H615" s="1">
        <v>8</v>
      </c>
      <c r="I615" s="1" t="str">
        <f>IF(Table1[[#This Row],[Temperature_F]]&lt;32,"Yes","No")</f>
        <v>No</v>
      </c>
      <c r="J615" s="1" t="str" cm="1">
        <f t="array" ref="J6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5" s="1" t="str" cm="1">
        <f t="array" ref="K615">_xlfn.IFS(
H615=0,"No Rain",
H615&lt;10,"Light",
H615&lt;50,"Moderate",
TRUE,"Heavy")</f>
        <v>Light</v>
      </c>
      <c r="L615" s="1" t="str">
        <f>IF(Table1[[#This Row],[Precipitation_mm]]&lt;&gt;0,"Wet","Dry")</f>
        <v>Wet</v>
      </c>
      <c r="M615" t="b">
        <f>OR(ISBLANK(Table1[[#This Row],[Temperature_F]]),ISERROR(Table1[[#This Row],[Temperature_F]]))</f>
        <v>0</v>
      </c>
    </row>
    <row r="616" spans="1:13" hidden="1" x14ac:dyDescent="0.25">
      <c r="A616" s="1" t="s">
        <v>1</v>
      </c>
      <c r="B616" s="1" t="s">
        <v>2</v>
      </c>
      <c r="C616" s="1">
        <v>42.360599999999998</v>
      </c>
      <c r="D616" s="1">
        <v>-71.010599999999997</v>
      </c>
      <c r="E616" s="5">
        <v>40802</v>
      </c>
      <c r="F616" s="1" t="str">
        <f t="shared" si="9"/>
        <v>September</v>
      </c>
      <c r="G616" s="1">
        <v>59</v>
      </c>
      <c r="H616" s="1">
        <v>0</v>
      </c>
      <c r="I616" s="1" t="str">
        <f>IF(Table1[[#This Row],[Temperature_F]]&lt;32,"Yes","No")</f>
        <v>No</v>
      </c>
      <c r="J616" s="1" t="str" cm="1">
        <f t="array" ref="J6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6" s="1" t="str" cm="1">
        <f t="array" ref="K616">_xlfn.IFS(
H616=0,"No Rain",
H616&lt;10,"Light",
H616&lt;50,"Moderate",
TRUE,"Heavy")</f>
        <v>No Rain</v>
      </c>
      <c r="L616" s="1" t="str">
        <f>IF(Table1[[#This Row],[Precipitation_mm]]&lt;&gt;0,"Wet","Dry")</f>
        <v>Dry</v>
      </c>
      <c r="M616" t="b">
        <f>OR(ISBLANK(Table1[[#This Row],[Temperature_F]]),ISERROR(Table1[[#This Row],[Temperature_F]]))</f>
        <v>0</v>
      </c>
    </row>
    <row r="617" spans="1:13" hidden="1" x14ac:dyDescent="0.25">
      <c r="A617" s="1" t="s">
        <v>1</v>
      </c>
      <c r="B617" s="1" t="s">
        <v>2</v>
      </c>
      <c r="C617" s="1">
        <v>42.360599999999998</v>
      </c>
      <c r="D617" s="1">
        <v>-71.010599999999997</v>
      </c>
      <c r="E617" s="5">
        <v>40803</v>
      </c>
      <c r="F617" s="1" t="str">
        <f t="shared" si="9"/>
        <v>September</v>
      </c>
      <c r="G617" s="1">
        <v>55</v>
      </c>
      <c r="H617" s="1">
        <v>0</v>
      </c>
      <c r="I617" s="1" t="str">
        <f>IF(Table1[[#This Row],[Temperature_F]]&lt;32,"Yes","No")</f>
        <v>No</v>
      </c>
      <c r="J617" s="1" t="str" cm="1">
        <f t="array" ref="J6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7" s="1" t="str" cm="1">
        <f t="array" ref="K617">_xlfn.IFS(
H617=0,"No Rain",
H617&lt;10,"Light",
H617&lt;50,"Moderate",
TRUE,"Heavy")</f>
        <v>No Rain</v>
      </c>
      <c r="L617" s="1" t="str">
        <f>IF(Table1[[#This Row],[Precipitation_mm]]&lt;&gt;0,"Wet","Dry")</f>
        <v>Dry</v>
      </c>
      <c r="M617" t="b">
        <f>OR(ISBLANK(Table1[[#This Row],[Temperature_F]]),ISERROR(Table1[[#This Row],[Temperature_F]]))</f>
        <v>0</v>
      </c>
    </row>
    <row r="618" spans="1:13" hidden="1" x14ac:dyDescent="0.25">
      <c r="A618" s="1" t="s">
        <v>1</v>
      </c>
      <c r="B618" s="1" t="s">
        <v>2</v>
      </c>
      <c r="C618" s="1">
        <v>42.360599999999998</v>
      </c>
      <c r="D618" s="1">
        <v>-71.010599999999997</v>
      </c>
      <c r="E618" s="5">
        <v>40804</v>
      </c>
      <c r="F618" s="1" t="str">
        <f t="shared" si="9"/>
        <v>September</v>
      </c>
      <c r="G618" s="1">
        <v>51</v>
      </c>
      <c r="H618" s="1">
        <v>0</v>
      </c>
      <c r="I618" s="1" t="str">
        <f>IF(Table1[[#This Row],[Temperature_F]]&lt;32,"Yes","No")</f>
        <v>No</v>
      </c>
      <c r="J618" s="1" t="str" cm="1">
        <f t="array" ref="J6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8" s="1" t="str" cm="1">
        <f t="array" ref="K618">_xlfn.IFS(
H618=0,"No Rain",
H618&lt;10,"Light",
H618&lt;50,"Moderate",
TRUE,"Heavy")</f>
        <v>No Rain</v>
      </c>
      <c r="L618" s="1" t="str">
        <f>IF(Table1[[#This Row],[Precipitation_mm]]&lt;&gt;0,"Wet","Dry")</f>
        <v>Dry</v>
      </c>
      <c r="M618" t="b">
        <f>OR(ISBLANK(Table1[[#This Row],[Temperature_F]]),ISERROR(Table1[[#This Row],[Temperature_F]]))</f>
        <v>0</v>
      </c>
    </row>
    <row r="619" spans="1:13" hidden="1" x14ac:dyDescent="0.25">
      <c r="A619" s="1" t="s">
        <v>1</v>
      </c>
      <c r="B619" s="1" t="s">
        <v>2</v>
      </c>
      <c r="C619" s="1">
        <v>42.360599999999998</v>
      </c>
      <c r="D619" s="1">
        <v>-71.010599999999997</v>
      </c>
      <c r="E619" s="5">
        <v>40805</v>
      </c>
      <c r="F619" s="1" t="str">
        <f t="shared" si="9"/>
        <v>September</v>
      </c>
      <c r="G619" s="1">
        <v>68</v>
      </c>
      <c r="H619" s="1">
        <v>0</v>
      </c>
      <c r="I619" s="1" t="str">
        <f>IF(Table1[[#This Row],[Temperature_F]]&lt;32,"Yes","No")</f>
        <v>No</v>
      </c>
      <c r="J619" s="1" t="str" cm="1">
        <f t="array" ref="J6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19" s="1" t="str" cm="1">
        <f t="array" ref="K619">_xlfn.IFS(
H619=0,"No Rain",
H619&lt;10,"Light",
H619&lt;50,"Moderate",
TRUE,"Heavy")</f>
        <v>No Rain</v>
      </c>
      <c r="L619" s="1" t="str">
        <f>IF(Table1[[#This Row],[Precipitation_mm]]&lt;&gt;0,"Wet","Dry")</f>
        <v>Dry</v>
      </c>
      <c r="M619" t="b">
        <f>OR(ISBLANK(Table1[[#This Row],[Temperature_F]]),ISERROR(Table1[[#This Row],[Temperature_F]]))</f>
        <v>0</v>
      </c>
    </row>
    <row r="620" spans="1:13" x14ac:dyDescent="0.25">
      <c r="A620" s="1" t="s">
        <v>1</v>
      </c>
      <c r="B620" s="1" t="s">
        <v>2</v>
      </c>
      <c r="C620" s="1">
        <v>42.360599999999998</v>
      </c>
      <c r="D620" s="1">
        <v>-71.010599999999997</v>
      </c>
      <c r="E620" s="5">
        <v>40806</v>
      </c>
      <c r="F620" s="1" t="str">
        <f t="shared" si="9"/>
        <v>September</v>
      </c>
      <c r="G620" s="1">
        <v>46</v>
      </c>
      <c r="H620" s="1">
        <v>33</v>
      </c>
      <c r="I620" s="1" t="str">
        <f>IF(Table1[[#This Row],[Temperature_F]]&lt;32,"Yes","No")</f>
        <v>No</v>
      </c>
      <c r="J620" s="1" t="str" cm="1">
        <f t="array" ref="J6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20" s="1" t="str" cm="1">
        <f t="array" ref="K620">_xlfn.IFS(
H620=0,"No Rain",
H620&lt;10,"Light",
H620&lt;50,"Moderate",
TRUE,"Heavy")</f>
        <v>Moderate</v>
      </c>
      <c r="L620" s="1" t="str">
        <f>IF(Table1[[#This Row],[Precipitation_mm]]&lt;&gt;0,"Wet","Dry")</f>
        <v>Wet</v>
      </c>
      <c r="M620" t="b">
        <f>OR(ISBLANK(Table1[[#This Row],[Temperature_F]]),ISERROR(Table1[[#This Row],[Temperature_F]]))</f>
        <v>0</v>
      </c>
    </row>
    <row r="621" spans="1:13" x14ac:dyDescent="0.25">
      <c r="A621" s="1" t="s">
        <v>1</v>
      </c>
      <c r="B621" s="1" t="s">
        <v>2</v>
      </c>
      <c r="C621" s="1">
        <v>42.360599999999998</v>
      </c>
      <c r="D621" s="1">
        <v>-71.010599999999997</v>
      </c>
      <c r="E621" s="5">
        <v>40807</v>
      </c>
      <c r="F621" s="1" t="str">
        <f t="shared" si="9"/>
        <v>September</v>
      </c>
      <c r="G621" s="1">
        <v>47</v>
      </c>
      <c r="H621" s="1">
        <v>0</v>
      </c>
      <c r="I621" s="1" t="str">
        <f>IF(Table1[[#This Row],[Temperature_F]]&lt;32,"Yes","No")</f>
        <v>No</v>
      </c>
      <c r="J621" s="1" t="str" cm="1">
        <f t="array" ref="J6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21" s="1" t="str" cm="1">
        <f t="array" ref="K621">_xlfn.IFS(
H621=0,"No Rain",
H621&lt;10,"Light",
H621&lt;50,"Moderate",
TRUE,"Heavy")</f>
        <v>No Rain</v>
      </c>
      <c r="L621" s="1" t="str">
        <f>IF(Table1[[#This Row],[Precipitation_mm]]&lt;&gt;0,"Wet","Dry")</f>
        <v>Dry</v>
      </c>
      <c r="M621" t="b">
        <f>OR(ISBLANK(Table1[[#This Row],[Temperature_F]]),ISERROR(Table1[[#This Row],[Temperature_F]]))</f>
        <v>0</v>
      </c>
    </row>
    <row r="622" spans="1:13" hidden="1" x14ac:dyDescent="0.25">
      <c r="A622" s="1" t="s">
        <v>1</v>
      </c>
      <c r="B622" s="1" t="s">
        <v>2</v>
      </c>
      <c r="C622" s="1">
        <v>42.360599999999998</v>
      </c>
      <c r="D622" s="1">
        <v>-71.010599999999997</v>
      </c>
      <c r="E622" s="5">
        <v>40808</v>
      </c>
      <c r="F622" s="1" t="str">
        <f t="shared" si="9"/>
        <v>September</v>
      </c>
      <c r="G622" s="1">
        <v>61</v>
      </c>
      <c r="H622" s="1">
        <v>13</v>
      </c>
      <c r="I622" s="1" t="str">
        <f>IF(Table1[[#This Row],[Temperature_F]]&lt;32,"Yes","No")</f>
        <v>No</v>
      </c>
      <c r="J622" s="1" t="str" cm="1">
        <f t="array" ref="J6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2" s="1" t="str" cm="1">
        <f t="array" ref="K622">_xlfn.IFS(
H622=0,"No Rain",
H622&lt;10,"Light",
H622&lt;50,"Moderate",
TRUE,"Heavy")</f>
        <v>Moderate</v>
      </c>
      <c r="L622" s="1" t="str">
        <f>IF(Table1[[#This Row],[Precipitation_mm]]&lt;&gt;0,"Wet","Dry")</f>
        <v>Wet</v>
      </c>
      <c r="M622" t="b">
        <f>OR(ISBLANK(Table1[[#This Row],[Temperature_F]]),ISERROR(Table1[[#This Row],[Temperature_F]]))</f>
        <v>0</v>
      </c>
    </row>
    <row r="623" spans="1:13" hidden="1" x14ac:dyDescent="0.25">
      <c r="A623" s="1" t="s">
        <v>1</v>
      </c>
      <c r="B623" s="1" t="s">
        <v>2</v>
      </c>
      <c r="C623" s="1">
        <v>42.360599999999998</v>
      </c>
      <c r="D623" s="1">
        <v>-71.010599999999997</v>
      </c>
      <c r="E623" s="5">
        <v>40809</v>
      </c>
      <c r="F623" s="1" t="str">
        <f t="shared" si="9"/>
        <v>September</v>
      </c>
      <c r="G623" s="1">
        <v>64</v>
      </c>
      <c r="H623" s="1">
        <v>119</v>
      </c>
      <c r="I623" s="1" t="str">
        <f>IF(Table1[[#This Row],[Temperature_F]]&lt;32,"Yes","No")</f>
        <v>No</v>
      </c>
      <c r="J623" s="1" t="str" cm="1">
        <f t="array" ref="J6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3" s="1" t="str" cm="1">
        <f t="array" ref="K623">_xlfn.IFS(
H623=0,"No Rain",
H623&lt;10,"Light",
H623&lt;50,"Moderate",
TRUE,"Heavy")</f>
        <v>Heavy</v>
      </c>
      <c r="L623" s="1" t="str">
        <f>IF(Table1[[#This Row],[Precipitation_mm]]&lt;&gt;0,"Wet","Dry")</f>
        <v>Wet</v>
      </c>
      <c r="M623" t="b">
        <f>OR(ISBLANK(Table1[[#This Row],[Temperature_F]]),ISERROR(Table1[[#This Row],[Temperature_F]]))</f>
        <v>0</v>
      </c>
    </row>
    <row r="624" spans="1:13" hidden="1" x14ac:dyDescent="0.25">
      <c r="A624" s="1" t="s">
        <v>1</v>
      </c>
      <c r="B624" s="1" t="s">
        <v>2</v>
      </c>
      <c r="C624" s="1">
        <v>42.360599999999998</v>
      </c>
      <c r="D624" s="1">
        <v>-71.010599999999997</v>
      </c>
      <c r="E624" s="5">
        <v>40810</v>
      </c>
      <c r="F624" s="1" t="str">
        <f t="shared" si="9"/>
        <v>September</v>
      </c>
      <c r="G624" s="1">
        <v>53</v>
      </c>
      <c r="H624" s="1">
        <v>109</v>
      </c>
      <c r="I624" s="1" t="str">
        <f>IF(Table1[[#This Row],[Temperature_F]]&lt;32,"Yes","No")</f>
        <v>No</v>
      </c>
      <c r="J624" s="1" t="str" cm="1">
        <f t="array" ref="J6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4" s="1" t="str" cm="1">
        <f t="array" ref="K624">_xlfn.IFS(
H624=0,"No Rain",
H624&lt;10,"Light",
H624&lt;50,"Moderate",
TRUE,"Heavy")</f>
        <v>Heavy</v>
      </c>
      <c r="L624" s="1" t="str">
        <f>IF(Table1[[#This Row],[Precipitation_mm]]&lt;&gt;0,"Wet","Dry")</f>
        <v>Wet</v>
      </c>
      <c r="M624" t="b">
        <f>OR(ISBLANK(Table1[[#This Row],[Temperature_F]]),ISERROR(Table1[[#This Row],[Temperature_F]]))</f>
        <v>0</v>
      </c>
    </row>
    <row r="625" spans="1:13" x14ac:dyDescent="0.25">
      <c r="A625" s="1" t="s">
        <v>1</v>
      </c>
      <c r="B625" s="1" t="s">
        <v>2</v>
      </c>
      <c r="C625" s="1">
        <v>42.360599999999998</v>
      </c>
      <c r="D625" s="1">
        <v>-71.010599999999997</v>
      </c>
      <c r="E625" s="5">
        <v>40811</v>
      </c>
      <c r="F625" s="1" t="str">
        <f t="shared" si="9"/>
        <v>September</v>
      </c>
      <c r="G625" s="1">
        <v>50</v>
      </c>
      <c r="H625" s="1">
        <v>0</v>
      </c>
      <c r="I625" s="1" t="str">
        <f>IF(Table1[[#This Row],[Temperature_F]]&lt;32,"Yes","No")</f>
        <v>No</v>
      </c>
      <c r="J625" s="1" t="str" cm="1">
        <f t="array" ref="J6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25" s="1" t="str" cm="1">
        <f t="array" ref="K625">_xlfn.IFS(
H625=0,"No Rain",
H625&lt;10,"Light",
H625&lt;50,"Moderate",
TRUE,"Heavy")</f>
        <v>No Rain</v>
      </c>
      <c r="L625" s="1" t="str">
        <f>IF(Table1[[#This Row],[Precipitation_mm]]&lt;&gt;0,"Wet","Dry")</f>
        <v>Dry</v>
      </c>
      <c r="M625" t="b">
        <f>OR(ISBLANK(Table1[[#This Row],[Temperature_F]]),ISERROR(Table1[[#This Row],[Temperature_F]]))</f>
        <v>0</v>
      </c>
    </row>
    <row r="626" spans="1:13" hidden="1" x14ac:dyDescent="0.25">
      <c r="A626" s="1" t="s">
        <v>1</v>
      </c>
      <c r="B626" s="1" t="s">
        <v>2</v>
      </c>
      <c r="C626" s="1">
        <v>42.360599999999998</v>
      </c>
      <c r="D626" s="1">
        <v>-71.010599999999997</v>
      </c>
      <c r="E626" s="5">
        <v>40812</v>
      </c>
      <c r="F626" s="1" t="str">
        <f t="shared" si="9"/>
        <v>September</v>
      </c>
      <c r="G626" s="1">
        <v>58</v>
      </c>
      <c r="H626" s="1">
        <v>0</v>
      </c>
      <c r="I626" s="1" t="str">
        <f>IF(Table1[[#This Row],[Temperature_F]]&lt;32,"Yes","No")</f>
        <v>No</v>
      </c>
      <c r="J626" s="1" t="str" cm="1">
        <f t="array" ref="J6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6" s="1" t="str" cm="1">
        <f t="array" ref="K626">_xlfn.IFS(
H626=0,"No Rain",
H626&lt;10,"Light",
H626&lt;50,"Moderate",
TRUE,"Heavy")</f>
        <v>No Rain</v>
      </c>
      <c r="L626" s="1" t="str">
        <f>IF(Table1[[#This Row],[Precipitation_mm]]&lt;&gt;0,"Wet","Dry")</f>
        <v>Dry</v>
      </c>
      <c r="M626" t="b">
        <f>OR(ISBLANK(Table1[[#This Row],[Temperature_F]]),ISERROR(Table1[[#This Row],[Temperature_F]]))</f>
        <v>0</v>
      </c>
    </row>
    <row r="627" spans="1:13" hidden="1" x14ac:dyDescent="0.25">
      <c r="A627" s="1" t="s">
        <v>1</v>
      </c>
      <c r="B627" s="1" t="s">
        <v>2</v>
      </c>
      <c r="C627" s="1">
        <v>42.360599999999998</v>
      </c>
      <c r="D627" s="1">
        <v>-71.010599999999997</v>
      </c>
      <c r="E627" s="5">
        <v>40813</v>
      </c>
      <c r="F627" s="1" t="str">
        <f t="shared" si="9"/>
        <v>September</v>
      </c>
      <c r="G627" s="1">
        <v>65</v>
      </c>
      <c r="H627" s="1">
        <v>0</v>
      </c>
      <c r="I627" s="1" t="str">
        <f>IF(Table1[[#This Row],[Temperature_F]]&lt;32,"Yes","No")</f>
        <v>No</v>
      </c>
      <c r="J627" s="1" t="str" cm="1">
        <f t="array" ref="J6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7" s="1" t="str" cm="1">
        <f t="array" ref="K627">_xlfn.IFS(
H627=0,"No Rain",
H627&lt;10,"Light",
H627&lt;50,"Moderate",
TRUE,"Heavy")</f>
        <v>No Rain</v>
      </c>
      <c r="L627" s="1" t="str">
        <f>IF(Table1[[#This Row],[Precipitation_mm]]&lt;&gt;0,"Wet","Dry")</f>
        <v>Dry</v>
      </c>
      <c r="M627" t="b">
        <f>OR(ISBLANK(Table1[[#This Row],[Temperature_F]]),ISERROR(Table1[[#This Row],[Temperature_F]]))</f>
        <v>0</v>
      </c>
    </row>
    <row r="628" spans="1:13" hidden="1" x14ac:dyDescent="0.25">
      <c r="A628" s="1" t="s">
        <v>1</v>
      </c>
      <c r="B628" s="1" t="s">
        <v>2</v>
      </c>
      <c r="C628" s="1">
        <v>42.360599999999998</v>
      </c>
      <c r="D628" s="1">
        <v>-71.010599999999997</v>
      </c>
      <c r="E628" s="5">
        <v>40814</v>
      </c>
      <c r="F628" s="1" t="str">
        <f t="shared" si="9"/>
        <v>September</v>
      </c>
      <c r="G628" s="1">
        <v>54</v>
      </c>
      <c r="H628" s="1">
        <v>0</v>
      </c>
      <c r="I628" s="1" t="str">
        <f>IF(Table1[[#This Row],[Temperature_F]]&lt;32,"Yes","No")</f>
        <v>No</v>
      </c>
      <c r="J628" s="1" t="str" cm="1">
        <f t="array" ref="J6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8" s="1" t="str" cm="1">
        <f t="array" ref="K628">_xlfn.IFS(
H628=0,"No Rain",
H628&lt;10,"Light",
H628&lt;50,"Moderate",
TRUE,"Heavy")</f>
        <v>No Rain</v>
      </c>
      <c r="L628" s="1" t="str">
        <f>IF(Table1[[#This Row],[Precipitation_mm]]&lt;&gt;0,"Wet","Dry")</f>
        <v>Dry</v>
      </c>
      <c r="M628" t="b">
        <f>OR(ISBLANK(Table1[[#This Row],[Temperature_F]]),ISERROR(Table1[[#This Row],[Temperature_F]]))</f>
        <v>0</v>
      </c>
    </row>
    <row r="629" spans="1:13" hidden="1" x14ac:dyDescent="0.25">
      <c r="A629" s="1" t="s">
        <v>1</v>
      </c>
      <c r="B629" s="1" t="s">
        <v>2</v>
      </c>
      <c r="C629" s="1">
        <v>42.360599999999998</v>
      </c>
      <c r="D629" s="1">
        <v>-71.010599999999997</v>
      </c>
      <c r="E629" s="5">
        <v>40815</v>
      </c>
      <c r="F629" s="1" t="str">
        <f t="shared" si="9"/>
        <v>September</v>
      </c>
      <c r="G629" s="1">
        <v>65</v>
      </c>
      <c r="H629" s="1">
        <v>239</v>
      </c>
      <c r="I629" s="1" t="str">
        <f>IF(Table1[[#This Row],[Temperature_F]]&lt;32,"Yes","No")</f>
        <v>No</v>
      </c>
      <c r="J629" s="1" t="str" cm="1">
        <f t="array" ref="J6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29" s="1" t="str" cm="1">
        <f t="array" ref="K629">_xlfn.IFS(
H629=0,"No Rain",
H629&lt;10,"Light",
H629&lt;50,"Moderate",
TRUE,"Heavy")</f>
        <v>Heavy</v>
      </c>
      <c r="L629" s="1" t="str">
        <f>IF(Table1[[#This Row],[Precipitation_mm]]&lt;&gt;0,"Wet","Dry")</f>
        <v>Wet</v>
      </c>
      <c r="M629" t="b">
        <f>OR(ISBLANK(Table1[[#This Row],[Temperature_F]]),ISERROR(Table1[[#This Row],[Temperature_F]]))</f>
        <v>0</v>
      </c>
    </row>
    <row r="630" spans="1:13" x14ac:dyDescent="0.25">
      <c r="A630" s="1" t="s">
        <v>1</v>
      </c>
      <c r="B630" s="1" t="s">
        <v>2</v>
      </c>
      <c r="C630" s="1">
        <v>42.360599999999998</v>
      </c>
      <c r="D630" s="1">
        <v>-71.010599999999997</v>
      </c>
      <c r="E630" s="5">
        <v>40816</v>
      </c>
      <c r="F630" s="1" t="str">
        <f t="shared" si="9"/>
        <v>September</v>
      </c>
      <c r="G630" s="1">
        <v>45</v>
      </c>
      <c r="H630" s="1">
        <v>30</v>
      </c>
      <c r="I630" s="1" t="str">
        <f>IF(Table1[[#This Row],[Temperature_F]]&lt;32,"Yes","No")</f>
        <v>No</v>
      </c>
      <c r="J630" s="1" t="str" cm="1">
        <f t="array" ref="J6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30" s="1" t="str" cm="1">
        <f t="array" ref="K630">_xlfn.IFS(
H630=0,"No Rain",
H630&lt;10,"Light",
H630&lt;50,"Moderate",
TRUE,"Heavy")</f>
        <v>Moderate</v>
      </c>
      <c r="L630" s="1" t="str">
        <f>IF(Table1[[#This Row],[Precipitation_mm]]&lt;&gt;0,"Wet","Dry")</f>
        <v>Wet</v>
      </c>
      <c r="M630" t="b">
        <f>OR(ISBLANK(Table1[[#This Row],[Temperature_F]]),ISERROR(Table1[[#This Row],[Temperature_F]]))</f>
        <v>0</v>
      </c>
    </row>
    <row r="631" spans="1:13" hidden="1" x14ac:dyDescent="0.25">
      <c r="A631" s="1" t="s">
        <v>1</v>
      </c>
      <c r="B631" s="1" t="s">
        <v>2</v>
      </c>
      <c r="C631" s="1">
        <v>42.360599999999998</v>
      </c>
      <c r="D631" s="1">
        <v>-71.010599999999997</v>
      </c>
      <c r="E631" s="5">
        <v>40817</v>
      </c>
      <c r="F631" s="1" t="str">
        <f t="shared" si="9"/>
        <v>October</v>
      </c>
      <c r="G631" s="1">
        <v>67</v>
      </c>
      <c r="H631" s="1">
        <v>86</v>
      </c>
      <c r="I631" s="1" t="str">
        <f>IF(Table1[[#This Row],[Temperature_F]]&lt;32,"Yes","No")</f>
        <v>No</v>
      </c>
      <c r="J631" s="1" t="str" cm="1">
        <f t="array" ref="J6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1" s="1" t="str" cm="1">
        <f t="array" ref="K631">_xlfn.IFS(
H631=0,"No Rain",
H631&lt;10,"Light",
H631&lt;50,"Moderate",
TRUE,"Heavy")</f>
        <v>Heavy</v>
      </c>
      <c r="L631" s="1" t="str">
        <f>IF(Table1[[#This Row],[Precipitation_mm]]&lt;&gt;0,"Wet","Dry")</f>
        <v>Wet</v>
      </c>
      <c r="M631" t="b">
        <f>OR(ISBLANK(Table1[[#This Row],[Temperature_F]]),ISERROR(Table1[[#This Row],[Temperature_F]]))</f>
        <v>0</v>
      </c>
    </row>
    <row r="632" spans="1:13" hidden="1" x14ac:dyDescent="0.25">
      <c r="A632" s="1" t="s">
        <v>1</v>
      </c>
      <c r="B632" s="1" t="s">
        <v>2</v>
      </c>
      <c r="C632" s="1">
        <v>42.360599999999998</v>
      </c>
      <c r="D632" s="1">
        <v>-71.010599999999997</v>
      </c>
      <c r="E632" s="5">
        <v>40818</v>
      </c>
      <c r="F632" s="1" t="str">
        <f t="shared" si="9"/>
        <v>October</v>
      </c>
      <c r="G632" s="1">
        <v>59</v>
      </c>
      <c r="H632" s="1">
        <v>0</v>
      </c>
      <c r="I632" s="1" t="str">
        <f>IF(Table1[[#This Row],[Temperature_F]]&lt;32,"Yes","No")</f>
        <v>No</v>
      </c>
      <c r="J632" s="1" t="str" cm="1">
        <f t="array" ref="J6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2" s="1" t="str" cm="1">
        <f t="array" ref="K632">_xlfn.IFS(
H632=0,"No Rain",
H632&lt;10,"Light",
H632&lt;50,"Moderate",
TRUE,"Heavy")</f>
        <v>No Rain</v>
      </c>
      <c r="L632" s="1" t="str">
        <f>IF(Table1[[#This Row],[Precipitation_mm]]&lt;&gt;0,"Wet","Dry")</f>
        <v>Dry</v>
      </c>
      <c r="M632" t="b">
        <f>OR(ISBLANK(Table1[[#This Row],[Temperature_F]]),ISERROR(Table1[[#This Row],[Temperature_F]]))</f>
        <v>0</v>
      </c>
    </row>
    <row r="633" spans="1:13" hidden="1" x14ac:dyDescent="0.25">
      <c r="A633" s="1" t="s">
        <v>1</v>
      </c>
      <c r="B633" s="1" t="s">
        <v>2</v>
      </c>
      <c r="C633" s="1">
        <v>42.360599999999998</v>
      </c>
      <c r="D633" s="1">
        <v>-71.010599999999997</v>
      </c>
      <c r="E633" s="5">
        <v>40819</v>
      </c>
      <c r="F633" s="1" t="str">
        <f t="shared" si="9"/>
        <v>October</v>
      </c>
      <c r="G633" s="1">
        <v>52</v>
      </c>
      <c r="H633" s="1">
        <v>18</v>
      </c>
      <c r="I633" s="1" t="str">
        <f>IF(Table1[[#This Row],[Temperature_F]]&lt;32,"Yes","No")</f>
        <v>No</v>
      </c>
      <c r="J633" s="1" t="str" cm="1">
        <f t="array" ref="J6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3" s="1" t="str" cm="1">
        <f t="array" ref="K633">_xlfn.IFS(
H633=0,"No Rain",
H633&lt;10,"Light",
H633&lt;50,"Moderate",
TRUE,"Heavy")</f>
        <v>Moderate</v>
      </c>
      <c r="L633" s="1" t="str">
        <f>IF(Table1[[#This Row],[Precipitation_mm]]&lt;&gt;0,"Wet","Dry")</f>
        <v>Wet</v>
      </c>
      <c r="M633" t="b">
        <f>OR(ISBLANK(Table1[[#This Row],[Temperature_F]]),ISERROR(Table1[[#This Row],[Temperature_F]]))</f>
        <v>0</v>
      </c>
    </row>
    <row r="634" spans="1:13" hidden="1" x14ac:dyDescent="0.25">
      <c r="A634" s="1" t="s">
        <v>1</v>
      </c>
      <c r="B634" s="1" t="s">
        <v>2</v>
      </c>
      <c r="C634" s="1">
        <v>42.360599999999998</v>
      </c>
      <c r="D634" s="1">
        <v>-71.010599999999997</v>
      </c>
      <c r="E634" s="5">
        <v>40820</v>
      </c>
      <c r="F634" s="1" t="str">
        <f t="shared" ref="F634:F697" si="10">TEXT(E634,"mmmm")</f>
        <v>October</v>
      </c>
      <c r="G634" s="1">
        <v>64</v>
      </c>
      <c r="H634" s="1">
        <v>284</v>
      </c>
      <c r="I634" s="1" t="str">
        <f>IF(Table1[[#This Row],[Temperature_F]]&lt;32,"Yes","No")</f>
        <v>No</v>
      </c>
      <c r="J634" s="1" t="str" cm="1">
        <f t="array" ref="J6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4" s="1" t="str" cm="1">
        <f t="array" ref="K634">_xlfn.IFS(
H634=0,"No Rain",
H634&lt;10,"Light",
H634&lt;50,"Moderate",
TRUE,"Heavy")</f>
        <v>Heavy</v>
      </c>
      <c r="L634" s="1" t="str">
        <f>IF(Table1[[#This Row],[Precipitation_mm]]&lt;&gt;0,"Wet","Dry")</f>
        <v>Wet</v>
      </c>
      <c r="M634" t="b">
        <f>OR(ISBLANK(Table1[[#This Row],[Temperature_F]]),ISERROR(Table1[[#This Row],[Temperature_F]]))</f>
        <v>0</v>
      </c>
    </row>
    <row r="635" spans="1:13" hidden="1" x14ac:dyDescent="0.25">
      <c r="A635" s="1" t="s">
        <v>1</v>
      </c>
      <c r="B635" s="1" t="s">
        <v>2</v>
      </c>
      <c r="C635" s="1">
        <v>42.360599999999998</v>
      </c>
      <c r="D635" s="1">
        <v>-71.010599999999997</v>
      </c>
      <c r="E635" s="5">
        <v>40821</v>
      </c>
      <c r="F635" s="1" t="str">
        <f t="shared" si="10"/>
        <v>October</v>
      </c>
      <c r="G635" s="1">
        <v>63</v>
      </c>
      <c r="H635" s="1">
        <v>0</v>
      </c>
      <c r="I635" s="1" t="str">
        <f>IF(Table1[[#This Row],[Temperature_F]]&lt;32,"Yes","No")</f>
        <v>No</v>
      </c>
      <c r="J635" s="1" t="str" cm="1">
        <f t="array" ref="J6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5" s="1" t="str" cm="1">
        <f t="array" ref="K635">_xlfn.IFS(
H635=0,"No Rain",
H635&lt;10,"Light",
H635&lt;50,"Moderate",
TRUE,"Heavy")</f>
        <v>No Rain</v>
      </c>
      <c r="L635" s="1" t="str">
        <f>IF(Table1[[#This Row],[Precipitation_mm]]&lt;&gt;0,"Wet","Dry")</f>
        <v>Dry</v>
      </c>
      <c r="M635" t="b">
        <f>OR(ISBLANK(Table1[[#This Row],[Temperature_F]]),ISERROR(Table1[[#This Row],[Temperature_F]]))</f>
        <v>0</v>
      </c>
    </row>
    <row r="636" spans="1:13" hidden="1" x14ac:dyDescent="0.25">
      <c r="A636" s="1" t="s">
        <v>1</v>
      </c>
      <c r="B636" s="1" t="s">
        <v>2</v>
      </c>
      <c r="C636" s="1">
        <v>42.360599999999998</v>
      </c>
      <c r="D636" s="1">
        <v>-71.010599999999997</v>
      </c>
      <c r="E636" s="5">
        <v>40822</v>
      </c>
      <c r="F636" s="1" t="str">
        <f t="shared" si="10"/>
        <v>October</v>
      </c>
      <c r="G636" s="1">
        <v>62</v>
      </c>
      <c r="H636" s="1">
        <v>0</v>
      </c>
      <c r="I636" s="1" t="str">
        <f>IF(Table1[[#This Row],[Temperature_F]]&lt;32,"Yes","No")</f>
        <v>No</v>
      </c>
      <c r="J636" s="1" t="str" cm="1">
        <f t="array" ref="J6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6" s="1" t="str" cm="1">
        <f t="array" ref="K636">_xlfn.IFS(
H636=0,"No Rain",
H636&lt;10,"Light",
H636&lt;50,"Moderate",
TRUE,"Heavy")</f>
        <v>No Rain</v>
      </c>
      <c r="L636" s="1" t="str">
        <f>IF(Table1[[#This Row],[Precipitation_mm]]&lt;&gt;0,"Wet","Dry")</f>
        <v>Dry</v>
      </c>
      <c r="M636" t="b">
        <f>OR(ISBLANK(Table1[[#This Row],[Temperature_F]]),ISERROR(Table1[[#This Row],[Temperature_F]]))</f>
        <v>0</v>
      </c>
    </row>
    <row r="637" spans="1:13" hidden="1" x14ac:dyDescent="0.25">
      <c r="A637" s="1" t="s">
        <v>1</v>
      </c>
      <c r="B637" s="1" t="s">
        <v>2</v>
      </c>
      <c r="C637" s="1">
        <v>42.360599999999998</v>
      </c>
      <c r="D637" s="1">
        <v>-71.010599999999997</v>
      </c>
      <c r="E637" s="5">
        <v>40823</v>
      </c>
      <c r="F637" s="1" t="str">
        <f t="shared" si="10"/>
        <v>October</v>
      </c>
      <c r="G637" s="1">
        <v>54</v>
      </c>
      <c r="H637" s="1">
        <v>0</v>
      </c>
      <c r="I637" s="1" t="str">
        <f>IF(Table1[[#This Row],[Temperature_F]]&lt;32,"Yes","No")</f>
        <v>No</v>
      </c>
      <c r="J637" s="1" t="str" cm="1">
        <f t="array" ref="J6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7" s="1" t="str" cm="1">
        <f t="array" ref="K637">_xlfn.IFS(
H637=0,"No Rain",
H637&lt;10,"Light",
H637&lt;50,"Moderate",
TRUE,"Heavy")</f>
        <v>No Rain</v>
      </c>
      <c r="L637" s="1" t="str">
        <f>IF(Table1[[#This Row],[Precipitation_mm]]&lt;&gt;0,"Wet","Dry")</f>
        <v>Dry</v>
      </c>
      <c r="M637" t="b">
        <f>OR(ISBLANK(Table1[[#This Row],[Temperature_F]]),ISERROR(Table1[[#This Row],[Temperature_F]]))</f>
        <v>0</v>
      </c>
    </row>
    <row r="638" spans="1:13" x14ac:dyDescent="0.25">
      <c r="A638" s="1" t="s">
        <v>1</v>
      </c>
      <c r="B638" s="1" t="s">
        <v>2</v>
      </c>
      <c r="C638" s="1">
        <v>42.360599999999998</v>
      </c>
      <c r="D638" s="1">
        <v>-71.010599999999997</v>
      </c>
      <c r="E638" s="5">
        <v>40824</v>
      </c>
      <c r="F638" s="1" t="str">
        <f t="shared" si="10"/>
        <v>October</v>
      </c>
      <c r="G638" s="1">
        <v>49</v>
      </c>
      <c r="H638" s="1">
        <v>0</v>
      </c>
      <c r="I638" s="1" t="str">
        <f>IF(Table1[[#This Row],[Temperature_F]]&lt;32,"Yes","No")</f>
        <v>No</v>
      </c>
      <c r="J638" s="1" t="str" cm="1">
        <f t="array" ref="J6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38" s="1" t="str" cm="1">
        <f t="array" ref="K638">_xlfn.IFS(
H638=0,"No Rain",
H638&lt;10,"Light",
H638&lt;50,"Moderate",
TRUE,"Heavy")</f>
        <v>No Rain</v>
      </c>
      <c r="L638" s="1" t="str">
        <f>IF(Table1[[#This Row],[Precipitation_mm]]&lt;&gt;0,"Wet","Dry")</f>
        <v>Dry</v>
      </c>
      <c r="M638" t="b">
        <f>OR(ISBLANK(Table1[[#This Row],[Temperature_F]]),ISERROR(Table1[[#This Row],[Temperature_F]]))</f>
        <v>0</v>
      </c>
    </row>
    <row r="639" spans="1:13" hidden="1" x14ac:dyDescent="0.25">
      <c r="A639" s="1" t="s">
        <v>1</v>
      </c>
      <c r="B639" s="1" t="s">
        <v>2</v>
      </c>
      <c r="C639" s="1">
        <v>42.360599999999998</v>
      </c>
      <c r="D639" s="1">
        <v>-71.010599999999997</v>
      </c>
      <c r="E639" s="5">
        <v>40825</v>
      </c>
      <c r="F639" s="1" t="str">
        <f t="shared" si="10"/>
        <v>October</v>
      </c>
      <c r="G639" s="1">
        <v>64</v>
      </c>
      <c r="H639" s="1">
        <v>0</v>
      </c>
      <c r="I639" s="1" t="str">
        <f>IF(Table1[[#This Row],[Temperature_F]]&lt;32,"Yes","No")</f>
        <v>No</v>
      </c>
      <c r="J639" s="1" t="str" cm="1">
        <f t="array" ref="J6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39" s="1" t="str" cm="1">
        <f t="array" ref="K639">_xlfn.IFS(
H639=0,"No Rain",
H639&lt;10,"Light",
H639&lt;50,"Moderate",
TRUE,"Heavy")</f>
        <v>No Rain</v>
      </c>
      <c r="L639" s="1" t="str">
        <f>IF(Table1[[#This Row],[Precipitation_mm]]&lt;&gt;0,"Wet","Dry")</f>
        <v>Dry</v>
      </c>
      <c r="M639" t="b">
        <f>OR(ISBLANK(Table1[[#This Row],[Temperature_F]]),ISERROR(Table1[[#This Row],[Temperature_F]]))</f>
        <v>0</v>
      </c>
    </row>
    <row r="640" spans="1:13" hidden="1" x14ac:dyDescent="0.25">
      <c r="A640" s="1" t="s">
        <v>1</v>
      </c>
      <c r="B640" s="1" t="s">
        <v>2</v>
      </c>
      <c r="C640" s="1">
        <v>42.360599999999998</v>
      </c>
      <c r="D640" s="1">
        <v>-71.010599999999997</v>
      </c>
      <c r="E640" s="5">
        <v>40826</v>
      </c>
      <c r="F640" s="1" t="str">
        <f t="shared" si="10"/>
        <v>October</v>
      </c>
      <c r="G640" s="1">
        <v>52</v>
      </c>
      <c r="H640" s="1">
        <v>0</v>
      </c>
      <c r="I640" s="1" t="str">
        <f>IF(Table1[[#This Row],[Temperature_F]]&lt;32,"Yes","No")</f>
        <v>No</v>
      </c>
      <c r="J640" s="1" t="str" cm="1">
        <f t="array" ref="J6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40" s="1" t="str" cm="1">
        <f t="array" ref="K640">_xlfn.IFS(
H640=0,"No Rain",
H640&lt;10,"Light",
H640&lt;50,"Moderate",
TRUE,"Heavy")</f>
        <v>No Rain</v>
      </c>
      <c r="L640" s="1" t="str">
        <f>IF(Table1[[#This Row],[Precipitation_mm]]&lt;&gt;0,"Wet","Dry")</f>
        <v>Dry</v>
      </c>
      <c r="M640" t="b">
        <f>OR(ISBLANK(Table1[[#This Row],[Temperature_F]]),ISERROR(Table1[[#This Row],[Temperature_F]]))</f>
        <v>0</v>
      </c>
    </row>
    <row r="641" spans="1:13" x14ac:dyDescent="0.25">
      <c r="A641" s="1" t="s">
        <v>1</v>
      </c>
      <c r="B641" s="1" t="s">
        <v>2</v>
      </c>
      <c r="C641" s="1">
        <v>42.360599999999998</v>
      </c>
      <c r="D641" s="1">
        <v>-71.010599999999997</v>
      </c>
      <c r="E641" s="5">
        <v>40827</v>
      </c>
      <c r="F641" s="1" t="str">
        <f t="shared" si="10"/>
        <v>October</v>
      </c>
      <c r="G641" s="1">
        <v>48</v>
      </c>
      <c r="H641" s="1">
        <v>0</v>
      </c>
      <c r="I641" s="1" t="str">
        <f>IF(Table1[[#This Row],[Temperature_F]]&lt;32,"Yes","No")</f>
        <v>No</v>
      </c>
      <c r="J641" s="1" t="str" cm="1">
        <f t="array" ref="J6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41" s="1" t="str" cm="1">
        <f t="array" ref="K641">_xlfn.IFS(
H641=0,"No Rain",
H641&lt;10,"Light",
H641&lt;50,"Moderate",
TRUE,"Heavy")</f>
        <v>No Rain</v>
      </c>
      <c r="L641" s="1" t="str">
        <f>IF(Table1[[#This Row],[Precipitation_mm]]&lt;&gt;0,"Wet","Dry")</f>
        <v>Dry</v>
      </c>
      <c r="M641" t="b">
        <f>OR(ISBLANK(Table1[[#This Row],[Temperature_F]]),ISERROR(Table1[[#This Row],[Temperature_F]]))</f>
        <v>0</v>
      </c>
    </row>
    <row r="642" spans="1:13" hidden="1" x14ac:dyDescent="0.25">
      <c r="A642" s="1" t="s">
        <v>1</v>
      </c>
      <c r="B642" s="1" t="s">
        <v>2</v>
      </c>
      <c r="C642" s="1">
        <v>42.360599999999998</v>
      </c>
      <c r="D642" s="1">
        <v>-71.010599999999997</v>
      </c>
      <c r="E642" s="5">
        <v>40828</v>
      </c>
      <c r="F642" s="1" t="str">
        <f t="shared" si="10"/>
        <v>October</v>
      </c>
      <c r="G642" s="1">
        <v>52</v>
      </c>
      <c r="H642" s="1">
        <v>20</v>
      </c>
      <c r="I642" s="1" t="str">
        <f>IF(Table1[[#This Row],[Temperature_F]]&lt;32,"Yes","No")</f>
        <v>No</v>
      </c>
      <c r="J642" s="1" t="str" cm="1">
        <f t="array" ref="J6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42" s="1" t="str" cm="1">
        <f t="array" ref="K642">_xlfn.IFS(
H642=0,"No Rain",
H642&lt;10,"Light",
H642&lt;50,"Moderate",
TRUE,"Heavy")</f>
        <v>Moderate</v>
      </c>
      <c r="L642" s="1" t="str">
        <f>IF(Table1[[#This Row],[Precipitation_mm]]&lt;&gt;0,"Wet","Dry")</f>
        <v>Wet</v>
      </c>
      <c r="M642" t="b">
        <f>OR(ISBLANK(Table1[[#This Row],[Temperature_F]]),ISERROR(Table1[[#This Row],[Temperature_F]]))</f>
        <v>0</v>
      </c>
    </row>
    <row r="643" spans="1:13" hidden="1" x14ac:dyDescent="0.25">
      <c r="A643" s="1" t="s">
        <v>1</v>
      </c>
      <c r="B643" s="1" t="s">
        <v>2</v>
      </c>
      <c r="C643" s="1">
        <v>42.360599999999998</v>
      </c>
      <c r="D643" s="1">
        <v>-71.010599999999997</v>
      </c>
      <c r="E643" s="5">
        <v>40829</v>
      </c>
      <c r="F643" s="1" t="str">
        <f t="shared" si="10"/>
        <v>October</v>
      </c>
      <c r="G643" s="1">
        <v>56</v>
      </c>
      <c r="H643" s="1">
        <v>236</v>
      </c>
      <c r="I643" s="1" t="str">
        <f>IF(Table1[[#This Row],[Temperature_F]]&lt;32,"Yes","No")</f>
        <v>No</v>
      </c>
      <c r="J643" s="1" t="str" cm="1">
        <f t="array" ref="J6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43" s="1" t="str" cm="1">
        <f t="array" ref="K643">_xlfn.IFS(
H643=0,"No Rain",
H643&lt;10,"Light",
H643&lt;50,"Moderate",
TRUE,"Heavy")</f>
        <v>Heavy</v>
      </c>
      <c r="L643" s="1" t="str">
        <f>IF(Table1[[#This Row],[Precipitation_mm]]&lt;&gt;0,"Wet","Dry")</f>
        <v>Wet</v>
      </c>
      <c r="M643" t="b">
        <f>OR(ISBLANK(Table1[[#This Row],[Temperature_F]]),ISERROR(Table1[[#This Row],[Temperature_F]]))</f>
        <v>0</v>
      </c>
    </row>
    <row r="644" spans="1:13" hidden="1" x14ac:dyDescent="0.25">
      <c r="A644" s="1" t="s">
        <v>1</v>
      </c>
      <c r="B644" s="1" t="s">
        <v>2</v>
      </c>
      <c r="C644" s="1">
        <v>42.360599999999998</v>
      </c>
      <c r="D644" s="1">
        <v>-71.010599999999997</v>
      </c>
      <c r="E644" s="5">
        <v>40830</v>
      </c>
      <c r="F644" s="1" t="str">
        <f t="shared" si="10"/>
        <v>October</v>
      </c>
      <c r="G644" s="1">
        <v>70</v>
      </c>
      <c r="H644" s="1">
        <v>147</v>
      </c>
      <c r="I644" s="1" t="str">
        <f>IF(Table1[[#This Row],[Temperature_F]]&lt;32,"Yes","No")</f>
        <v>No</v>
      </c>
      <c r="J644" s="1" t="str" cm="1">
        <f t="array" ref="J6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44" s="1" t="str" cm="1">
        <f t="array" ref="K644">_xlfn.IFS(
H644=0,"No Rain",
H644&lt;10,"Light",
H644&lt;50,"Moderate",
TRUE,"Heavy")</f>
        <v>Heavy</v>
      </c>
      <c r="L644" s="1" t="str">
        <f>IF(Table1[[#This Row],[Precipitation_mm]]&lt;&gt;0,"Wet","Dry")</f>
        <v>Wet</v>
      </c>
      <c r="M644" t="b">
        <f>OR(ISBLANK(Table1[[#This Row],[Temperature_F]]),ISERROR(Table1[[#This Row],[Temperature_F]]))</f>
        <v>0</v>
      </c>
    </row>
    <row r="645" spans="1:13" x14ac:dyDescent="0.25">
      <c r="A645" s="1" t="s">
        <v>1</v>
      </c>
      <c r="B645" s="1" t="s">
        <v>2</v>
      </c>
      <c r="C645" s="1">
        <v>42.360599999999998</v>
      </c>
      <c r="D645" s="1">
        <v>-71.010599999999997</v>
      </c>
      <c r="E645" s="5">
        <v>40831</v>
      </c>
      <c r="F645" s="1" t="str">
        <f t="shared" si="10"/>
        <v>October</v>
      </c>
      <c r="G645" s="1">
        <v>45</v>
      </c>
      <c r="H645" s="1">
        <v>0</v>
      </c>
      <c r="I645" s="1" t="str">
        <f>IF(Table1[[#This Row],[Temperature_F]]&lt;32,"Yes","No")</f>
        <v>No</v>
      </c>
      <c r="J645" s="1" t="str" cm="1">
        <f t="array" ref="J6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45" s="1" t="str" cm="1">
        <f t="array" ref="K645">_xlfn.IFS(
H645=0,"No Rain",
H645&lt;10,"Light",
H645&lt;50,"Moderate",
TRUE,"Heavy")</f>
        <v>No Rain</v>
      </c>
      <c r="L645" s="1" t="str">
        <f>IF(Table1[[#This Row],[Precipitation_mm]]&lt;&gt;0,"Wet","Dry")</f>
        <v>Dry</v>
      </c>
      <c r="M645" t="b">
        <f>OR(ISBLANK(Table1[[#This Row],[Temperature_F]]),ISERROR(Table1[[#This Row],[Temperature_F]]))</f>
        <v>0</v>
      </c>
    </row>
    <row r="646" spans="1:13" hidden="1" x14ac:dyDescent="0.25">
      <c r="A646" s="1" t="s">
        <v>1</v>
      </c>
      <c r="B646" s="1" t="s">
        <v>2</v>
      </c>
      <c r="C646" s="1">
        <v>42.360599999999998</v>
      </c>
      <c r="D646" s="1">
        <v>-71.010599999999997</v>
      </c>
      <c r="E646" s="5">
        <v>40832</v>
      </c>
      <c r="F646" s="1" t="str">
        <f t="shared" si="10"/>
        <v>October</v>
      </c>
      <c r="G646" s="1">
        <v>57</v>
      </c>
      <c r="H646" s="1">
        <v>0</v>
      </c>
      <c r="I646" s="1" t="str">
        <f>IF(Table1[[#This Row],[Temperature_F]]&lt;32,"Yes","No")</f>
        <v>No</v>
      </c>
      <c r="J646" s="1" t="str" cm="1">
        <f t="array" ref="J6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46" s="1" t="str" cm="1">
        <f t="array" ref="K646">_xlfn.IFS(
H646=0,"No Rain",
H646&lt;10,"Light",
H646&lt;50,"Moderate",
TRUE,"Heavy")</f>
        <v>No Rain</v>
      </c>
      <c r="L646" s="1" t="str">
        <f>IF(Table1[[#This Row],[Precipitation_mm]]&lt;&gt;0,"Wet","Dry")</f>
        <v>Dry</v>
      </c>
      <c r="M646" t="b">
        <f>OR(ISBLANK(Table1[[#This Row],[Temperature_F]]),ISERROR(Table1[[#This Row],[Temperature_F]]))</f>
        <v>0</v>
      </c>
    </row>
    <row r="647" spans="1:13" x14ac:dyDescent="0.25">
      <c r="A647" s="1" t="s">
        <v>1</v>
      </c>
      <c r="B647" s="1" t="s">
        <v>2</v>
      </c>
      <c r="C647" s="1">
        <v>42.360599999999998</v>
      </c>
      <c r="D647" s="1">
        <v>-71.010599999999997</v>
      </c>
      <c r="E647" s="5">
        <v>40833</v>
      </c>
      <c r="F647" s="1" t="str">
        <f t="shared" si="10"/>
        <v>October</v>
      </c>
      <c r="G647" s="1">
        <v>47</v>
      </c>
      <c r="H647" s="1">
        <v>0</v>
      </c>
      <c r="I647" s="1" t="str">
        <f>IF(Table1[[#This Row],[Temperature_F]]&lt;32,"Yes","No")</f>
        <v>No</v>
      </c>
      <c r="J647" s="1" t="str" cm="1">
        <f t="array" ref="J6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47" s="1" t="str" cm="1">
        <f t="array" ref="K647">_xlfn.IFS(
H647=0,"No Rain",
H647&lt;10,"Light",
H647&lt;50,"Moderate",
TRUE,"Heavy")</f>
        <v>No Rain</v>
      </c>
      <c r="L647" s="1" t="str">
        <f>IF(Table1[[#This Row],[Precipitation_mm]]&lt;&gt;0,"Wet","Dry")</f>
        <v>Dry</v>
      </c>
      <c r="M647" t="b">
        <f>OR(ISBLANK(Table1[[#This Row],[Temperature_F]]),ISERROR(Table1[[#This Row],[Temperature_F]]))</f>
        <v>0</v>
      </c>
    </row>
    <row r="648" spans="1:13" hidden="1" x14ac:dyDescent="0.25">
      <c r="A648" s="1" t="s">
        <v>1</v>
      </c>
      <c r="B648" s="1" t="s">
        <v>2</v>
      </c>
      <c r="C648" s="1">
        <v>42.360599999999998</v>
      </c>
      <c r="D648" s="1">
        <v>-71.010599999999997</v>
      </c>
      <c r="E648" s="5">
        <v>40834</v>
      </c>
      <c r="F648" s="1" t="str">
        <f t="shared" si="10"/>
        <v>October</v>
      </c>
      <c r="G648" s="1">
        <v>70</v>
      </c>
      <c r="H648" s="1">
        <v>0</v>
      </c>
      <c r="I648" s="1" t="str">
        <f>IF(Table1[[#This Row],[Temperature_F]]&lt;32,"Yes","No")</f>
        <v>No</v>
      </c>
      <c r="J648" s="1" t="str" cm="1">
        <f t="array" ref="J6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48" s="1" t="str" cm="1">
        <f t="array" ref="K648">_xlfn.IFS(
H648=0,"No Rain",
H648&lt;10,"Light",
H648&lt;50,"Moderate",
TRUE,"Heavy")</f>
        <v>No Rain</v>
      </c>
      <c r="L648" s="1" t="str">
        <f>IF(Table1[[#This Row],[Precipitation_mm]]&lt;&gt;0,"Wet","Dry")</f>
        <v>Dry</v>
      </c>
      <c r="M648" t="b">
        <f>OR(ISBLANK(Table1[[#This Row],[Temperature_F]]),ISERROR(Table1[[#This Row],[Temperature_F]]))</f>
        <v>0</v>
      </c>
    </row>
    <row r="649" spans="1:13" hidden="1" x14ac:dyDescent="0.25">
      <c r="A649" s="1" t="s">
        <v>1</v>
      </c>
      <c r="B649" s="1" t="s">
        <v>2</v>
      </c>
      <c r="C649" s="1">
        <v>42.360599999999998</v>
      </c>
      <c r="D649" s="1">
        <v>-71.010599999999997</v>
      </c>
      <c r="E649" s="5">
        <v>40835</v>
      </c>
      <c r="F649" s="1" t="str">
        <f t="shared" si="10"/>
        <v>October</v>
      </c>
      <c r="G649" s="1">
        <v>58</v>
      </c>
      <c r="H649" s="1">
        <v>297</v>
      </c>
      <c r="I649" s="1" t="str">
        <f>IF(Table1[[#This Row],[Temperature_F]]&lt;32,"Yes","No")</f>
        <v>No</v>
      </c>
      <c r="J649" s="1" t="str" cm="1">
        <f t="array" ref="J6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49" s="1" t="str" cm="1">
        <f t="array" ref="K649">_xlfn.IFS(
H649=0,"No Rain",
H649&lt;10,"Light",
H649&lt;50,"Moderate",
TRUE,"Heavy")</f>
        <v>Heavy</v>
      </c>
      <c r="L649" s="1" t="str">
        <f>IF(Table1[[#This Row],[Precipitation_mm]]&lt;&gt;0,"Wet","Dry")</f>
        <v>Wet</v>
      </c>
      <c r="M649" t="b">
        <f>OR(ISBLANK(Table1[[#This Row],[Temperature_F]]),ISERROR(Table1[[#This Row],[Temperature_F]]))</f>
        <v>0</v>
      </c>
    </row>
    <row r="650" spans="1:13" hidden="1" x14ac:dyDescent="0.25">
      <c r="A650" s="1" t="s">
        <v>1</v>
      </c>
      <c r="B650" s="1" t="s">
        <v>2</v>
      </c>
      <c r="C650" s="1">
        <v>42.360599999999998</v>
      </c>
      <c r="D650" s="1">
        <v>-71.010599999999997</v>
      </c>
      <c r="E650" s="5">
        <v>40836</v>
      </c>
      <c r="F650" s="1" t="str">
        <f t="shared" si="10"/>
        <v>October</v>
      </c>
      <c r="G650" s="1">
        <v>54</v>
      </c>
      <c r="H650" s="1">
        <v>119</v>
      </c>
      <c r="I650" s="1" t="str">
        <f>IF(Table1[[#This Row],[Temperature_F]]&lt;32,"Yes","No")</f>
        <v>No</v>
      </c>
      <c r="J650" s="1" t="str" cm="1">
        <f t="array" ref="J6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50" s="1" t="str" cm="1">
        <f t="array" ref="K650">_xlfn.IFS(
H650=0,"No Rain",
H650&lt;10,"Light",
H650&lt;50,"Moderate",
TRUE,"Heavy")</f>
        <v>Heavy</v>
      </c>
      <c r="L650" s="1" t="str">
        <f>IF(Table1[[#This Row],[Precipitation_mm]]&lt;&gt;0,"Wet","Dry")</f>
        <v>Wet</v>
      </c>
      <c r="M650" t="b">
        <f>OR(ISBLANK(Table1[[#This Row],[Temperature_F]]),ISERROR(Table1[[#This Row],[Temperature_F]]))</f>
        <v>0</v>
      </c>
    </row>
    <row r="651" spans="1:13" hidden="1" x14ac:dyDescent="0.25">
      <c r="A651" s="1" t="s">
        <v>1</v>
      </c>
      <c r="B651" s="1" t="s">
        <v>2</v>
      </c>
      <c r="C651" s="1">
        <v>42.360599999999998</v>
      </c>
      <c r="D651" s="1">
        <v>-71.010599999999997</v>
      </c>
      <c r="E651" s="5">
        <v>40837</v>
      </c>
      <c r="F651" s="1" t="str">
        <f t="shared" si="10"/>
        <v>October</v>
      </c>
      <c r="G651" s="1">
        <v>62</v>
      </c>
      <c r="H651" s="1">
        <v>0</v>
      </c>
      <c r="I651" s="1" t="str">
        <f>IF(Table1[[#This Row],[Temperature_F]]&lt;32,"Yes","No")</f>
        <v>No</v>
      </c>
      <c r="J651" s="1" t="str" cm="1">
        <f t="array" ref="J6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51" s="1" t="str" cm="1">
        <f t="array" ref="K651">_xlfn.IFS(
H651=0,"No Rain",
H651&lt;10,"Light",
H651&lt;50,"Moderate",
TRUE,"Heavy")</f>
        <v>No Rain</v>
      </c>
      <c r="L651" s="1" t="str">
        <f>IF(Table1[[#This Row],[Precipitation_mm]]&lt;&gt;0,"Wet","Dry")</f>
        <v>Dry</v>
      </c>
      <c r="M651" t="b">
        <f>OR(ISBLANK(Table1[[#This Row],[Temperature_F]]),ISERROR(Table1[[#This Row],[Temperature_F]]))</f>
        <v>0</v>
      </c>
    </row>
    <row r="652" spans="1:13" hidden="1" x14ac:dyDescent="0.25">
      <c r="A652" s="1" t="s">
        <v>1</v>
      </c>
      <c r="B652" s="1" t="s">
        <v>2</v>
      </c>
      <c r="C652" s="1">
        <v>42.360599999999998</v>
      </c>
      <c r="D652" s="1">
        <v>-71.010599999999997</v>
      </c>
      <c r="E652" s="5">
        <v>40838</v>
      </c>
      <c r="F652" s="1" t="str">
        <f t="shared" si="10"/>
        <v>October</v>
      </c>
      <c r="G652" s="1">
        <v>53</v>
      </c>
      <c r="H652" s="1">
        <v>0</v>
      </c>
      <c r="I652" s="1" t="str">
        <f>IF(Table1[[#This Row],[Temperature_F]]&lt;32,"Yes","No")</f>
        <v>No</v>
      </c>
      <c r="J652" s="1" t="str" cm="1">
        <f t="array" ref="J6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52" s="1" t="str" cm="1">
        <f t="array" ref="K652">_xlfn.IFS(
H652=0,"No Rain",
H652&lt;10,"Light",
H652&lt;50,"Moderate",
TRUE,"Heavy")</f>
        <v>No Rain</v>
      </c>
      <c r="L652" s="1" t="str">
        <f>IF(Table1[[#This Row],[Precipitation_mm]]&lt;&gt;0,"Wet","Dry")</f>
        <v>Dry</v>
      </c>
      <c r="M652" t="b">
        <f>OR(ISBLANK(Table1[[#This Row],[Temperature_F]]),ISERROR(Table1[[#This Row],[Temperature_F]]))</f>
        <v>0</v>
      </c>
    </row>
    <row r="653" spans="1:13" x14ac:dyDescent="0.25">
      <c r="A653" s="1" t="s">
        <v>1</v>
      </c>
      <c r="B653" s="1" t="s">
        <v>2</v>
      </c>
      <c r="C653" s="1">
        <v>42.360599999999998</v>
      </c>
      <c r="D653" s="1">
        <v>-71.010599999999997</v>
      </c>
      <c r="E653" s="5">
        <v>40839</v>
      </c>
      <c r="F653" s="1" t="str">
        <f t="shared" si="10"/>
        <v>October</v>
      </c>
      <c r="G653" s="1">
        <v>40</v>
      </c>
      <c r="H653" s="1">
        <v>0</v>
      </c>
      <c r="I653" s="1" t="str">
        <f>IF(Table1[[#This Row],[Temperature_F]]&lt;32,"Yes","No")</f>
        <v>No</v>
      </c>
      <c r="J653" s="1" t="str" cm="1">
        <f t="array" ref="J6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53" s="1" t="str" cm="1">
        <f t="array" ref="K653">_xlfn.IFS(
H653=0,"No Rain",
H653&lt;10,"Light",
H653&lt;50,"Moderate",
TRUE,"Heavy")</f>
        <v>No Rain</v>
      </c>
      <c r="L653" s="1" t="str">
        <f>IF(Table1[[#This Row],[Precipitation_mm]]&lt;&gt;0,"Wet","Dry")</f>
        <v>Dry</v>
      </c>
      <c r="M653" t="b">
        <f>OR(ISBLANK(Table1[[#This Row],[Temperature_F]]),ISERROR(Table1[[#This Row],[Temperature_F]]))</f>
        <v>0</v>
      </c>
    </row>
    <row r="654" spans="1:13" hidden="1" x14ac:dyDescent="0.25">
      <c r="A654" s="1" t="s">
        <v>1</v>
      </c>
      <c r="B654" s="1" t="s">
        <v>2</v>
      </c>
      <c r="C654" s="1">
        <v>42.360599999999998</v>
      </c>
      <c r="D654" s="1">
        <v>-71.010599999999997</v>
      </c>
      <c r="E654" s="5">
        <v>40840</v>
      </c>
      <c r="F654" s="1" t="str">
        <f t="shared" si="10"/>
        <v>October</v>
      </c>
      <c r="G654" s="1">
        <v>64</v>
      </c>
      <c r="H654" s="1">
        <v>0</v>
      </c>
      <c r="I654" s="1" t="str">
        <f>IF(Table1[[#This Row],[Temperature_F]]&lt;32,"Yes","No")</f>
        <v>No</v>
      </c>
      <c r="J654" s="1" t="str" cm="1">
        <f t="array" ref="J6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54" s="1" t="str" cm="1">
        <f t="array" ref="K654">_xlfn.IFS(
H654=0,"No Rain",
H654&lt;10,"Light",
H654&lt;50,"Moderate",
TRUE,"Heavy")</f>
        <v>No Rain</v>
      </c>
      <c r="L654" s="1" t="str">
        <f>IF(Table1[[#This Row],[Precipitation_mm]]&lt;&gt;0,"Wet","Dry")</f>
        <v>Dry</v>
      </c>
      <c r="M654" t="b">
        <f>OR(ISBLANK(Table1[[#This Row],[Temperature_F]]),ISERROR(Table1[[#This Row],[Temperature_F]]))</f>
        <v>0</v>
      </c>
    </row>
    <row r="655" spans="1:13" x14ac:dyDescent="0.25">
      <c r="A655" s="1" t="s">
        <v>1</v>
      </c>
      <c r="B655" s="1" t="s">
        <v>2</v>
      </c>
      <c r="C655" s="1">
        <v>42.360599999999998</v>
      </c>
      <c r="D655" s="1">
        <v>-71.010599999999997</v>
      </c>
      <c r="E655" s="5">
        <v>40841</v>
      </c>
      <c r="F655" s="1" t="str">
        <f t="shared" si="10"/>
        <v>October</v>
      </c>
      <c r="G655" s="1">
        <v>41</v>
      </c>
      <c r="H655" s="1">
        <v>3</v>
      </c>
      <c r="I655" s="1" t="str">
        <f>IF(Table1[[#This Row],[Temperature_F]]&lt;32,"Yes","No")</f>
        <v>No</v>
      </c>
      <c r="J655" s="1" t="str" cm="1">
        <f t="array" ref="J6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55" s="1" t="str" cm="1">
        <f t="array" ref="K655">_xlfn.IFS(
H655=0,"No Rain",
H655&lt;10,"Light",
H655&lt;50,"Moderate",
TRUE,"Heavy")</f>
        <v>Light</v>
      </c>
      <c r="L655" s="1" t="str">
        <f>IF(Table1[[#This Row],[Precipitation_mm]]&lt;&gt;0,"Wet","Dry")</f>
        <v>Wet</v>
      </c>
      <c r="M655" t="b">
        <f>OR(ISBLANK(Table1[[#This Row],[Temperature_F]]),ISERROR(Table1[[#This Row],[Temperature_F]]))</f>
        <v>0</v>
      </c>
    </row>
    <row r="656" spans="1:13" x14ac:dyDescent="0.25">
      <c r="A656" s="1" t="s">
        <v>1</v>
      </c>
      <c r="B656" s="1" t="s">
        <v>2</v>
      </c>
      <c r="C656" s="1">
        <v>42.360599999999998</v>
      </c>
      <c r="D656" s="1">
        <v>-71.010599999999997</v>
      </c>
      <c r="E656" s="5">
        <v>40842</v>
      </c>
      <c r="F656" s="1" t="str">
        <f t="shared" si="10"/>
        <v>October</v>
      </c>
      <c r="G656" s="1">
        <v>50</v>
      </c>
      <c r="H656" s="1">
        <v>5</v>
      </c>
      <c r="I656" s="1" t="str">
        <f>IF(Table1[[#This Row],[Temperature_F]]&lt;32,"Yes","No")</f>
        <v>No</v>
      </c>
      <c r="J656" s="1" t="str" cm="1">
        <f t="array" ref="J6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56" s="1" t="str" cm="1">
        <f t="array" ref="K656">_xlfn.IFS(
H656=0,"No Rain",
H656&lt;10,"Light",
H656&lt;50,"Moderate",
TRUE,"Heavy")</f>
        <v>Light</v>
      </c>
      <c r="L656" s="1" t="str">
        <f>IF(Table1[[#This Row],[Precipitation_mm]]&lt;&gt;0,"Wet","Dry")</f>
        <v>Wet</v>
      </c>
      <c r="M656" t="b">
        <f>OR(ISBLANK(Table1[[#This Row],[Temperature_F]]),ISERROR(Table1[[#This Row],[Temperature_F]]))</f>
        <v>0</v>
      </c>
    </row>
    <row r="657" spans="1:13" x14ac:dyDescent="0.25">
      <c r="A657" s="1" t="s">
        <v>1</v>
      </c>
      <c r="B657" s="1" t="s">
        <v>2</v>
      </c>
      <c r="C657" s="1">
        <v>42.360599999999998</v>
      </c>
      <c r="D657" s="1">
        <v>-71.010599999999997</v>
      </c>
      <c r="E657" s="5">
        <v>40843</v>
      </c>
      <c r="F657" s="1" t="str">
        <f t="shared" si="10"/>
        <v>October</v>
      </c>
      <c r="G657" s="1">
        <v>50</v>
      </c>
      <c r="H657" s="1">
        <v>259</v>
      </c>
      <c r="I657" s="1" t="str">
        <f>IF(Table1[[#This Row],[Temperature_F]]&lt;32,"Yes","No")</f>
        <v>No</v>
      </c>
      <c r="J657" s="1" t="str" cm="1">
        <f t="array" ref="J6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57" s="1" t="str" cm="1">
        <f t="array" ref="K657">_xlfn.IFS(
H657=0,"No Rain",
H657&lt;10,"Light",
H657&lt;50,"Moderate",
TRUE,"Heavy")</f>
        <v>Heavy</v>
      </c>
      <c r="L657" s="1" t="str">
        <f>IF(Table1[[#This Row],[Precipitation_mm]]&lt;&gt;0,"Wet","Dry")</f>
        <v>Wet</v>
      </c>
      <c r="M657" t="b">
        <f>OR(ISBLANK(Table1[[#This Row],[Temperature_F]]),ISERROR(Table1[[#This Row],[Temperature_F]]))</f>
        <v>0</v>
      </c>
    </row>
    <row r="658" spans="1:13" hidden="1" x14ac:dyDescent="0.25">
      <c r="A658" s="1" t="s">
        <v>1</v>
      </c>
      <c r="B658" s="1" t="s">
        <v>2</v>
      </c>
      <c r="C658" s="1">
        <v>42.360599999999998</v>
      </c>
      <c r="D658" s="1">
        <v>-71.010599999999997</v>
      </c>
      <c r="E658" s="5">
        <v>40844</v>
      </c>
      <c r="F658" s="1" t="str">
        <f t="shared" si="10"/>
        <v>October</v>
      </c>
      <c r="G658" s="1">
        <v>60</v>
      </c>
      <c r="H658" s="1">
        <v>0</v>
      </c>
      <c r="I658" s="1" t="str">
        <f>IF(Table1[[#This Row],[Temperature_F]]&lt;32,"Yes","No")</f>
        <v>No</v>
      </c>
      <c r="J658" s="1" t="str" cm="1">
        <f t="array" ref="J6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58" s="1" t="str" cm="1">
        <f t="array" ref="K658">_xlfn.IFS(
H658=0,"No Rain",
H658&lt;10,"Light",
H658&lt;50,"Moderate",
TRUE,"Heavy")</f>
        <v>No Rain</v>
      </c>
      <c r="L658" s="1" t="str">
        <f>IF(Table1[[#This Row],[Precipitation_mm]]&lt;&gt;0,"Wet","Dry")</f>
        <v>Dry</v>
      </c>
      <c r="M658" t="b">
        <f>OR(ISBLANK(Table1[[#This Row],[Temperature_F]]),ISERROR(Table1[[#This Row],[Temperature_F]]))</f>
        <v>0</v>
      </c>
    </row>
    <row r="659" spans="1:13" hidden="1" x14ac:dyDescent="0.25">
      <c r="A659" s="1" t="s">
        <v>1</v>
      </c>
      <c r="B659" s="1" t="s">
        <v>2</v>
      </c>
      <c r="C659" s="1">
        <v>42.360599999999998</v>
      </c>
      <c r="D659" s="1">
        <v>-71.010599999999997</v>
      </c>
      <c r="E659" s="5">
        <v>40845</v>
      </c>
      <c r="F659" s="1" t="str">
        <f t="shared" si="10"/>
        <v>October</v>
      </c>
      <c r="G659" s="1">
        <v>68</v>
      </c>
      <c r="H659" s="1">
        <v>216</v>
      </c>
      <c r="I659" s="1" t="str">
        <f>IF(Table1[[#This Row],[Temperature_F]]&lt;32,"Yes","No")</f>
        <v>No</v>
      </c>
      <c r="J659" s="1" t="str" cm="1">
        <f t="array" ref="J6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59" s="1" t="str" cm="1">
        <f t="array" ref="K659">_xlfn.IFS(
H659=0,"No Rain",
H659&lt;10,"Light",
H659&lt;50,"Moderate",
TRUE,"Heavy")</f>
        <v>Heavy</v>
      </c>
      <c r="L659" s="1" t="str">
        <f>IF(Table1[[#This Row],[Precipitation_mm]]&lt;&gt;0,"Wet","Dry")</f>
        <v>Wet</v>
      </c>
      <c r="M659" t="b">
        <f>OR(ISBLANK(Table1[[#This Row],[Temperature_F]]),ISERROR(Table1[[#This Row],[Temperature_F]]))</f>
        <v>0</v>
      </c>
    </row>
    <row r="660" spans="1:13" hidden="1" x14ac:dyDescent="0.25">
      <c r="A660" s="1" t="s">
        <v>1</v>
      </c>
      <c r="B660" s="1" t="s">
        <v>2</v>
      </c>
      <c r="C660" s="1">
        <v>42.360599999999998</v>
      </c>
      <c r="D660" s="1">
        <v>-71.010599999999997</v>
      </c>
      <c r="E660" s="5">
        <v>40846</v>
      </c>
      <c r="F660" s="1" t="str">
        <f t="shared" si="10"/>
        <v>October</v>
      </c>
      <c r="G660" s="1">
        <v>53</v>
      </c>
      <c r="H660" s="1">
        <v>28</v>
      </c>
      <c r="I660" s="1" t="str">
        <f>IF(Table1[[#This Row],[Temperature_F]]&lt;32,"Yes","No")</f>
        <v>No</v>
      </c>
      <c r="J660" s="1" t="str" cm="1">
        <f t="array" ref="J6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60" s="1" t="str" cm="1">
        <f t="array" ref="K660">_xlfn.IFS(
H660=0,"No Rain",
H660&lt;10,"Light",
H660&lt;50,"Moderate",
TRUE,"Heavy")</f>
        <v>Moderate</v>
      </c>
      <c r="L660" s="1" t="str">
        <f>IF(Table1[[#This Row],[Precipitation_mm]]&lt;&gt;0,"Wet","Dry")</f>
        <v>Wet</v>
      </c>
      <c r="M660" t="b">
        <f>OR(ISBLANK(Table1[[#This Row],[Temperature_F]]),ISERROR(Table1[[#This Row],[Temperature_F]]))</f>
        <v>0</v>
      </c>
    </row>
    <row r="661" spans="1:13" x14ac:dyDescent="0.25">
      <c r="A661" s="1" t="s">
        <v>1</v>
      </c>
      <c r="B661" s="1" t="s">
        <v>2</v>
      </c>
      <c r="C661" s="1">
        <v>42.360599999999998</v>
      </c>
      <c r="D661" s="1">
        <v>-71.010599999999997</v>
      </c>
      <c r="E661" s="5">
        <v>40847</v>
      </c>
      <c r="F661" s="1" t="str">
        <f t="shared" si="10"/>
        <v>October</v>
      </c>
      <c r="G661" s="1">
        <v>45</v>
      </c>
      <c r="H661" s="1">
        <v>0</v>
      </c>
      <c r="I661" s="1" t="str">
        <f>IF(Table1[[#This Row],[Temperature_F]]&lt;32,"Yes","No")</f>
        <v>No</v>
      </c>
      <c r="J661" s="1" t="str" cm="1">
        <f t="array" ref="J6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1" s="1" t="str" cm="1">
        <f t="array" ref="K661">_xlfn.IFS(
H661=0,"No Rain",
H661&lt;10,"Light",
H661&lt;50,"Moderate",
TRUE,"Heavy")</f>
        <v>No Rain</v>
      </c>
      <c r="L661" s="1" t="str">
        <f>IF(Table1[[#This Row],[Precipitation_mm]]&lt;&gt;0,"Wet","Dry")</f>
        <v>Dry</v>
      </c>
      <c r="M661" t="b">
        <f>OR(ISBLANK(Table1[[#This Row],[Temperature_F]]),ISERROR(Table1[[#This Row],[Temperature_F]]))</f>
        <v>0</v>
      </c>
    </row>
    <row r="662" spans="1:13" x14ac:dyDescent="0.25">
      <c r="A662" s="1" t="s">
        <v>1</v>
      </c>
      <c r="B662" s="1" t="s">
        <v>2</v>
      </c>
      <c r="C662" s="1">
        <v>42.360599999999998</v>
      </c>
      <c r="D662" s="1">
        <v>-71.010599999999997</v>
      </c>
      <c r="E662" s="5">
        <v>40848</v>
      </c>
      <c r="F662" s="1" t="str">
        <f t="shared" si="10"/>
        <v>November</v>
      </c>
      <c r="G662" s="1">
        <v>45</v>
      </c>
      <c r="H662" s="1">
        <v>0</v>
      </c>
      <c r="I662" s="1" t="str">
        <f>IF(Table1[[#This Row],[Temperature_F]]&lt;32,"Yes","No")</f>
        <v>No</v>
      </c>
      <c r="J662" s="1" t="str" cm="1">
        <f t="array" ref="J6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2" s="1" t="str" cm="1">
        <f t="array" ref="K662">_xlfn.IFS(
H662=0,"No Rain",
H662&lt;10,"Light",
H662&lt;50,"Moderate",
TRUE,"Heavy")</f>
        <v>No Rain</v>
      </c>
      <c r="L662" s="1" t="str">
        <f>IF(Table1[[#This Row],[Precipitation_mm]]&lt;&gt;0,"Wet","Dry")</f>
        <v>Dry</v>
      </c>
      <c r="M662" t="b">
        <f>OR(ISBLANK(Table1[[#This Row],[Temperature_F]]),ISERROR(Table1[[#This Row],[Temperature_F]]))</f>
        <v>0</v>
      </c>
    </row>
    <row r="663" spans="1:13" x14ac:dyDescent="0.25">
      <c r="A663" s="1" t="s">
        <v>1</v>
      </c>
      <c r="B663" s="1" t="s">
        <v>2</v>
      </c>
      <c r="C663" s="1">
        <v>42.360599999999998</v>
      </c>
      <c r="D663" s="1">
        <v>-71.010599999999997</v>
      </c>
      <c r="E663" s="5">
        <v>40849</v>
      </c>
      <c r="F663" s="1" t="str">
        <f t="shared" si="10"/>
        <v>November</v>
      </c>
      <c r="G663" s="1">
        <v>50</v>
      </c>
      <c r="H663" s="1">
        <v>0</v>
      </c>
      <c r="I663" s="1" t="str">
        <f>IF(Table1[[#This Row],[Temperature_F]]&lt;32,"Yes","No")</f>
        <v>No</v>
      </c>
      <c r="J663" s="1" t="str" cm="1">
        <f t="array" ref="J6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3" s="1" t="str" cm="1">
        <f t="array" ref="K663">_xlfn.IFS(
H663=0,"No Rain",
H663&lt;10,"Light",
H663&lt;50,"Moderate",
TRUE,"Heavy")</f>
        <v>No Rain</v>
      </c>
      <c r="L663" s="1" t="str">
        <f>IF(Table1[[#This Row],[Precipitation_mm]]&lt;&gt;0,"Wet","Dry")</f>
        <v>Dry</v>
      </c>
      <c r="M663" t="b">
        <f>OR(ISBLANK(Table1[[#This Row],[Temperature_F]]),ISERROR(Table1[[#This Row],[Temperature_F]]))</f>
        <v>0</v>
      </c>
    </row>
    <row r="664" spans="1:13" x14ac:dyDescent="0.25">
      <c r="A664" s="1" t="s">
        <v>1</v>
      </c>
      <c r="B664" s="1" t="s">
        <v>2</v>
      </c>
      <c r="C664" s="1">
        <v>42.360599999999998</v>
      </c>
      <c r="D664" s="1">
        <v>-71.010599999999997</v>
      </c>
      <c r="E664" s="5">
        <v>40850</v>
      </c>
      <c r="F664" s="1" t="str">
        <f t="shared" si="10"/>
        <v>November</v>
      </c>
      <c r="G664" s="1">
        <v>43</v>
      </c>
      <c r="H664" s="1">
        <v>0</v>
      </c>
      <c r="I664" s="1" t="str">
        <f>IF(Table1[[#This Row],[Temperature_F]]&lt;32,"Yes","No")</f>
        <v>No</v>
      </c>
      <c r="J664" s="1" t="str" cm="1">
        <f t="array" ref="J6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4" s="1" t="str" cm="1">
        <f t="array" ref="K664">_xlfn.IFS(
H664=0,"No Rain",
H664&lt;10,"Light",
H664&lt;50,"Moderate",
TRUE,"Heavy")</f>
        <v>No Rain</v>
      </c>
      <c r="L664" s="1" t="str">
        <f>IF(Table1[[#This Row],[Precipitation_mm]]&lt;&gt;0,"Wet","Dry")</f>
        <v>Dry</v>
      </c>
      <c r="M664" t="b">
        <f>OR(ISBLANK(Table1[[#This Row],[Temperature_F]]),ISERROR(Table1[[#This Row],[Temperature_F]]))</f>
        <v>0</v>
      </c>
    </row>
    <row r="665" spans="1:13" x14ac:dyDescent="0.25">
      <c r="A665" s="1" t="s">
        <v>1</v>
      </c>
      <c r="B665" s="1" t="s">
        <v>2</v>
      </c>
      <c r="C665" s="1">
        <v>42.360599999999998</v>
      </c>
      <c r="D665" s="1">
        <v>-71.010599999999997</v>
      </c>
      <c r="E665" s="5">
        <v>40851</v>
      </c>
      <c r="F665" s="1" t="str">
        <f t="shared" si="10"/>
        <v>November</v>
      </c>
      <c r="G665" s="1">
        <v>40</v>
      </c>
      <c r="H665" s="1">
        <v>0</v>
      </c>
      <c r="I665" s="1" t="str">
        <f>IF(Table1[[#This Row],[Temperature_F]]&lt;32,"Yes","No")</f>
        <v>No</v>
      </c>
      <c r="J665" s="1" t="str" cm="1">
        <f t="array" ref="J6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5" s="1" t="str" cm="1">
        <f t="array" ref="K665">_xlfn.IFS(
H665=0,"No Rain",
H665&lt;10,"Light",
H665&lt;50,"Moderate",
TRUE,"Heavy")</f>
        <v>No Rain</v>
      </c>
      <c r="L665" s="1" t="str">
        <f>IF(Table1[[#This Row],[Precipitation_mm]]&lt;&gt;0,"Wet","Dry")</f>
        <v>Dry</v>
      </c>
      <c r="M665" t="b">
        <f>OR(ISBLANK(Table1[[#This Row],[Temperature_F]]),ISERROR(Table1[[#This Row],[Temperature_F]]))</f>
        <v>0</v>
      </c>
    </row>
    <row r="666" spans="1:13" x14ac:dyDescent="0.25">
      <c r="A666" s="1" t="s">
        <v>1</v>
      </c>
      <c r="B666" s="1" t="s">
        <v>2</v>
      </c>
      <c r="C666" s="1">
        <v>42.360599999999998</v>
      </c>
      <c r="D666" s="1">
        <v>-71.010599999999997</v>
      </c>
      <c r="E666" s="5">
        <v>40852</v>
      </c>
      <c r="F666" s="1" t="str">
        <f t="shared" si="10"/>
        <v>November</v>
      </c>
      <c r="G666" s="1">
        <v>43</v>
      </c>
      <c r="H666" s="1">
        <v>0</v>
      </c>
      <c r="I666" s="1" t="str">
        <f>IF(Table1[[#This Row],[Temperature_F]]&lt;32,"Yes","No")</f>
        <v>No</v>
      </c>
      <c r="J666" s="1" t="str" cm="1">
        <f t="array" ref="J6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6" s="1" t="str" cm="1">
        <f t="array" ref="K666">_xlfn.IFS(
H666=0,"No Rain",
H666&lt;10,"Light",
H666&lt;50,"Moderate",
TRUE,"Heavy")</f>
        <v>No Rain</v>
      </c>
      <c r="L666" s="1" t="str">
        <f>IF(Table1[[#This Row],[Precipitation_mm]]&lt;&gt;0,"Wet","Dry")</f>
        <v>Dry</v>
      </c>
      <c r="M666" t="b">
        <f>OR(ISBLANK(Table1[[#This Row],[Temperature_F]]),ISERROR(Table1[[#This Row],[Temperature_F]]))</f>
        <v>0</v>
      </c>
    </row>
    <row r="667" spans="1:13" x14ac:dyDescent="0.25">
      <c r="A667" s="1" t="s">
        <v>1</v>
      </c>
      <c r="B667" s="1" t="s">
        <v>2</v>
      </c>
      <c r="C667" s="1">
        <v>42.360599999999998</v>
      </c>
      <c r="D667" s="1">
        <v>-71.010599999999997</v>
      </c>
      <c r="E667" s="5">
        <v>40853</v>
      </c>
      <c r="F667" s="1" t="str">
        <f t="shared" si="10"/>
        <v>November</v>
      </c>
      <c r="G667" s="1">
        <v>41</v>
      </c>
      <c r="H667" s="1">
        <v>0</v>
      </c>
      <c r="I667" s="1" t="str">
        <f>IF(Table1[[#This Row],[Temperature_F]]&lt;32,"Yes","No")</f>
        <v>No</v>
      </c>
      <c r="J667" s="1" t="str" cm="1">
        <f t="array" ref="J6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7" s="1" t="str" cm="1">
        <f t="array" ref="K667">_xlfn.IFS(
H667=0,"No Rain",
H667&lt;10,"Light",
H667&lt;50,"Moderate",
TRUE,"Heavy")</f>
        <v>No Rain</v>
      </c>
      <c r="L667" s="1" t="str">
        <f>IF(Table1[[#This Row],[Precipitation_mm]]&lt;&gt;0,"Wet","Dry")</f>
        <v>Dry</v>
      </c>
      <c r="M667" t="b">
        <f>OR(ISBLANK(Table1[[#This Row],[Temperature_F]]),ISERROR(Table1[[#This Row],[Temperature_F]]))</f>
        <v>0</v>
      </c>
    </row>
    <row r="668" spans="1:13" hidden="1" x14ac:dyDescent="0.25">
      <c r="A668" s="1" t="s">
        <v>1</v>
      </c>
      <c r="B668" s="1" t="s">
        <v>2</v>
      </c>
      <c r="C668" s="1">
        <v>42.360599999999998</v>
      </c>
      <c r="D668" s="1">
        <v>-71.010599999999997</v>
      </c>
      <c r="E668" s="5">
        <v>40854</v>
      </c>
      <c r="F668" s="1" t="str">
        <f t="shared" si="10"/>
        <v>November</v>
      </c>
      <c r="G668" s="1">
        <v>65</v>
      </c>
      <c r="H668" s="1">
        <v>0</v>
      </c>
      <c r="I668" s="1" t="str">
        <f>IF(Table1[[#This Row],[Temperature_F]]&lt;32,"Yes","No")</f>
        <v>No</v>
      </c>
      <c r="J668" s="1" t="str" cm="1">
        <f t="array" ref="J6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68" s="1" t="str" cm="1">
        <f t="array" ref="K668">_xlfn.IFS(
H668=0,"No Rain",
H668&lt;10,"Light",
H668&lt;50,"Moderate",
TRUE,"Heavy")</f>
        <v>No Rain</v>
      </c>
      <c r="L668" s="1" t="str">
        <f>IF(Table1[[#This Row],[Precipitation_mm]]&lt;&gt;0,"Wet","Dry")</f>
        <v>Dry</v>
      </c>
      <c r="M668" t="b">
        <f>OR(ISBLANK(Table1[[#This Row],[Temperature_F]]),ISERROR(Table1[[#This Row],[Temperature_F]]))</f>
        <v>0</v>
      </c>
    </row>
    <row r="669" spans="1:13" x14ac:dyDescent="0.25">
      <c r="A669" s="1" t="s">
        <v>1</v>
      </c>
      <c r="B669" s="1" t="s">
        <v>2</v>
      </c>
      <c r="C669" s="1">
        <v>42.360599999999998</v>
      </c>
      <c r="D669" s="1">
        <v>-71.010599999999997</v>
      </c>
      <c r="E669" s="5">
        <v>40855</v>
      </c>
      <c r="F669" s="1" t="str">
        <f t="shared" si="10"/>
        <v>November</v>
      </c>
      <c r="G669" s="1">
        <v>50</v>
      </c>
      <c r="H669" s="1">
        <v>0</v>
      </c>
      <c r="I669" s="1" t="str">
        <f>IF(Table1[[#This Row],[Temperature_F]]&lt;32,"Yes","No")</f>
        <v>No</v>
      </c>
      <c r="J669" s="1" t="str" cm="1">
        <f t="array" ref="J6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69" s="1" t="str" cm="1">
        <f t="array" ref="K669">_xlfn.IFS(
H669=0,"No Rain",
H669&lt;10,"Light",
H669&lt;50,"Moderate",
TRUE,"Heavy")</f>
        <v>No Rain</v>
      </c>
      <c r="L669" s="1" t="str">
        <f>IF(Table1[[#This Row],[Precipitation_mm]]&lt;&gt;0,"Wet","Dry")</f>
        <v>Dry</v>
      </c>
      <c r="M669" t="b">
        <f>OR(ISBLANK(Table1[[#This Row],[Temperature_F]]),ISERROR(Table1[[#This Row],[Temperature_F]]))</f>
        <v>0</v>
      </c>
    </row>
    <row r="670" spans="1:13" hidden="1" x14ac:dyDescent="0.25">
      <c r="A670" s="1" t="s">
        <v>1</v>
      </c>
      <c r="B670" s="1" t="s">
        <v>2</v>
      </c>
      <c r="C670" s="1">
        <v>42.360599999999998</v>
      </c>
      <c r="D670" s="1">
        <v>-71.010599999999997</v>
      </c>
      <c r="E670" s="5">
        <v>40856</v>
      </c>
      <c r="F670" s="1" t="str">
        <f t="shared" si="10"/>
        <v>November</v>
      </c>
      <c r="G670" s="1">
        <v>51</v>
      </c>
      <c r="H670" s="1">
        <v>0</v>
      </c>
      <c r="I670" s="1" t="str">
        <f>IF(Table1[[#This Row],[Temperature_F]]&lt;32,"Yes","No")</f>
        <v>No</v>
      </c>
      <c r="J670" s="1" t="str" cm="1">
        <f t="array" ref="J6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0" s="1" t="str" cm="1">
        <f t="array" ref="K670">_xlfn.IFS(
H670=0,"No Rain",
H670&lt;10,"Light",
H670&lt;50,"Moderate",
TRUE,"Heavy")</f>
        <v>No Rain</v>
      </c>
      <c r="L670" s="1" t="str">
        <f>IF(Table1[[#This Row],[Precipitation_mm]]&lt;&gt;0,"Wet","Dry")</f>
        <v>Dry</v>
      </c>
      <c r="M670" t="b">
        <f>OR(ISBLANK(Table1[[#This Row],[Temperature_F]]),ISERROR(Table1[[#This Row],[Temperature_F]]))</f>
        <v>0</v>
      </c>
    </row>
    <row r="671" spans="1:13" x14ac:dyDescent="0.25">
      <c r="A671" s="1" t="s">
        <v>1</v>
      </c>
      <c r="B671" s="1" t="s">
        <v>2</v>
      </c>
      <c r="C671" s="1">
        <v>42.360599999999998</v>
      </c>
      <c r="D671" s="1">
        <v>-71.010599999999997</v>
      </c>
      <c r="E671" s="5">
        <v>40857</v>
      </c>
      <c r="F671" s="1" t="str">
        <f t="shared" si="10"/>
        <v>November</v>
      </c>
      <c r="G671" s="1">
        <v>42</v>
      </c>
      <c r="H671" s="1">
        <v>267</v>
      </c>
      <c r="I671" s="1" t="str">
        <f>IF(Table1[[#This Row],[Temperature_F]]&lt;32,"Yes","No")</f>
        <v>No</v>
      </c>
      <c r="J671" s="1" t="str" cm="1">
        <f t="array" ref="J6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71" s="1" t="str" cm="1">
        <f t="array" ref="K671">_xlfn.IFS(
H671=0,"No Rain",
H671&lt;10,"Light",
H671&lt;50,"Moderate",
TRUE,"Heavy")</f>
        <v>Heavy</v>
      </c>
      <c r="L671" s="1" t="str">
        <f>IF(Table1[[#This Row],[Precipitation_mm]]&lt;&gt;0,"Wet","Dry")</f>
        <v>Wet</v>
      </c>
      <c r="M671" t="b">
        <f>OR(ISBLANK(Table1[[#This Row],[Temperature_F]]),ISERROR(Table1[[#This Row],[Temperature_F]]))</f>
        <v>0</v>
      </c>
    </row>
    <row r="672" spans="1:13" hidden="1" x14ac:dyDescent="0.25">
      <c r="A672" s="1" t="s">
        <v>1</v>
      </c>
      <c r="B672" s="1" t="s">
        <v>2</v>
      </c>
      <c r="C672" s="1">
        <v>42.360599999999998</v>
      </c>
      <c r="D672" s="1">
        <v>-71.010599999999997</v>
      </c>
      <c r="E672" s="5">
        <v>40858</v>
      </c>
      <c r="F672" s="1" t="str">
        <f t="shared" si="10"/>
        <v>November</v>
      </c>
      <c r="G672" s="1">
        <v>68</v>
      </c>
      <c r="H672" s="1">
        <v>0</v>
      </c>
      <c r="I672" s="1" t="str">
        <f>IF(Table1[[#This Row],[Temperature_F]]&lt;32,"Yes","No")</f>
        <v>No</v>
      </c>
      <c r="J672" s="1" t="str" cm="1">
        <f t="array" ref="J6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2" s="1" t="str" cm="1">
        <f t="array" ref="K672">_xlfn.IFS(
H672=0,"No Rain",
H672&lt;10,"Light",
H672&lt;50,"Moderate",
TRUE,"Heavy")</f>
        <v>No Rain</v>
      </c>
      <c r="L672" s="1" t="str">
        <f>IF(Table1[[#This Row],[Precipitation_mm]]&lt;&gt;0,"Wet","Dry")</f>
        <v>Dry</v>
      </c>
      <c r="M672" t="b">
        <f>OR(ISBLANK(Table1[[#This Row],[Temperature_F]]),ISERROR(Table1[[#This Row],[Temperature_F]]))</f>
        <v>0</v>
      </c>
    </row>
    <row r="673" spans="1:13" hidden="1" x14ac:dyDescent="0.25">
      <c r="A673" s="1" t="s">
        <v>1</v>
      </c>
      <c r="B673" s="1" t="s">
        <v>2</v>
      </c>
      <c r="C673" s="1">
        <v>42.360599999999998</v>
      </c>
      <c r="D673" s="1">
        <v>-71.010599999999997</v>
      </c>
      <c r="E673" s="5">
        <v>40859</v>
      </c>
      <c r="F673" s="1" t="str">
        <f t="shared" si="10"/>
        <v>November</v>
      </c>
      <c r="G673" s="1">
        <v>70</v>
      </c>
      <c r="H673" s="1">
        <v>0</v>
      </c>
      <c r="I673" s="1" t="str">
        <f>IF(Table1[[#This Row],[Temperature_F]]&lt;32,"Yes","No")</f>
        <v>No</v>
      </c>
      <c r="J673" s="1" t="str" cm="1">
        <f t="array" ref="J6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73" s="1" t="str" cm="1">
        <f t="array" ref="K673">_xlfn.IFS(
H673=0,"No Rain",
H673&lt;10,"Light",
H673&lt;50,"Moderate",
TRUE,"Heavy")</f>
        <v>No Rain</v>
      </c>
      <c r="L673" s="1" t="str">
        <f>IF(Table1[[#This Row],[Precipitation_mm]]&lt;&gt;0,"Wet","Dry")</f>
        <v>Dry</v>
      </c>
      <c r="M673" t="b">
        <f>OR(ISBLANK(Table1[[#This Row],[Temperature_F]]),ISERROR(Table1[[#This Row],[Temperature_F]]))</f>
        <v>0</v>
      </c>
    </row>
    <row r="674" spans="1:13" x14ac:dyDescent="0.25">
      <c r="A674" s="1" t="s">
        <v>1</v>
      </c>
      <c r="B674" s="1" t="s">
        <v>2</v>
      </c>
      <c r="C674" s="1">
        <v>42.360599999999998</v>
      </c>
      <c r="D674" s="1">
        <v>-71.010599999999997</v>
      </c>
      <c r="E674" s="5">
        <v>40860</v>
      </c>
      <c r="F674" s="1" t="str">
        <f t="shared" si="10"/>
        <v>November</v>
      </c>
      <c r="G674" s="1">
        <v>48</v>
      </c>
      <c r="H674" s="1">
        <v>0</v>
      </c>
      <c r="I674" s="1" t="str">
        <f>IF(Table1[[#This Row],[Temperature_F]]&lt;32,"Yes","No")</f>
        <v>No</v>
      </c>
      <c r="J674" s="1" t="str" cm="1">
        <f t="array" ref="J6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74" s="1" t="str" cm="1">
        <f t="array" ref="K674">_xlfn.IFS(
H674=0,"No Rain",
H674&lt;10,"Light",
H674&lt;50,"Moderate",
TRUE,"Heavy")</f>
        <v>No Rain</v>
      </c>
      <c r="L674" s="1" t="str">
        <f>IF(Table1[[#This Row],[Precipitation_mm]]&lt;&gt;0,"Wet","Dry")</f>
        <v>Dry</v>
      </c>
      <c r="M674" t="b">
        <f>OR(ISBLANK(Table1[[#This Row],[Temperature_F]]),ISERROR(Table1[[#This Row],[Temperature_F]]))</f>
        <v>0</v>
      </c>
    </row>
    <row r="675" spans="1:13" hidden="1" x14ac:dyDescent="0.25">
      <c r="A675" s="1" t="s">
        <v>1</v>
      </c>
      <c r="B675" s="1" t="s">
        <v>2</v>
      </c>
      <c r="C675" s="1">
        <v>42.360599999999998</v>
      </c>
      <c r="D675" s="1">
        <v>-71.010599999999997</v>
      </c>
      <c r="E675" s="5">
        <v>40861</v>
      </c>
      <c r="F675" s="1" t="str">
        <f t="shared" si="10"/>
        <v>November</v>
      </c>
      <c r="G675" s="1">
        <v>53</v>
      </c>
      <c r="H675" s="1">
        <v>0</v>
      </c>
      <c r="I675" s="1" t="str">
        <f>IF(Table1[[#This Row],[Temperature_F]]&lt;32,"Yes","No")</f>
        <v>No</v>
      </c>
      <c r="J675" s="1" t="str" cm="1">
        <f t="array" ref="J6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5" s="1" t="str" cm="1">
        <f t="array" ref="K675">_xlfn.IFS(
H675=0,"No Rain",
H675&lt;10,"Light",
H675&lt;50,"Moderate",
TRUE,"Heavy")</f>
        <v>No Rain</v>
      </c>
      <c r="L675" s="1" t="str">
        <f>IF(Table1[[#This Row],[Precipitation_mm]]&lt;&gt;0,"Wet","Dry")</f>
        <v>Dry</v>
      </c>
      <c r="M675" t="b">
        <f>OR(ISBLANK(Table1[[#This Row],[Temperature_F]]),ISERROR(Table1[[#This Row],[Temperature_F]]))</f>
        <v>0</v>
      </c>
    </row>
    <row r="676" spans="1:13" hidden="1" x14ac:dyDescent="0.25">
      <c r="A676" s="1" t="s">
        <v>1</v>
      </c>
      <c r="B676" s="1" t="s">
        <v>2</v>
      </c>
      <c r="C676" s="1">
        <v>42.360599999999998</v>
      </c>
      <c r="D676" s="1">
        <v>-71.010599999999997</v>
      </c>
      <c r="E676" s="5">
        <v>40862</v>
      </c>
      <c r="F676" s="1" t="str">
        <f t="shared" si="10"/>
        <v>November</v>
      </c>
      <c r="G676" s="1">
        <v>55</v>
      </c>
      <c r="H676" s="1">
        <v>0</v>
      </c>
      <c r="I676" s="1" t="str">
        <f>IF(Table1[[#This Row],[Temperature_F]]&lt;32,"Yes","No")</f>
        <v>No</v>
      </c>
      <c r="J676" s="1" t="str" cm="1">
        <f t="array" ref="J6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6" s="1" t="str" cm="1">
        <f t="array" ref="K676">_xlfn.IFS(
H676=0,"No Rain",
H676&lt;10,"Light",
H676&lt;50,"Moderate",
TRUE,"Heavy")</f>
        <v>No Rain</v>
      </c>
      <c r="L676" s="1" t="str">
        <f>IF(Table1[[#This Row],[Precipitation_mm]]&lt;&gt;0,"Wet","Dry")</f>
        <v>Dry</v>
      </c>
      <c r="M676" t="b">
        <f>OR(ISBLANK(Table1[[#This Row],[Temperature_F]]),ISERROR(Table1[[#This Row],[Temperature_F]]))</f>
        <v>0</v>
      </c>
    </row>
    <row r="677" spans="1:13" hidden="1" x14ac:dyDescent="0.25">
      <c r="A677" s="1" t="s">
        <v>1</v>
      </c>
      <c r="B677" s="1" t="s">
        <v>2</v>
      </c>
      <c r="C677" s="1">
        <v>42.360599999999998</v>
      </c>
      <c r="D677" s="1">
        <v>-71.010599999999997</v>
      </c>
      <c r="E677" s="5">
        <v>40863</v>
      </c>
      <c r="F677" s="1" t="str">
        <f t="shared" si="10"/>
        <v>November</v>
      </c>
      <c r="G677" s="1">
        <v>56</v>
      </c>
      <c r="H677" s="1">
        <v>198</v>
      </c>
      <c r="I677" s="1" t="str">
        <f>IF(Table1[[#This Row],[Temperature_F]]&lt;32,"Yes","No")</f>
        <v>No</v>
      </c>
      <c r="J677" s="1" t="str" cm="1">
        <f t="array" ref="J6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7" s="1" t="str" cm="1">
        <f t="array" ref="K677">_xlfn.IFS(
H677=0,"No Rain",
H677&lt;10,"Light",
H677&lt;50,"Moderate",
TRUE,"Heavy")</f>
        <v>Heavy</v>
      </c>
      <c r="L677" s="1" t="str">
        <f>IF(Table1[[#This Row],[Precipitation_mm]]&lt;&gt;0,"Wet","Dry")</f>
        <v>Wet</v>
      </c>
      <c r="M677" t="b">
        <f>OR(ISBLANK(Table1[[#This Row],[Temperature_F]]),ISERROR(Table1[[#This Row],[Temperature_F]]))</f>
        <v>0</v>
      </c>
    </row>
    <row r="678" spans="1:13" hidden="1" x14ac:dyDescent="0.25">
      <c r="A678" s="1" t="s">
        <v>1</v>
      </c>
      <c r="B678" s="1" t="s">
        <v>2</v>
      </c>
      <c r="C678" s="1">
        <v>42.360599999999998</v>
      </c>
      <c r="D678" s="1">
        <v>-71.010599999999997</v>
      </c>
      <c r="E678" s="5">
        <v>40864</v>
      </c>
      <c r="F678" s="1" t="str">
        <f t="shared" si="10"/>
        <v>November</v>
      </c>
      <c r="G678" s="1">
        <v>51</v>
      </c>
      <c r="H678" s="1">
        <v>33</v>
      </c>
      <c r="I678" s="1" t="str">
        <f>IF(Table1[[#This Row],[Temperature_F]]&lt;32,"Yes","No")</f>
        <v>No</v>
      </c>
      <c r="J678" s="1" t="str" cm="1">
        <f t="array" ref="J6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8" s="1" t="str" cm="1">
        <f t="array" ref="K678">_xlfn.IFS(
H678=0,"No Rain",
H678&lt;10,"Light",
H678&lt;50,"Moderate",
TRUE,"Heavy")</f>
        <v>Moderate</v>
      </c>
      <c r="L678" s="1" t="str">
        <f>IF(Table1[[#This Row],[Precipitation_mm]]&lt;&gt;0,"Wet","Dry")</f>
        <v>Wet</v>
      </c>
      <c r="M678" t="b">
        <f>OR(ISBLANK(Table1[[#This Row],[Temperature_F]]),ISERROR(Table1[[#This Row],[Temperature_F]]))</f>
        <v>0</v>
      </c>
    </row>
    <row r="679" spans="1:13" hidden="1" x14ac:dyDescent="0.25">
      <c r="A679" s="1" t="s">
        <v>1</v>
      </c>
      <c r="B679" s="1" t="s">
        <v>2</v>
      </c>
      <c r="C679" s="1">
        <v>42.360599999999998</v>
      </c>
      <c r="D679" s="1">
        <v>-71.010599999999997</v>
      </c>
      <c r="E679" s="5">
        <v>40865</v>
      </c>
      <c r="F679" s="1" t="str">
        <f t="shared" si="10"/>
        <v>November</v>
      </c>
      <c r="G679" s="1">
        <v>56</v>
      </c>
      <c r="H679" s="1">
        <v>0</v>
      </c>
      <c r="I679" s="1" t="str">
        <f>IF(Table1[[#This Row],[Temperature_F]]&lt;32,"Yes","No")</f>
        <v>No</v>
      </c>
      <c r="J679" s="1" t="str" cm="1">
        <f t="array" ref="J6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79" s="1" t="str" cm="1">
        <f t="array" ref="K679">_xlfn.IFS(
H679=0,"No Rain",
H679&lt;10,"Light",
H679&lt;50,"Moderate",
TRUE,"Heavy")</f>
        <v>No Rain</v>
      </c>
      <c r="L679" s="1" t="str">
        <f>IF(Table1[[#This Row],[Precipitation_mm]]&lt;&gt;0,"Wet","Dry")</f>
        <v>Dry</v>
      </c>
      <c r="M679" t="b">
        <f>OR(ISBLANK(Table1[[#This Row],[Temperature_F]]),ISERROR(Table1[[#This Row],[Temperature_F]]))</f>
        <v>0</v>
      </c>
    </row>
    <row r="680" spans="1:13" hidden="1" x14ac:dyDescent="0.25">
      <c r="A680" s="1" t="s">
        <v>1</v>
      </c>
      <c r="B680" s="1" t="s">
        <v>2</v>
      </c>
      <c r="C680" s="1">
        <v>42.360599999999998</v>
      </c>
      <c r="D680" s="1">
        <v>-71.010599999999997</v>
      </c>
      <c r="E680" s="5">
        <v>40866</v>
      </c>
      <c r="F680" s="1" t="str">
        <f t="shared" si="10"/>
        <v>November</v>
      </c>
      <c r="G680" s="1">
        <v>65</v>
      </c>
      <c r="H680" s="1">
        <v>0</v>
      </c>
      <c r="I680" s="1" t="str">
        <f>IF(Table1[[#This Row],[Temperature_F]]&lt;32,"Yes","No")</f>
        <v>No</v>
      </c>
      <c r="J680" s="1" t="str" cm="1">
        <f t="array" ref="J6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80" s="1" t="str" cm="1">
        <f t="array" ref="K680">_xlfn.IFS(
H680=0,"No Rain",
H680&lt;10,"Light",
H680&lt;50,"Moderate",
TRUE,"Heavy")</f>
        <v>No Rain</v>
      </c>
      <c r="L680" s="1" t="str">
        <f>IF(Table1[[#This Row],[Precipitation_mm]]&lt;&gt;0,"Wet","Dry")</f>
        <v>Dry</v>
      </c>
      <c r="M680" t="b">
        <f>OR(ISBLANK(Table1[[#This Row],[Temperature_F]]),ISERROR(Table1[[#This Row],[Temperature_F]]))</f>
        <v>0</v>
      </c>
    </row>
    <row r="681" spans="1:13" x14ac:dyDescent="0.25">
      <c r="A681" s="1" t="s">
        <v>1</v>
      </c>
      <c r="B681" s="1" t="s">
        <v>2</v>
      </c>
      <c r="C681" s="1">
        <v>42.360599999999998</v>
      </c>
      <c r="D681" s="1">
        <v>-71.010599999999997</v>
      </c>
      <c r="E681" s="5">
        <v>40867</v>
      </c>
      <c r="F681" s="1" t="str">
        <f t="shared" si="10"/>
        <v>November</v>
      </c>
      <c r="G681" s="1">
        <v>43</v>
      </c>
      <c r="H681" s="1">
        <v>0</v>
      </c>
      <c r="I681" s="1" t="str">
        <f>IF(Table1[[#This Row],[Temperature_F]]&lt;32,"Yes","No")</f>
        <v>No</v>
      </c>
      <c r="J681" s="1" t="str" cm="1">
        <f t="array" ref="J6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81" s="1" t="str" cm="1">
        <f t="array" ref="K681">_xlfn.IFS(
H681=0,"No Rain",
H681&lt;10,"Light",
H681&lt;50,"Moderate",
TRUE,"Heavy")</f>
        <v>No Rain</v>
      </c>
      <c r="L681" s="1" t="str">
        <f>IF(Table1[[#This Row],[Precipitation_mm]]&lt;&gt;0,"Wet","Dry")</f>
        <v>Dry</v>
      </c>
      <c r="M681" t="b">
        <f>OR(ISBLANK(Table1[[#This Row],[Temperature_F]]),ISERROR(Table1[[#This Row],[Temperature_F]]))</f>
        <v>0</v>
      </c>
    </row>
    <row r="682" spans="1:13" hidden="1" x14ac:dyDescent="0.25">
      <c r="A682" s="1" t="s">
        <v>1</v>
      </c>
      <c r="B682" s="1" t="s">
        <v>2</v>
      </c>
      <c r="C682" s="1">
        <v>42.360599999999998</v>
      </c>
      <c r="D682" s="1">
        <v>-71.010599999999997</v>
      </c>
      <c r="E682" s="5">
        <v>40868</v>
      </c>
      <c r="F682" s="1" t="str">
        <f t="shared" si="10"/>
        <v>November</v>
      </c>
      <c r="G682" s="1">
        <v>68</v>
      </c>
      <c r="H682" s="1">
        <v>0</v>
      </c>
      <c r="I682" s="1" t="str">
        <f>IF(Table1[[#This Row],[Temperature_F]]&lt;32,"Yes","No")</f>
        <v>No</v>
      </c>
      <c r="J682" s="1" t="str" cm="1">
        <f t="array" ref="J6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82" s="1" t="str" cm="1">
        <f t="array" ref="K682">_xlfn.IFS(
H682=0,"No Rain",
H682&lt;10,"Light",
H682&lt;50,"Moderate",
TRUE,"Heavy")</f>
        <v>No Rain</v>
      </c>
      <c r="L682" s="1" t="str">
        <f>IF(Table1[[#This Row],[Precipitation_mm]]&lt;&gt;0,"Wet","Dry")</f>
        <v>Dry</v>
      </c>
      <c r="M682" t="b">
        <f>OR(ISBLANK(Table1[[#This Row],[Temperature_F]]),ISERROR(Table1[[#This Row],[Temperature_F]]))</f>
        <v>0</v>
      </c>
    </row>
    <row r="683" spans="1:13" hidden="1" x14ac:dyDescent="0.25">
      <c r="A683" s="1" t="s">
        <v>1</v>
      </c>
      <c r="B683" s="1" t="s">
        <v>2</v>
      </c>
      <c r="C683" s="1">
        <v>42.360599999999998</v>
      </c>
      <c r="D683" s="1">
        <v>-71.010599999999997</v>
      </c>
      <c r="E683" s="5">
        <v>40869</v>
      </c>
      <c r="F683" s="1" t="str">
        <f t="shared" si="10"/>
        <v>November</v>
      </c>
      <c r="G683" s="1">
        <v>51</v>
      </c>
      <c r="H683" s="1">
        <v>8</v>
      </c>
      <c r="I683" s="1" t="str">
        <f>IF(Table1[[#This Row],[Temperature_F]]&lt;32,"Yes","No")</f>
        <v>No</v>
      </c>
      <c r="J683" s="1" t="str" cm="1">
        <f t="array" ref="J6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83" s="1" t="str" cm="1">
        <f t="array" ref="K683">_xlfn.IFS(
H683=0,"No Rain",
H683&lt;10,"Light",
H683&lt;50,"Moderate",
TRUE,"Heavy")</f>
        <v>Light</v>
      </c>
      <c r="L683" s="1" t="str">
        <f>IF(Table1[[#This Row],[Precipitation_mm]]&lt;&gt;0,"Wet","Dry")</f>
        <v>Wet</v>
      </c>
      <c r="M683" t="b">
        <f>OR(ISBLANK(Table1[[#This Row],[Temperature_F]]),ISERROR(Table1[[#This Row],[Temperature_F]]))</f>
        <v>0</v>
      </c>
    </row>
    <row r="684" spans="1:13" hidden="1" x14ac:dyDescent="0.25">
      <c r="A684" s="1" t="s">
        <v>1</v>
      </c>
      <c r="B684" s="1" t="s">
        <v>2</v>
      </c>
      <c r="C684" s="1">
        <v>42.360599999999998</v>
      </c>
      <c r="D684" s="1">
        <v>-71.010599999999997</v>
      </c>
      <c r="E684" s="5">
        <v>40870</v>
      </c>
      <c r="F684" s="1" t="str">
        <f t="shared" si="10"/>
        <v>November</v>
      </c>
      <c r="G684" s="1">
        <v>55</v>
      </c>
      <c r="H684" s="1">
        <v>371</v>
      </c>
      <c r="I684" s="1" t="str">
        <f>IF(Table1[[#This Row],[Temperature_F]]&lt;32,"Yes","No")</f>
        <v>No</v>
      </c>
      <c r="J684" s="1" t="str" cm="1">
        <f t="array" ref="J6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84" s="1" t="str" cm="1">
        <f t="array" ref="K684">_xlfn.IFS(
H684=0,"No Rain",
H684&lt;10,"Light",
H684&lt;50,"Moderate",
TRUE,"Heavy")</f>
        <v>Heavy</v>
      </c>
      <c r="L684" s="1" t="str">
        <f>IF(Table1[[#This Row],[Precipitation_mm]]&lt;&gt;0,"Wet","Dry")</f>
        <v>Wet</v>
      </c>
      <c r="M684" t="b">
        <f>OR(ISBLANK(Table1[[#This Row],[Temperature_F]]),ISERROR(Table1[[#This Row],[Temperature_F]]))</f>
        <v>0</v>
      </c>
    </row>
    <row r="685" spans="1:13" x14ac:dyDescent="0.25">
      <c r="A685" s="1" t="s">
        <v>1</v>
      </c>
      <c r="B685" s="1" t="s">
        <v>2</v>
      </c>
      <c r="C685" s="1">
        <v>42.360599999999998</v>
      </c>
      <c r="D685" s="1">
        <v>-71.010599999999997</v>
      </c>
      <c r="E685" s="5">
        <v>40871</v>
      </c>
      <c r="F685" s="1" t="str">
        <f t="shared" si="10"/>
        <v>November</v>
      </c>
      <c r="G685" s="1">
        <v>49</v>
      </c>
      <c r="H685" s="1">
        <v>0</v>
      </c>
      <c r="I685" s="1" t="str">
        <f>IF(Table1[[#This Row],[Temperature_F]]&lt;32,"Yes","No")</f>
        <v>No</v>
      </c>
      <c r="J685" s="1" t="str" cm="1">
        <f t="array" ref="J6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85" s="1" t="str" cm="1">
        <f t="array" ref="K685">_xlfn.IFS(
H685=0,"No Rain",
H685&lt;10,"Light",
H685&lt;50,"Moderate",
TRUE,"Heavy")</f>
        <v>No Rain</v>
      </c>
      <c r="L685" s="1" t="str">
        <f>IF(Table1[[#This Row],[Precipitation_mm]]&lt;&gt;0,"Wet","Dry")</f>
        <v>Dry</v>
      </c>
      <c r="M685" t="b">
        <f>OR(ISBLANK(Table1[[#This Row],[Temperature_F]]),ISERROR(Table1[[#This Row],[Temperature_F]]))</f>
        <v>0</v>
      </c>
    </row>
    <row r="686" spans="1:13" x14ac:dyDescent="0.25">
      <c r="A686" s="1" t="s">
        <v>1</v>
      </c>
      <c r="B686" s="1" t="s">
        <v>2</v>
      </c>
      <c r="C686" s="1">
        <v>42.360599999999998</v>
      </c>
      <c r="D686" s="1">
        <v>-71.010599999999997</v>
      </c>
      <c r="E686" s="5">
        <v>40872</v>
      </c>
      <c r="F686" s="1" t="str">
        <f t="shared" si="10"/>
        <v>November</v>
      </c>
      <c r="G686" s="1">
        <v>49</v>
      </c>
      <c r="H686" s="1">
        <v>0</v>
      </c>
      <c r="I686" s="1" t="str">
        <f>IF(Table1[[#This Row],[Temperature_F]]&lt;32,"Yes","No")</f>
        <v>No</v>
      </c>
      <c r="J686" s="1" t="str" cm="1">
        <f t="array" ref="J6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86" s="1" t="str" cm="1">
        <f t="array" ref="K686">_xlfn.IFS(
H686=0,"No Rain",
H686&lt;10,"Light",
H686&lt;50,"Moderate",
TRUE,"Heavy")</f>
        <v>No Rain</v>
      </c>
      <c r="L686" s="1" t="str">
        <f>IF(Table1[[#This Row],[Precipitation_mm]]&lt;&gt;0,"Wet","Dry")</f>
        <v>Dry</v>
      </c>
      <c r="M686" t="b">
        <f>OR(ISBLANK(Table1[[#This Row],[Temperature_F]]),ISERROR(Table1[[#This Row],[Temperature_F]]))</f>
        <v>0</v>
      </c>
    </row>
    <row r="687" spans="1:13" x14ac:dyDescent="0.25">
      <c r="A687" s="1" t="s">
        <v>1</v>
      </c>
      <c r="B687" s="1" t="s">
        <v>2</v>
      </c>
      <c r="C687" s="1">
        <v>42.360599999999998</v>
      </c>
      <c r="D687" s="1">
        <v>-71.010599999999997</v>
      </c>
      <c r="E687" s="5">
        <v>40873</v>
      </c>
      <c r="F687" s="1" t="str">
        <f t="shared" si="10"/>
        <v>November</v>
      </c>
      <c r="G687" s="1">
        <v>41</v>
      </c>
      <c r="H687" s="1">
        <v>0</v>
      </c>
      <c r="I687" s="1" t="str">
        <f>IF(Table1[[#This Row],[Temperature_F]]&lt;32,"Yes","No")</f>
        <v>No</v>
      </c>
      <c r="J687" s="1" t="str" cm="1">
        <f t="array" ref="J6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87" s="1" t="str" cm="1">
        <f t="array" ref="K687">_xlfn.IFS(
H687=0,"No Rain",
H687&lt;10,"Light",
H687&lt;50,"Moderate",
TRUE,"Heavy")</f>
        <v>No Rain</v>
      </c>
      <c r="L687" s="1" t="str">
        <f>IF(Table1[[#This Row],[Precipitation_mm]]&lt;&gt;0,"Wet","Dry")</f>
        <v>Dry</v>
      </c>
      <c r="M687" t="b">
        <f>OR(ISBLANK(Table1[[#This Row],[Temperature_F]]),ISERROR(Table1[[#This Row],[Temperature_F]]))</f>
        <v>0</v>
      </c>
    </row>
    <row r="688" spans="1:13" hidden="1" x14ac:dyDescent="0.25">
      <c r="A688" s="1" t="s">
        <v>1</v>
      </c>
      <c r="B688" s="1" t="s">
        <v>2</v>
      </c>
      <c r="C688" s="1">
        <v>42.360599999999998</v>
      </c>
      <c r="D688" s="1">
        <v>-71.010599999999997</v>
      </c>
      <c r="E688" s="5">
        <v>40874</v>
      </c>
      <c r="F688" s="1" t="str">
        <f t="shared" si="10"/>
        <v>November</v>
      </c>
      <c r="G688" s="1">
        <v>69</v>
      </c>
      <c r="H688" s="1">
        <v>0</v>
      </c>
      <c r="I688" s="1" t="str">
        <f>IF(Table1[[#This Row],[Temperature_F]]&lt;32,"Yes","No")</f>
        <v>No</v>
      </c>
      <c r="J688" s="1" t="str" cm="1">
        <f t="array" ref="J6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688" s="1" t="str" cm="1">
        <f t="array" ref="K688">_xlfn.IFS(
H688=0,"No Rain",
H688&lt;10,"Light",
H688&lt;50,"Moderate",
TRUE,"Heavy")</f>
        <v>No Rain</v>
      </c>
      <c r="L688" s="1" t="str">
        <f>IF(Table1[[#This Row],[Precipitation_mm]]&lt;&gt;0,"Wet","Dry")</f>
        <v>Dry</v>
      </c>
      <c r="M688" t="b">
        <f>OR(ISBLANK(Table1[[#This Row],[Temperature_F]]),ISERROR(Table1[[#This Row],[Temperature_F]]))</f>
        <v>0</v>
      </c>
    </row>
    <row r="689" spans="1:13" x14ac:dyDescent="0.25">
      <c r="A689" s="1" t="s">
        <v>1</v>
      </c>
      <c r="B689" s="1" t="s">
        <v>2</v>
      </c>
      <c r="C689" s="1">
        <v>42.360599999999998</v>
      </c>
      <c r="D689" s="1">
        <v>-71.010599999999997</v>
      </c>
      <c r="E689" s="5">
        <v>40875</v>
      </c>
      <c r="F689" s="1" t="str">
        <f t="shared" si="10"/>
        <v>November</v>
      </c>
      <c r="G689" s="1">
        <v>49</v>
      </c>
      <c r="H689" s="1">
        <v>0</v>
      </c>
      <c r="I689" s="1" t="str">
        <f>IF(Table1[[#This Row],[Temperature_F]]&lt;32,"Yes","No")</f>
        <v>No</v>
      </c>
      <c r="J689" s="1" t="str" cm="1">
        <f t="array" ref="J6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89" s="1" t="str" cm="1">
        <f t="array" ref="K689">_xlfn.IFS(
H689=0,"No Rain",
H689&lt;10,"Light",
H689&lt;50,"Moderate",
TRUE,"Heavy")</f>
        <v>No Rain</v>
      </c>
      <c r="L689" s="1" t="str">
        <f>IF(Table1[[#This Row],[Precipitation_mm]]&lt;&gt;0,"Wet","Dry")</f>
        <v>Dry</v>
      </c>
      <c r="M689" t="b">
        <f>OR(ISBLANK(Table1[[#This Row],[Temperature_F]]),ISERROR(Table1[[#This Row],[Temperature_F]]))</f>
        <v>0</v>
      </c>
    </row>
    <row r="690" spans="1:13" x14ac:dyDescent="0.25">
      <c r="A690" s="1" t="s">
        <v>1</v>
      </c>
      <c r="B690" s="1" t="s">
        <v>2</v>
      </c>
      <c r="C690" s="1">
        <v>42.360599999999998</v>
      </c>
      <c r="D690" s="1">
        <v>-71.010599999999997</v>
      </c>
      <c r="E690" s="5">
        <v>40876</v>
      </c>
      <c r="F690" s="1" t="str">
        <f t="shared" si="10"/>
        <v>November</v>
      </c>
      <c r="G690" s="1">
        <v>50</v>
      </c>
      <c r="H690" s="1">
        <v>15</v>
      </c>
      <c r="I690" s="1" t="str">
        <f>IF(Table1[[#This Row],[Temperature_F]]&lt;32,"Yes","No")</f>
        <v>No</v>
      </c>
      <c r="J690" s="1" t="str" cm="1">
        <f t="array" ref="J6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90" s="1" t="str" cm="1">
        <f t="array" ref="K690">_xlfn.IFS(
H690=0,"No Rain",
H690&lt;10,"Light",
H690&lt;50,"Moderate",
TRUE,"Heavy")</f>
        <v>Moderate</v>
      </c>
      <c r="L690" s="1" t="str">
        <f>IF(Table1[[#This Row],[Precipitation_mm]]&lt;&gt;0,"Wet","Dry")</f>
        <v>Wet</v>
      </c>
      <c r="M690" t="b">
        <f>OR(ISBLANK(Table1[[#This Row],[Temperature_F]]),ISERROR(Table1[[#This Row],[Temperature_F]]))</f>
        <v>0</v>
      </c>
    </row>
    <row r="691" spans="1:13" hidden="1" x14ac:dyDescent="0.25">
      <c r="A691" s="1" t="s">
        <v>1</v>
      </c>
      <c r="B691" s="1" t="s">
        <v>2</v>
      </c>
      <c r="C691" s="1">
        <v>42.360599999999998</v>
      </c>
      <c r="D691" s="1">
        <v>-71.010599999999997</v>
      </c>
      <c r="E691" s="5">
        <v>40877</v>
      </c>
      <c r="F691" s="1" t="str">
        <f t="shared" si="10"/>
        <v>November</v>
      </c>
      <c r="G691" s="1">
        <v>58</v>
      </c>
      <c r="H691" s="1">
        <v>178</v>
      </c>
      <c r="I691" s="1" t="str">
        <f>IF(Table1[[#This Row],[Temperature_F]]&lt;32,"Yes","No")</f>
        <v>No</v>
      </c>
      <c r="J691" s="1" t="str" cm="1">
        <f t="array" ref="J6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691" s="1" t="str" cm="1">
        <f t="array" ref="K691">_xlfn.IFS(
H691=0,"No Rain",
H691&lt;10,"Light",
H691&lt;50,"Moderate",
TRUE,"Heavy")</f>
        <v>Heavy</v>
      </c>
      <c r="L691" s="1" t="str">
        <f>IF(Table1[[#This Row],[Precipitation_mm]]&lt;&gt;0,"Wet","Dry")</f>
        <v>Wet</v>
      </c>
      <c r="M691" t="b">
        <f>OR(ISBLANK(Table1[[#This Row],[Temperature_F]]),ISERROR(Table1[[#This Row],[Temperature_F]]))</f>
        <v>0</v>
      </c>
    </row>
    <row r="692" spans="1:13" x14ac:dyDescent="0.25">
      <c r="A692" s="1" t="s">
        <v>1</v>
      </c>
      <c r="B692" s="1" t="s">
        <v>2</v>
      </c>
      <c r="C692" s="1">
        <v>42.360599999999998</v>
      </c>
      <c r="D692" s="1">
        <v>-71.010599999999997</v>
      </c>
      <c r="E692" s="5">
        <v>40878</v>
      </c>
      <c r="F692" s="1" t="str">
        <f t="shared" si="10"/>
        <v>December</v>
      </c>
      <c r="G692" s="1">
        <v>37</v>
      </c>
      <c r="H692" s="1">
        <v>0</v>
      </c>
      <c r="I692" s="1" t="str">
        <f>IF(Table1[[#This Row],[Temperature_F]]&lt;32,"Yes","No")</f>
        <v>No</v>
      </c>
      <c r="J692" s="1" t="str" cm="1">
        <f t="array" ref="J6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92" s="1" t="str" cm="1">
        <f t="array" ref="K692">_xlfn.IFS(
H692=0,"No Rain",
H692&lt;10,"Light",
H692&lt;50,"Moderate",
TRUE,"Heavy")</f>
        <v>No Rain</v>
      </c>
      <c r="L692" s="1" t="str">
        <f>IF(Table1[[#This Row],[Precipitation_mm]]&lt;&gt;0,"Wet","Dry")</f>
        <v>Dry</v>
      </c>
      <c r="M692" t="b">
        <f>OR(ISBLANK(Table1[[#This Row],[Temperature_F]]),ISERROR(Table1[[#This Row],[Temperature_F]]))</f>
        <v>0</v>
      </c>
    </row>
    <row r="693" spans="1:13" hidden="1" x14ac:dyDescent="0.25">
      <c r="A693" s="1" t="s">
        <v>1</v>
      </c>
      <c r="B693" s="1" t="s">
        <v>2</v>
      </c>
      <c r="C693" s="1">
        <v>42.360599999999998</v>
      </c>
      <c r="D693" s="1">
        <v>-71.010599999999997</v>
      </c>
      <c r="E693" s="5">
        <v>40879</v>
      </c>
      <c r="F693" s="1" t="str">
        <f t="shared" si="10"/>
        <v>December</v>
      </c>
      <c r="G693" s="1">
        <v>11</v>
      </c>
      <c r="H693" s="1">
        <v>0</v>
      </c>
      <c r="I693" s="1" t="str">
        <f>IF(Table1[[#This Row],[Temperature_F]]&lt;32,"Yes","No")</f>
        <v>Yes</v>
      </c>
      <c r="J693" s="1" t="str" cm="1">
        <f t="array" ref="J6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93" s="1" t="str" cm="1">
        <f t="array" ref="K693">_xlfn.IFS(
H693=0,"No Rain",
H693&lt;10,"Light",
H693&lt;50,"Moderate",
TRUE,"Heavy")</f>
        <v>No Rain</v>
      </c>
      <c r="L693" s="1" t="str">
        <f>IF(Table1[[#This Row],[Precipitation_mm]]&lt;&gt;0,"Wet","Dry")</f>
        <v>Dry</v>
      </c>
      <c r="M693" t="b">
        <f>OR(ISBLANK(Table1[[#This Row],[Temperature_F]]),ISERROR(Table1[[#This Row],[Temperature_F]]))</f>
        <v>0</v>
      </c>
    </row>
    <row r="694" spans="1:13" x14ac:dyDescent="0.25">
      <c r="A694" s="1" t="s">
        <v>1</v>
      </c>
      <c r="B694" s="1" t="s">
        <v>2</v>
      </c>
      <c r="C694" s="1">
        <v>42.360599999999998</v>
      </c>
      <c r="D694" s="1">
        <v>-71.010599999999997</v>
      </c>
      <c r="E694" s="5">
        <v>40880</v>
      </c>
      <c r="F694" s="1" t="str">
        <f t="shared" si="10"/>
        <v>December</v>
      </c>
      <c r="G694" s="1">
        <v>42</v>
      </c>
      <c r="H694" s="1">
        <v>0</v>
      </c>
      <c r="I694" s="1" t="str">
        <f>IF(Table1[[#This Row],[Temperature_F]]&lt;32,"Yes","No")</f>
        <v>No</v>
      </c>
      <c r="J694" s="1" t="str" cm="1">
        <f t="array" ref="J6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94" s="1" t="str" cm="1">
        <f t="array" ref="K694">_xlfn.IFS(
H694=0,"No Rain",
H694&lt;10,"Light",
H694&lt;50,"Moderate",
TRUE,"Heavy")</f>
        <v>No Rain</v>
      </c>
      <c r="L694" s="1" t="str">
        <f>IF(Table1[[#This Row],[Precipitation_mm]]&lt;&gt;0,"Wet","Dry")</f>
        <v>Dry</v>
      </c>
      <c r="M694" t="b">
        <f>OR(ISBLANK(Table1[[#This Row],[Temperature_F]]),ISERROR(Table1[[#This Row],[Temperature_F]]))</f>
        <v>0</v>
      </c>
    </row>
    <row r="695" spans="1:13" x14ac:dyDescent="0.25">
      <c r="A695" s="1" t="s">
        <v>1</v>
      </c>
      <c r="B695" s="1" t="s">
        <v>2</v>
      </c>
      <c r="C695" s="1">
        <v>42.360599999999998</v>
      </c>
      <c r="D695" s="1">
        <v>-71.010599999999997</v>
      </c>
      <c r="E695" s="5">
        <v>40881</v>
      </c>
      <c r="F695" s="1" t="str">
        <f t="shared" si="10"/>
        <v>December</v>
      </c>
      <c r="G695" s="1">
        <v>41</v>
      </c>
      <c r="H695" s="1">
        <v>0</v>
      </c>
      <c r="I695" s="1" t="str">
        <f>IF(Table1[[#This Row],[Temperature_F]]&lt;32,"Yes","No")</f>
        <v>No</v>
      </c>
      <c r="J695" s="1" t="str" cm="1">
        <f t="array" ref="J6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95" s="1" t="str" cm="1">
        <f t="array" ref="K695">_xlfn.IFS(
H695=0,"No Rain",
H695&lt;10,"Light",
H695&lt;50,"Moderate",
TRUE,"Heavy")</f>
        <v>No Rain</v>
      </c>
      <c r="L695" s="1" t="str">
        <f>IF(Table1[[#This Row],[Precipitation_mm]]&lt;&gt;0,"Wet","Dry")</f>
        <v>Dry</v>
      </c>
      <c r="M695" t="b">
        <f>OR(ISBLANK(Table1[[#This Row],[Temperature_F]]),ISERROR(Table1[[#This Row],[Temperature_F]]))</f>
        <v>0</v>
      </c>
    </row>
    <row r="696" spans="1:13" x14ac:dyDescent="0.25">
      <c r="A696" s="1" t="s">
        <v>1</v>
      </c>
      <c r="B696" s="1" t="s">
        <v>2</v>
      </c>
      <c r="C696" s="1">
        <v>42.360599999999998</v>
      </c>
      <c r="D696" s="1">
        <v>-71.010599999999997</v>
      </c>
      <c r="E696" s="5">
        <v>40882</v>
      </c>
      <c r="F696" s="1" t="str">
        <f t="shared" si="10"/>
        <v>December</v>
      </c>
      <c r="G696" s="1">
        <v>33</v>
      </c>
      <c r="H696" s="1">
        <v>0</v>
      </c>
      <c r="I696" s="1" t="str">
        <f>IF(Table1[[#This Row],[Temperature_F]]&lt;32,"Yes","No")</f>
        <v>No</v>
      </c>
      <c r="J696" s="1" t="str" cm="1">
        <f t="array" ref="J6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96" s="1" t="str" cm="1">
        <f t="array" ref="K696">_xlfn.IFS(
H696=0,"No Rain",
H696&lt;10,"Light",
H696&lt;50,"Moderate",
TRUE,"Heavy")</f>
        <v>No Rain</v>
      </c>
      <c r="L696" s="1" t="str">
        <f>IF(Table1[[#This Row],[Precipitation_mm]]&lt;&gt;0,"Wet","Dry")</f>
        <v>Dry</v>
      </c>
      <c r="M696" t="b">
        <f>OR(ISBLANK(Table1[[#This Row],[Temperature_F]]),ISERROR(Table1[[#This Row],[Temperature_F]]))</f>
        <v>0</v>
      </c>
    </row>
    <row r="697" spans="1:13" x14ac:dyDescent="0.25">
      <c r="A697" s="1" t="s">
        <v>1</v>
      </c>
      <c r="B697" s="1" t="s">
        <v>2</v>
      </c>
      <c r="C697" s="1">
        <v>42.360599999999998</v>
      </c>
      <c r="D697" s="1">
        <v>-71.010599999999997</v>
      </c>
      <c r="E697" s="5">
        <v>40883</v>
      </c>
      <c r="F697" s="1" t="str">
        <f t="shared" si="10"/>
        <v>December</v>
      </c>
      <c r="G697" s="1">
        <v>41</v>
      </c>
      <c r="H697" s="1">
        <v>23</v>
      </c>
      <c r="I697" s="1" t="str">
        <f>IF(Table1[[#This Row],[Temperature_F]]&lt;32,"Yes","No")</f>
        <v>No</v>
      </c>
      <c r="J697" s="1" t="str" cm="1">
        <f t="array" ref="J6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697" s="1" t="str" cm="1">
        <f t="array" ref="K697">_xlfn.IFS(
H697=0,"No Rain",
H697&lt;10,"Light",
H697&lt;50,"Moderate",
TRUE,"Heavy")</f>
        <v>Moderate</v>
      </c>
      <c r="L697" s="1" t="str">
        <f>IF(Table1[[#This Row],[Precipitation_mm]]&lt;&gt;0,"Wet","Dry")</f>
        <v>Wet</v>
      </c>
      <c r="M697" t="b">
        <f>OR(ISBLANK(Table1[[#This Row],[Temperature_F]]),ISERROR(Table1[[#This Row],[Temperature_F]]))</f>
        <v>0</v>
      </c>
    </row>
    <row r="698" spans="1:13" hidden="1" x14ac:dyDescent="0.25">
      <c r="A698" s="1" t="s">
        <v>1</v>
      </c>
      <c r="B698" s="1" t="s">
        <v>2</v>
      </c>
      <c r="C698" s="1">
        <v>42.360599999999998</v>
      </c>
      <c r="D698" s="1">
        <v>-71.010599999999997</v>
      </c>
      <c r="E698" s="5">
        <v>40884</v>
      </c>
      <c r="F698" s="1" t="str">
        <f t="shared" ref="F698:F761" si="11">TEXT(E698,"mmmm")</f>
        <v>December</v>
      </c>
      <c r="G698" s="1">
        <v>22</v>
      </c>
      <c r="H698" s="1">
        <v>406</v>
      </c>
      <c r="I698" s="1" t="str">
        <f>IF(Table1[[#This Row],[Temperature_F]]&lt;32,"Yes","No")</f>
        <v>Yes</v>
      </c>
      <c r="J698" s="1" t="str" cm="1">
        <f t="array" ref="J6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98" s="1" t="str" cm="1">
        <f t="array" ref="K698">_xlfn.IFS(
H698=0,"No Rain",
H698&lt;10,"Light",
H698&lt;50,"Moderate",
TRUE,"Heavy")</f>
        <v>Heavy</v>
      </c>
      <c r="L698" s="1" t="str">
        <f>IF(Table1[[#This Row],[Precipitation_mm]]&lt;&gt;0,"Wet","Dry")</f>
        <v>Wet</v>
      </c>
      <c r="M698" t="b">
        <f>OR(ISBLANK(Table1[[#This Row],[Temperature_F]]),ISERROR(Table1[[#This Row],[Temperature_F]]))</f>
        <v>0</v>
      </c>
    </row>
    <row r="699" spans="1:13" hidden="1" x14ac:dyDescent="0.25">
      <c r="A699" s="1" t="s">
        <v>1</v>
      </c>
      <c r="B699" s="1" t="s">
        <v>2</v>
      </c>
      <c r="C699" s="1">
        <v>42.360599999999998</v>
      </c>
      <c r="D699" s="1">
        <v>-71.010599999999997</v>
      </c>
      <c r="E699" s="5">
        <v>40885</v>
      </c>
      <c r="F699" s="1" t="str">
        <f t="shared" si="11"/>
        <v>December</v>
      </c>
      <c r="G699" s="1">
        <v>17</v>
      </c>
      <c r="H699" s="1">
        <v>226</v>
      </c>
      <c r="I699" s="1" t="str">
        <f>IF(Table1[[#This Row],[Temperature_F]]&lt;32,"Yes","No")</f>
        <v>Yes</v>
      </c>
      <c r="J699" s="1" t="str" cm="1">
        <f t="array" ref="J6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699" s="1" t="str" cm="1">
        <f t="array" ref="K699">_xlfn.IFS(
H699=0,"No Rain",
H699&lt;10,"Light",
H699&lt;50,"Moderate",
TRUE,"Heavy")</f>
        <v>Heavy</v>
      </c>
      <c r="L699" s="1" t="str">
        <f>IF(Table1[[#This Row],[Precipitation_mm]]&lt;&gt;0,"Wet","Dry")</f>
        <v>Wet</v>
      </c>
      <c r="M699" t="b">
        <f>OR(ISBLANK(Table1[[#This Row],[Temperature_F]]),ISERROR(Table1[[#This Row],[Temperature_F]]))</f>
        <v>0</v>
      </c>
    </row>
    <row r="700" spans="1:13" x14ac:dyDescent="0.25">
      <c r="A700" s="1" t="s">
        <v>1</v>
      </c>
      <c r="B700" s="1" t="s">
        <v>2</v>
      </c>
      <c r="C700" s="1">
        <v>42.360599999999998</v>
      </c>
      <c r="D700" s="1">
        <v>-71.010599999999997</v>
      </c>
      <c r="E700" s="5">
        <v>40886</v>
      </c>
      <c r="F700" s="1" t="str">
        <f t="shared" si="11"/>
        <v>December</v>
      </c>
      <c r="G700" s="1">
        <v>36</v>
      </c>
      <c r="H700" s="1">
        <v>0</v>
      </c>
      <c r="I700" s="1" t="str">
        <f>IF(Table1[[#This Row],[Temperature_F]]&lt;32,"Yes","No")</f>
        <v>No</v>
      </c>
      <c r="J700" s="1" t="str" cm="1">
        <f t="array" ref="J7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00" s="1" t="str" cm="1">
        <f t="array" ref="K700">_xlfn.IFS(
H700=0,"No Rain",
H700&lt;10,"Light",
H700&lt;50,"Moderate",
TRUE,"Heavy")</f>
        <v>No Rain</v>
      </c>
      <c r="L700" s="1" t="str">
        <f>IF(Table1[[#This Row],[Precipitation_mm]]&lt;&gt;0,"Wet","Dry")</f>
        <v>Dry</v>
      </c>
      <c r="M700" t="b">
        <f>OR(ISBLANK(Table1[[#This Row],[Temperature_F]]),ISERROR(Table1[[#This Row],[Temperature_F]]))</f>
        <v>0</v>
      </c>
    </row>
    <row r="701" spans="1:13" hidden="1" x14ac:dyDescent="0.25">
      <c r="A701" s="1" t="s">
        <v>1</v>
      </c>
      <c r="B701" s="1" t="s">
        <v>2</v>
      </c>
      <c r="C701" s="1">
        <v>42.360599999999998</v>
      </c>
      <c r="D701" s="1">
        <v>-71.010599999999997</v>
      </c>
      <c r="E701" s="5">
        <v>40887</v>
      </c>
      <c r="F701" s="1" t="str">
        <f t="shared" si="11"/>
        <v>December</v>
      </c>
      <c r="G701" s="1">
        <v>16</v>
      </c>
      <c r="H701" s="1">
        <v>0</v>
      </c>
      <c r="I701" s="1" t="str">
        <f>IF(Table1[[#This Row],[Temperature_F]]&lt;32,"Yes","No")</f>
        <v>Yes</v>
      </c>
      <c r="J701" s="1" t="str" cm="1">
        <f t="array" ref="J7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1" s="1" t="str" cm="1">
        <f t="array" ref="K701">_xlfn.IFS(
H701=0,"No Rain",
H701&lt;10,"Light",
H701&lt;50,"Moderate",
TRUE,"Heavy")</f>
        <v>No Rain</v>
      </c>
      <c r="L701" s="1" t="str">
        <f>IF(Table1[[#This Row],[Precipitation_mm]]&lt;&gt;0,"Wet","Dry")</f>
        <v>Dry</v>
      </c>
      <c r="M701" t="b">
        <f>OR(ISBLANK(Table1[[#This Row],[Temperature_F]]),ISERROR(Table1[[#This Row],[Temperature_F]]))</f>
        <v>0</v>
      </c>
    </row>
    <row r="702" spans="1:13" hidden="1" x14ac:dyDescent="0.25">
      <c r="A702" s="1" t="s">
        <v>1</v>
      </c>
      <c r="B702" s="1" t="s">
        <v>2</v>
      </c>
      <c r="C702" s="1">
        <v>42.360599999999998</v>
      </c>
      <c r="D702" s="1">
        <v>-71.010599999999997</v>
      </c>
      <c r="E702" s="5">
        <v>40888</v>
      </c>
      <c r="F702" s="1" t="str">
        <f t="shared" si="11"/>
        <v>December</v>
      </c>
      <c r="G702" s="1">
        <v>13</v>
      </c>
      <c r="H702" s="1">
        <v>0</v>
      </c>
      <c r="I702" s="1" t="str">
        <f>IF(Table1[[#This Row],[Temperature_F]]&lt;32,"Yes","No")</f>
        <v>Yes</v>
      </c>
      <c r="J702" s="1" t="str" cm="1">
        <f t="array" ref="J7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2" s="1" t="str" cm="1">
        <f t="array" ref="K702">_xlfn.IFS(
H702=0,"No Rain",
H702&lt;10,"Light",
H702&lt;50,"Moderate",
TRUE,"Heavy")</f>
        <v>No Rain</v>
      </c>
      <c r="L702" s="1" t="str">
        <f>IF(Table1[[#This Row],[Precipitation_mm]]&lt;&gt;0,"Wet","Dry")</f>
        <v>Dry</v>
      </c>
      <c r="M702" t="b">
        <f>OR(ISBLANK(Table1[[#This Row],[Temperature_F]]),ISERROR(Table1[[#This Row],[Temperature_F]]))</f>
        <v>0</v>
      </c>
    </row>
    <row r="703" spans="1:13" hidden="1" x14ac:dyDescent="0.25">
      <c r="A703" s="1" t="s">
        <v>1</v>
      </c>
      <c r="B703" s="1" t="s">
        <v>2</v>
      </c>
      <c r="C703" s="1">
        <v>42.360599999999998</v>
      </c>
      <c r="D703" s="1">
        <v>-71.010599999999997</v>
      </c>
      <c r="E703" s="5">
        <v>40889</v>
      </c>
      <c r="F703" s="1" t="str">
        <f t="shared" si="11"/>
        <v>December</v>
      </c>
      <c r="G703" s="1">
        <v>11</v>
      </c>
      <c r="H703" s="1">
        <v>0</v>
      </c>
      <c r="I703" s="1" t="str">
        <f>IF(Table1[[#This Row],[Temperature_F]]&lt;32,"Yes","No")</f>
        <v>Yes</v>
      </c>
      <c r="J703" s="1" t="str" cm="1">
        <f t="array" ref="J7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3" s="1" t="str" cm="1">
        <f t="array" ref="K703">_xlfn.IFS(
H703=0,"No Rain",
H703&lt;10,"Light",
H703&lt;50,"Moderate",
TRUE,"Heavy")</f>
        <v>No Rain</v>
      </c>
      <c r="L703" s="1" t="str">
        <f>IF(Table1[[#This Row],[Precipitation_mm]]&lt;&gt;0,"Wet","Dry")</f>
        <v>Dry</v>
      </c>
      <c r="M703" t="b">
        <f>OR(ISBLANK(Table1[[#This Row],[Temperature_F]]),ISERROR(Table1[[#This Row],[Temperature_F]]))</f>
        <v>0</v>
      </c>
    </row>
    <row r="704" spans="1:13" x14ac:dyDescent="0.25">
      <c r="A704" s="1" t="s">
        <v>1</v>
      </c>
      <c r="B704" s="1" t="s">
        <v>2</v>
      </c>
      <c r="C704" s="1">
        <v>42.360599999999998</v>
      </c>
      <c r="D704" s="1">
        <v>-71.010599999999997</v>
      </c>
      <c r="E704" s="5">
        <v>40890</v>
      </c>
      <c r="F704" s="1" t="str">
        <f t="shared" si="11"/>
        <v>December</v>
      </c>
      <c r="G704" s="1">
        <v>43</v>
      </c>
      <c r="H704" s="1">
        <v>0</v>
      </c>
      <c r="I704" s="1" t="str">
        <f>IF(Table1[[#This Row],[Temperature_F]]&lt;32,"Yes","No")</f>
        <v>No</v>
      </c>
      <c r="J704" s="1" t="str" cm="1">
        <f t="array" ref="J7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04" s="1" t="str" cm="1">
        <f t="array" ref="K704">_xlfn.IFS(
H704=0,"No Rain",
H704&lt;10,"Light",
H704&lt;50,"Moderate",
TRUE,"Heavy")</f>
        <v>No Rain</v>
      </c>
      <c r="L704" s="1" t="str">
        <f>IF(Table1[[#This Row],[Precipitation_mm]]&lt;&gt;0,"Wet","Dry")</f>
        <v>Dry</v>
      </c>
      <c r="M704" t="b">
        <f>OR(ISBLANK(Table1[[#This Row],[Temperature_F]]),ISERROR(Table1[[#This Row],[Temperature_F]]))</f>
        <v>0</v>
      </c>
    </row>
    <row r="705" spans="1:13" hidden="1" x14ac:dyDescent="0.25">
      <c r="A705" s="1" t="s">
        <v>1</v>
      </c>
      <c r="B705" s="1" t="s">
        <v>2</v>
      </c>
      <c r="C705" s="1">
        <v>42.360599999999998</v>
      </c>
      <c r="D705" s="1">
        <v>-71.010599999999997</v>
      </c>
      <c r="E705" s="5">
        <v>40891</v>
      </c>
      <c r="F705" s="1" t="str">
        <f t="shared" si="11"/>
        <v>December</v>
      </c>
      <c r="G705" s="1">
        <v>28</v>
      </c>
      <c r="H705" s="1">
        <v>0</v>
      </c>
      <c r="I705" s="1" t="str">
        <f>IF(Table1[[#This Row],[Temperature_F]]&lt;32,"Yes","No")</f>
        <v>Yes</v>
      </c>
      <c r="J705" s="1" t="str" cm="1">
        <f t="array" ref="J7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5" s="1" t="str" cm="1">
        <f t="array" ref="K705">_xlfn.IFS(
H705=0,"No Rain",
H705&lt;10,"Light",
H705&lt;50,"Moderate",
TRUE,"Heavy")</f>
        <v>No Rain</v>
      </c>
      <c r="L705" s="1" t="str">
        <f>IF(Table1[[#This Row],[Precipitation_mm]]&lt;&gt;0,"Wet","Dry")</f>
        <v>Dry</v>
      </c>
      <c r="M705" t="b">
        <f>OR(ISBLANK(Table1[[#This Row],[Temperature_F]]),ISERROR(Table1[[#This Row],[Temperature_F]]))</f>
        <v>0</v>
      </c>
    </row>
    <row r="706" spans="1:13" x14ac:dyDescent="0.25">
      <c r="A706" s="1" t="s">
        <v>1</v>
      </c>
      <c r="B706" s="1" t="s">
        <v>2</v>
      </c>
      <c r="C706" s="1">
        <v>42.360599999999998</v>
      </c>
      <c r="D706" s="1">
        <v>-71.010599999999997</v>
      </c>
      <c r="E706" s="5">
        <v>40892</v>
      </c>
      <c r="F706" s="1" t="str">
        <f t="shared" si="11"/>
        <v>December</v>
      </c>
      <c r="G706" s="1">
        <v>39</v>
      </c>
      <c r="H706" s="1">
        <v>13</v>
      </c>
      <c r="I706" s="1" t="str">
        <f>IF(Table1[[#This Row],[Temperature_F]]&lt;32,"Yes","No")</f>
        <v>No</v>
      </c>
      <c r="J706" s="1" t="str" cm="1">
        <f t="array" ref="J7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06" s="1" t="str" cm="1">
        <f t="array" ref="K706">_xlfn.IFS(
H706=0,"No Rain",
H706&lt;10,"Light",
H706&lt;50,"Moderate",
TRUE,"Heavy")</f>
        <v>Moderate</v>
      </c>
      <c r="L706" s="1" t="str">
        <f>IF(Table1[[#This Row],[Precipitation_mm]]&lt;&gt;0,"Wet","Dry")</f>
        <v>Wet</v>
      </c>
      <c r="M706" t="b">
        <f>OR(ISBLANK(Table1[[#This Row],[Temperature_F]]),ISERROR(Table1[[#This Row],[Temperature_F]]))</f>
        <v>0</v>
      </c>
    </row>
    <row r="707" spans="1:13" hidden="1" x14ac:dyDescent="0.25">
      <c r="A707" s="1" t="s">
        <v>1</v>
      </c>
      <c r="B707" s="1" t="s">
        <v>2</v>
      </c>
      <c r="C707" s="1">
        <v>42.360599999999998</v>
      </c>
      <c r="D707" s="1">
        <v>-71.010599999999997</v>
      </c>
      <c r="E707" s="5">
        <v>40893</v>
      </c>
      <c r="F707" s="1" t="str">
        <f t="shared" si="11"/>
        <v>December</v>
      </c>
      <c r="G707" s="1">
        <v>22</v>
      </c>
      <c r="H707" s="1">
        <v>5</v>
      </c>
      <c r="I707" s="1" t="str">
        <f>IF(Table1[[#This Row],[Temperature_F]]&lt;32,"Yes","No")</f>
        <v>Yes</v>
      </c>
      <c r="J707" s="1" t="str" cm="1">
        <f t="array" ref="J7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7" s="1" t="str" cm="1">
        <f t="array" ref="K707">_xlfn.IFS(
H707=0,"No Rain",
H707&lt;10,"Light",
H707&lt;50,"Moderate",
TRUE,"Heavy")</f>
        <v>Light</v>
      </c>
      <c r="L707" s="1" t="str">
        <f>IF(Table1[[#This Row],[Precipitation_mm]]&lt;&gt;0,"Wet","Dry")</f>
        <v>Wet</v>
      </c>
      <c r="M707" t="b">
        <f>OR(ISBLANK(Table1[[#This Row],[Temperature_F]]),ISERROR(Table1[[#This Row],[Temperature_F]]))</f>
        <v>0</v>
      </c>
    </row>
    <row r="708" spans="1:13" hidden="1" x14ac:dyDescent="0.25">
      <c r="A708" s="1" t="s">
        <v>1</v>
      </c>
      <c r="B708" s="1" t="s">
        <v>2</v>
      </c>
      <c r="C708" s="1">
        <v>42.360599999999998</v>
      </c>
      <c r="D708" s="1">
        <v>-71.010599999999997</v>
      </c>
      <c r="E708" s="5">
        <v>40894</v>
      </c>
      <c r="F708" s="1" t="str">
        <f t="shared" si="11"/>
        <v>December</v>
      </c>
      <c r="G708" s="1">
        <v>19</v>
      </c>
      <c r="H708" s="1">
        <v>0</v>
      </c>
      <c r="I708" s="1" t="str">
        <f>IF(Table1[[#This Row],[Temperature_F]]&lt;32,"Yes","No")</f>
        <v>Yes</v>
      </c>
      <c r="J708" s="1" t="str" cm="1">
        <f t="array" ref="J7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8" s="1" t="str" cm="1">
        <f t="array" ref="K708">_xlfn.IFS(
H708=0,"No Rain",
H708&lt;10,"Light",
H708&lt;50,"Moderate",
TRUE,"Heavy")</f>
        <v>No Rain</v>
      </c>
      <c r="L708" s="1" t="str">
        <f>IF(Table1[[#This Row],[Precipitation_mm]]&lt;&gt;0,"Wet","Dry")</f>
        <v>Dry</v>
      </c>
      <c r="M708" t="b">
        <f>OR(ISBLANK(Table1[[#This Row],[Temperature_F]]),ISERROR(Table1[[#This Row],[Temperature_F]]))</f>
        <v>0</v>
      </c>
    </row>
    <row r="709" spans="1:13" hidden="1" x14ac:dyDescent="0.25">
      <c r="A709" s="1" t="s">
        <v>1</v>
      </c>
      <c r="B709" s="1" t="s">
        <v>2</v>
      </c>
      <c r="C709" s="1">
        <v>42.360599999999998</v>
      </c>
      <c r="D709" s="1">
        <v>-71.010599999999997</v>
      </c>
      <c r="E709" s="5">
        <v>40895</v>
      </c>
      <c r="F709" s="1" t="str">
        <f t="shared" si="11"/>
        <v>December</v>
      </c>
      <c r="G709" s="1">
        <v>26</v>
      </c>
      <c r="H709" s="1">
        <v>0</v>
      </c>
      <c r="I709" s="1" t="str">
        <f>IF(Table1[[#This Row],[Temperature_F]]&lt;32,"Yes","No")</f>
        <v>Yes</v>
      </c>
      <c r="J709" s="1" t="str" cm="1">
        <f t="array" ref="J7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09" s="1" t="str" cm="1">
        <f t="array" ref="K709">_xlfn.IFS(
H709=0,"No Rain",
H709&lt;10,"Light",
H709&lt;50,"Moderate",
TRUE,"Heavy")</f>
        <v>No Rain</v>
      </c>
      <c r="L709" s="1" t="str">
        <f>IF(Table1[[#This Row],[Precipitation_mm]]&lt;&gt;0,"Wet","Dry")</f>
        <v>Dry</v>
      </c>
      <c r="M709" t="b">
        <f>OR(ISBLANK(Table1[[#This Row],[Temperature_F]]),ISERROR(Table1[[#This Row],[Temperature_F]]))</f>
        <v>0</v>
      </c>
    </row>
    <row r="710" spans="1:13" x14ac:dyDescent="0.25">
      <c r="A710" s="1" t="s">
        <v>1</v>
      </c>
      <c r="B710" s="1" t="s">
        <v>2</v>
      </c>
      <c r="C710" s="1">
        <v>42.360599999999998</v>
      </c>
      <c r="D710" s="1">
        <v>-71.010599999999997</v>
      </c>
      <c r="E710" s="5">
        <v>40896</v>
      </c>
      <c r="F710" s="1" t="str">
        <f t="shared" si="11"/>
        <v>December</v>
      </c>
      <c r="G710" s="1">
        <v>33</v>
      </c>
      <c r="H710" s="1">
        <v>0</v>
      </c>
      <c r="I710" s="1" t="str">
        <f>IF(Table1[[#This Row],[Temperature_F]]&lt;32,"Yes","No")</f>
        <v>No</v>
      </c>
      <c r="J710" s="1" t="str" cm="1">
        <f t="array" ref="J7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0" s="1" t="str" cm="1">
        <f t="array" ref="K710">_xlfn.IFS(
H710=0,"No Rain",
H710&lt;10,"Light",
H710&lt;50,"Moderate",
TRUE,"Heavy")</f>
        <v>No Rain</v>
      </c>
      <c r="L710" s="1" t="str">
        <f>IF(Table1[[#This Row],[Precipitation_mm]]&lt;&gt;0,"Wet","Dry")</f>
        <v>Dry</v>
      </c>
      <c r="M710" t="b">
        <f>OR(ISBLANK(Table1[[#This Row],[Temperature_F]]),ISERROR(Table1[[#This Row],[Temperature_F]]))</f>
        <v>0</v>
      </c>
    </row>
    <row r="711" spans="1:13" x14ac:dyDescent="0.25">
      <c r="A711" s="1" t="s">
        <v>1</v>
      </c>
      <c r="B711" s="1" t="s">
        <v>2</v>
      </c>
      <c r="C711" s="1">
        <v>42.360599999999998</v>
      </c>
      <c r="D711" s="1">
        <v>-71.010599999999997</v>
      </c>
      <c r="E711" s="5">
        <v>40897</v>
      </c>
      <c r="F711" s="1" t="str">
        <f t="shared" si="11"/>
        <v>December</v>
      </c>
      <c r="G711" s="1">
        <v>42</v>
      </c>
      <c r="H711" s="1">
        <v>0</v>
      </c>
      <c r="I711" s="1" t="str">
        <f>IF(Table1[[#This Row],[Temperature_F]]&lt;32,"Yes","No")</f>
        <v>No</v>
      </c>
      <c r="J711" s="1" t="str" cm="1">
        <f t="array" ref="J7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1" s="1" t="str" cm="1">
        <f t="array" ref="K711">_xlfn.IFS(
H711=0,"No Rain",
H711&lt;10,"Light",
H711&lt;50,"Moderate",
TRUE,"Heavy")</f>
        <v>No Rain</v>
      </c>
      <c r="L711" s="1" t="str">
        <f>IF(Table1[[#This Row],[Precipitation_mm]]&lt;&gt;0,"Wet","Dry")</f>
        <v>Dry</v>
      </c>
      <c r="M711" t="b">
        <f>OR(ISBLANK(Table1[[#This Row],[Temperature_F]]),ISERROR(Table1[[#This Row],[Temperature_F]]))</f>
        <v>0</v>
      </c>
    </row>
    <row r="712" spans="1:13" x14ac:dyDescent="0.25">
      <c r="A712" s="1" t="s">
        <v>1</v>
      </c>
      <c r="B712" s="1" t="s">
        <v>2</v>
      </c>
      <c r="C712" s="1">
        <v>42.360599999999998</v>
      </c>
      <c r="D712" s="1">
        <v>-71.010599999999997</v>
      </c>
      <c r="E712" s="5">
        <v>40898</v>
      </c>
      <c r="F712" s="1" t="str">
        <f t="shared" si="11"/>
        <v>December</v>
      </c>
      <c r="G712" s="1">
        <v>40</v>
      </c>
      <c r="H712" s="1">
        <v>23</v>
      </c>
      <c r="I712" s="1" t="str">
        <f>IF(Table1[[#This Row],[Temperature_F]]&lt;32,"Yes","No")</f>
        <v>No</v>
      </c>
      <c r="J712" s="1" t="str" cm="1">
        <f t="array" ref="J7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2" s="1" t="str" cm="1">
        <f t="array" ref="K712">_xlfn.IFS(
H712=0,"No Rain",
H712&lt;10,"Light",
H712&lt;50,"Moderate",
TRUE,"Heavy")</f>
        <v>Moderate</v>
      </c>
      <c r="L712" s="1" t="str">
        <f>IF(Table1[[#This Row],[Precipitation_mm]]&lt;&gt;0,"Wet","Dry")</f>
        <v>Wet</v>
      </c>
      <c r="M712" t="b">
        <f>OR(ISBLANK(Table1[[#This Row],[Temperature_F]]),ISERROR(Table1[[#This Row],[Temperature_F]]))</f>
        <v>0</v>
      </c>
    </row>
    <row r="713" spans="1:13" hidden="1" x14ac:dyDescent="0.25">
      <c r="A713" s="1" t="s">
        <v>1</v>
      </c>
      <c r="B713" s="1" t="s">
        <v>2</v>
      </c>
      <c r="C713" s="1">
        <v>42.360599999999998</v>
      </c>
      <c r="D713" s="1">
        <v>-71.010599999999997</v>
      </c>
      <c r="E713" s="5">
        <v>40899</v>
      </c>
      <c r="F713" s="1" t="str">
        <f t="shared" si="11"/>
        <v>December</v>
      </c>
      <c r="G713" s="1">
        <v>21</v>
      </c>
      <c r="H713" s="1">
        <v>104</v>
      </c>
      <c r="I713" s="1" t="str">
        <f>IF(Table1[[#This Row],[Temperature_F]]&lt;32,"Yes","No")</f>
        <v>Yes</v>
      </c>
      <c r="J713" s="1" t="str" cm="1">
        <f t="array" ref="J7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13" s="1" t="str" cm="1">
        <f t="array" ref="K713">_xlfn.IFS(
H713=0,"No Rain",
H713&lt;10,"Light",
H713&lt;50,"Moderate",
TRUE,"Heavy")</f>
        <v>Heavy</v>
      </c>
      <c r="L713" s="1" t="str">
        <f>IF(Table1[[#This Row],[Precipitation_mm]]&lt;&gt;0,"Wet","Dry")</f>
        <v>Wet</v>
      </c>
      <c r="M713" t="b">
        <f>OR(ISBLANK(Table1[[#This Row],[Temperature_F]]),ISERROR(Table1[[#This Row],[Temperature_F]]))</f>
        <v>0</v>
      </c>
    </row>
    <row r="714" spans="1:13" x14ac:dyDescent="0.25">
      <c r="A714" s="1" t="s">
        <v>1</v>
      </c>
      <c r="B714" s="1" t="s">
        <v>2</v>
      </c>
      <c r="C714" s="1">
        <v>42.360599999999998</v>
      </c>
      <c r="D714" s="1">
        <v>-71.010599999999997</v>
      </c>
      <c r="E714" s="5">
        <v>40900</v>
      </c>
      <c r="F714" s="1" t="str">
        <f t="shared" si="11"/>
        <v>December</v>
      </c>
      <c r="G714" s="1">
        <v>41</v>
      </c>
      <c r="H714" s="1">
        <v>147</v>
      </c>
      <c r="I714" s="1" t="str">
        <f>IF(Table1[[#This Row],[Temperature_F]]&lt;32,"Yes","No")</f>
        <v>No</v>
      </c>
      <c r="J714" s="1" t="str" cm="1">
        <f t="array" ref="J7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4" s="1" t="str" cm="1">
        <f t="array" ref="K714">_xlfn.IFS(
H714=0,"No Rain",
H714&lt;10,"Light",
H714&lt;50,"Moderate",
TRUE,"Heavy")</f>
        <v>Heavy</v>
      </c>
      <c r="L714" s="1" t="str">
        <f>IF(Table1[[#This Row],[Precipitation_mm]]&lt;&gt;0,"Wet","Dry")</f>
        <v>Wet</v>
      </c>
      <c r="M714" t="b">
        <f>OR(ISBLANK(Table1[[#This Row],[Temperature_F]]),ISERROR(Table1[[#This Row],[Temperature_F]]))</f>
        <v>0</v>
      </c>
    </row>
    <row r="715" spans="1:13" x14ac:dyDescent="0.25">
      <c r="A715" s="1" t="s">
        <v>1</v>
      </c>
      <c r="B715" s="1" t="s">
        <v>2</v>
      </c>
      <c r="C715" s="1">
        <v>42.360599999999998</v>
      </c>
      <c r="D715" s="1">
        <v>-71.010599999999997</v>
      </c>
      <c r="E715" s="5">
        <v>40901</v>
      </c>
      <c r="F715" s="1" t="str">
        <f t="shared" si="11"/>
        <v>December</v>
      </c>
      <c r="G715" s="1">
        <v>42</v>
      </c>
      <c r="H715" s="1">
        <v>0</v>
      </c>
      <c r="I715" s="1" t="str">
        <f>IF(Table1[[#This Row],[Temperature_F]]&lt;32,"Yes","No")</f>
        <v>No</v>
      </c>
      <c r="J715" s="1" t="str" cm="1">
        <f t="array" ref="J7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5" s="1" t="str" cm="1">
        <f t="array" ref="K715">_xlfn.IFS(
H715=0,"No Rain",
H715&lt;10,"Light",
H715&lt;50,"Moderate",
TRUE,"Heavy")</f>
        <v>No Rain</v>
      </c>
      <c r="L715" s="1" t="str">
        <f>IF(Table1[[#This Row],[Precipitation_mm]]&lt;&gt;0,"Wet","Dry")</f>
        <v>Dry</v>
      </c>
      <c r="M715" t="b">
        <f>OR(ISBLANK(Table1[[#This Row],[Temperature_F]]),ISERROR(Table1[[#This Row],[Temperature_F]]))</f>
        <v>0</v>
      </c>
    </row>
    <row r="716" spans="1:13" hidden="1" x14ac:dyDescent="0.25">
      <c r="A716" s="1" t="s">
        <v>1</v>
      </c>
      <c r="B716" s="1" t="s">
        <v>2</v>
      </c>
      <c r="C716" s="1">
        <v>42.360599999999998</v>
      </c>
      <c r="D716" s="1">
        <v>-71.010599999999997</v>
      </c>
      <c r="E716" s="5">
        <v>40902</v>
      </c>
      <c r="F716" s="1" t="str">
        <f t="shared" si="11"/>
        <v>December</v>
      </c>
      <c r="G716" s="1">
        <v>15</v>
      </c>
      <c r="H716" s="1">
        <v>8</v>
      </c>
      <c r="I716" s="1" t="str">
        <f>IF(Table1[[#This Row],[Temperature_F]]&lt;32,"Yes","No")</f>
        <v>Yes</v>
      </c>
      <c r="J716" s="1" t="str" cm="1">
        <f t="array" ref="J7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16" s="1" t="str" cm="1">
        <f t="array" ref="K716">_xlfn.IFS(
H716=0,"No Rain",
H716&lt;10,"Light",
H716&lt;50,"Moderate",
TRUE,"Heavy")</f>
        <v>Light</v>
      </c>
      <c r="L716" s="1" t="str">
        <f>IF(Table1[[#This Row],[Precipitation_mm]]&lt;&gt;0,"Wet","Dry")</f>
        <v>Wet</v>
      </c>
      <c r="M716" t="b">
        <f>OR(ISBLANK(Table1[[#This Row],[Temperature_F]]),ISERROR(Table1[[#This Row],[Temperature_F]]))</f>
        <v>0</v>
      </c>
    </row>
    <row r="717" spans="1:13" hidden="1" x14ac:dyDescent="0.25">
      <c r="A717" s="1" t="s">
        <v>1</v>
      </c>
      <c r="B717" s="1" t="s">
        <v>2</v>
      </c>
      <c r="C717" s="1">
        <v>42.360599999999998</v>
      </c>
      <c r="D717" s="1">
        <v>-71.010599999999997</v>
      </c>
      <c r="E717" s="5">
        <v>40903</v>
      </c>
      <c r="F717" s="1" t="str">
        <f t="shared" si="11"/>
        <v>December</v>
      </c>
      <c r="G717" s="1">
        <v>18</v>
      </c>
      <c r="H717" s="1">
        <v>0</v>
      </c>
      <c r="I717" s="1" t="str">
        <f>IF(Table1[[#This Row],[Temperature_F]]&lt;32,"Yes","No")</f>
        <v>Yes</v>
      </c>
      <c r="J717" s="1" t="str" cm="1">
        <f t="array" ref="J7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17" s="1" t="str" cm="1">
        <f t="array" ref="K717">_xlfn.IFS(
H717=0,"No Rain",
H717&lt;10,"Light",
H717&lt;50,"Moderate",
TRUE,"Heavy")</f>
        <v>No Rain</v>
      </c>
      <c r="L717" s="1" t="str">
        <f>IF(Table1[[#This Row],[Precipitation_mm]]&lt;&gt;0,"Wet","Dry")</f>
        <v>Dry</v>
      </c>
      <c r="M717" t="b">
        <f>OR(ISBLANK(Table1[[#This Row],[Temperature_F]]),ISERROR(Table1[[#This Row],[Temperature_F]]))</f>
        <v>0</v>
      </c>
    </row>
    <row r="718" spans="1:13" x14ac:dyDescent="0.25">
      <c r="A718" s="1" t="s">
        <v>1</v>
      </c>
      <c r="B718" s="1" t="s">
        <v>2</v>
      </c>
      <c r="C718" s="1">
        <v>42.360599999999998</v>
      </c>
      <c r="D718" s="1">
        <v>-71.010599999999997</v>
      </c>
      <c r="E718" s="5">
        <v>40904</v>
      </c>
      <c r="F718" s="1" t="str">
        <f t="shared" si="11"/>
        <v>December</v>
      </c>
      <c r="G718" s="1">
        <v>37</v>
      </c>
      <c r="H718" s="1">
        <v>46</v>
      </c>
      <c r="I718" s="1" t="str">
        <f>IF(Table1[[#This Row],[Temperature_F]]&lt;32,"Yes","No")</f>
        <v>No</v>
      </c>
      <c r="J718" s="1" t="str" cm="1">
        <f t="array" ref="J7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8" s="1" t="str" cm="1">
        <f t="array" ref="K718">_xlfn.IFS(
H718=0,"No Rain",
H718&lt;10,"Light",
H718&lt;50,"Moderate",
TRUE,"Heavy")</f>
        <v>Moderate</v>
      </c>
      <c r="L718" s="1" t="str">
        <f>IF(Table1[[#This Row],[Precipitation_mm]]&lt;&gt;0,"Wet","Dry")</f>
        <v>Wet</v>
      </c>
      <c r="M718" t="b">
        <f>OR(ISBLANK(Table1[[#This Row],[Temperature_F]]),ISERROR(Table1[[#This Row],[Temperature_F]]))</f>
        <v>0</v>
      </c>
    </row>
    <row r="719" spans="1:13" x14ac:dyDescent="0.25">
      <c r="A719" s="1" t="s">
        <v>1</v>
      </c>
      <c r="B719" s="1" t="s">
        <v>2</v>
      </c>
      <c r="C719" s="1">
        <v>42.360599999999998</v>
      </c>
      <c r="D719" s="1">
        <v>-71.010599999999997</v>
      </c>
      <c r="E719" s="5">
        <v>40905</v>
      </c>
      <c r="F719" s="1" t="str">
        <f t="shared" si="11"/>
        <v>December</v>
      </c>
      <c r="G719" s="1">
        <v>33</v>
      </c>
      <c r="H719" s="1">
        <v>5</v>
      </c>
      <c r="I719" s="1" t="str">
        <f>IF(Table1[[#This Row],[Temperature_F]]&lt;32,"Yes","No")</f>
        <v>No</v>
      </c>
      <c r="J719" s="1" t="str" cm="1">
        <f t="array" ref="J7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19" s="1" t="str" cm="1">
        <f t="array" ref="K719">_xlfn.IFS(
H719=0,"No Rain",
H719&lt;10,"Light",
H719&lt;50,"Moderate",
TRUE,"Heavy")</f>
        <v>Light</v>
      </c>
      <c r="L719" s="1" t="str">
        <f>IF(Table1[[#This Row],[Precipitation_mm]]&lt;&gt;0,"Wet","Dry")</f>
        <v>Wet</v>
      </c>
      <c r="M719" t="b">
        <f>OR(ISBLANK(Table1[[#This Row],[Temperature_F]]),ISERROR(Table1[[#This Row],[Temperature_F]]))</f>
        <v>0</v>
      </c>
    </row>
    <row r="720" spans="1:13" x14ac:dyDescent="0.25">
      <c r="A720" s="1" t="s">
        <v>1</v>
      </c>
      <c r="B720" s="1" t="s">
        <v>2</v>
      </c>
      <c r="C720" s="1">
        <v>42.360599999999998</v>
      </c>
      <c r="D720" s="1">
        <v>-71.010599999999997</v>
      </c>
      <c r="E720" s="5">
        <v>40906</v>
      </c>
      <c r="F720" s="1" t="str">
        <f t="shared" si="11"/>
        <v>December</v>
      </c>
      <c r="G720" s="1">
        <v>42</v>
      </c>
      <c r="H720" s="1">
        <v>0</v>
      </c>
      <c r="I720" s="1" t="str">
        <f>IF(Table1[[#This Row],[Temperature_F]]&lt;32,"Yes","No")</f>
        <v>No</v>
      </c>
      <c r="J720" s="1" t="str" cm="1">
        <f t="array" ref="J7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20" s="1" t="str" cm="1">
        <f t="array" ref="K720">_xlfn.IFS(
H720=0,"No Rain",
H720&lt;10,"Light",
H720&lt;50,"Moderate",
TRUE,"Heavy")</f>
        <v>No Rain</v>
      </c>
      <c r="L720" s="1" t="str">
        <f>IF(Table1[[#This Row],[Precipitation_mm]]&lt;&gt;0,"Wet","Dry")</f>
        <v>Dry</v>
      </c>
      <c r="M720" t="b">
        <f>OR(ISBLANK(Table1[[#This Row],[Temperature_F]]),ISERROR(Table1[[#This Row],[Temperature_F]]))</f>
        <v>0</v>
      </c>
    </row>
    <row r="721" spans="1:13" hidden="1" x14ac:dyDescent="0.25">
      <c r="A721" s="1" t="s">
        <v>1</v>
      </c>
      <c r="B721" s="1" t="s">
        <v>2</v>
      </c>
      <c r="C721" s="1">
        <v>42.360599999999998</v>
      </c>
      <c r="D721" s="1">
        <v>-71.010599999999997</v>
      </c>
      <c r="E721" s="5">
        <v>40907</v>
      </c>
      <c r="F721" s="1" t="str">
        <f t="shared" si="11"/>
        <v>December</v>
      </c>
      <c r="G721" s="1">
        <v>26</v>
      </c>
      <c r="H721" s="1">
        <v>0</v>
      </c>
      <c r="I721" s="1" t="str">
        <f>IF(Table1[[#This Row],[Temperature_F]]&lt;32,"Yes","No")</f>
        <v>Yes</v>
      </c>
      <c r="J721" s="1" t="str" cm="1">
        <f t="array" ref="J7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1" s="1" t="str" cm="1">
        <f t="array" ref="K721">_xlfn.IFS(
H721=0,"No Rain",
H721&lt;10,"Light",
H721&lt;50,"Moderate",
TRUE,"Heavy")</f>
        <v>No Rain</v>
      </c>
      <c r="L721" s="1" t="str">
        <f>IF(Table1[[#This Row],[Precipitation_mm]]&lt;&gt;0,"Wet","Dry")</f>
        <v>Dry</v>
      </c>
      <c r="M721" t="b">
        <f>OR(ISBLANK(Table1[[#This Row],[Temperature_F]]),ISERROR(Table1[[#This Row],[Temperature_F]]))</f>
        <v>0</v>
      </c>
    </row>
    <row r="722" spans="1:13" x14ac:dyDescent="0.25">
      <c r="A722" s="1" t="s">
        <v>1</v>
      </c>
      <c r="B722" s="1" t="s">
        <v>2</v>
      </c>
      <c r="C722" s="1">
        <v>42.360599999999998</v>
      </c>
      <c r="D722" s="1">
        <v>-71.010599999999997</v>
      </c>
      <c r="E722" s="5">
        <v>40908</v>
      </c>
      <c r="F722" s="1" t="str">
        <f t="shared" si="11"/>
        <v>December</v>
      </c>
      <c r="G722" s="1">
        <v>44</v>
      </c>
      <c r="H722" s="1">
        <v>3</v>
      </c>
      <c r="I722" s="1" t="str">
        <f>IF(Table1[[#This Row],[Temperature_F]]&lt;32,"Yes","No")</f>
        <v>No</v>
      </c>
      <c r="J722" s="1" t="str" cm="1">
        <f t="array" ref="J7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22" s="1" t="str" cm="1">
        <f t="array" ref="K722">_xlfn.IFS(
H722=0,"No Rain",
H722&lt;10,"Light",
H722&lt;50,"Moderate",
TRUE,"Heavy")</f>
        <v>Light</v>
      </c>
      <c r="L722" s="1" t="str">
        <f>IF(Table1[[#This Row],[Precipitation_mm]]&lt;&gt;0,"Wet","Dry")</f>
        <v>Wet</v>
      </c>
      <c r="M722" t="b">
        <f>OR(ISBLANK(Table1[[#This Row],[Temperature_F]]),ISERROR(Table1[[#This Row],[Temperature_F]]))</f>
        <v>0</v>
      </c>
    </row>
    <row r="723" spans="1:13" x14ac:dyDescent="0.25">
      <c r="A723" s="1" t="s">
        <v>1</v>
      </c>
      <c r="B723" s="1" t="s">
        <v>2</v>
      </c>
      <c r="C723" s="1">
        <v>42.360599999999998</v>
      </c>
      <c r="D723" s="1">
        <v>-71.010599999999997</v>
      </c>
      <c r="E723" s="5">
        <v>40909</v>
      </c>
      <c r="F723" s="1" t="str">
        <f t="shared" si="11"/>
        <v>January</v>
      </c>
      <c r="G723" s="1">
        <v>41</v>
      </c>
      <c r="H723" s="1">
        <v>3</v>
      </c>
      <c r="I723" s="1" t="str">
        <f>IF(Table1[[#This Row],[Temperature_F]]&lt;32,"Yes","No")</f>
        <v>No</v>
      </c>
      <c r="J723" s="1" t="str" cm="1">
        <f t="array" ref="J7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23" s="1" t="str" cm="1">
        <f t="array" ref="K723">_xlfn.IFS(
H723=0,"No Rain",
H723&lt;10,"Light",
H723&lt;50,"Moderate",
TRUE,"Heavy")</f>
        <v>Light</v>
      </c>
      <c r="L723" s="1" t="str">
        <f>IF(Table1[[#This Row],[Precipitation_mm]]&lt;&gt;0,"Wet","Dry")</f>
        <v>Wet</v>
      </c>
      <c r="M723" t="b">
        <f>OR(ISBLANK(Table1[[#This Row],[Temperature_F]]),ISERROR(Table1[[#This Row],[Temperature_F]]))</f>
        <v>0</v>
      </c>
    </row>
    <row r="724" spans="1:13" hidden="1" x14ac:dyDescent="0.25">
      <c r="A724" s="1" t="s">
        <v>1</v>
      </c>
      <c r="B724" s="1" t="s">
        <v>2</v>
      </c>
      <c r="C724" s="1">
        <v>42.360599999999998</v>
      </c>
      <c r="D724" s="1">
        <v>-71.010599999999997</v>
      </c>
      <c r="E724" s="5">
        <v>40910</v>
      </c>
      <c r="F724" s="1" t="str">
        <f t="shared" si="11"/>
        <v>January</v>
      </c>
      <c r="G724" s="1">
        <v>27</v>
      </c>
      <c r="H724" s="1">
        <v>3</v>
      </c>
      <c r="I724" s="1" t="str">
        <f>IF(Table1[[#This Row],[Temperature_F]]&lt;32,"Yes","No")</f>
        <v>Yes</v>
      </c>
      <c r="J724" s="1" t="str" cm="1">
        <f t="array" ref="J7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4" s="1" t="str" cm="1">
        <f t="array" ref="K724">_xlfn.IFS(
H724=0,"No Rain",
H724&lt;10,"Light",
H724&lt;50,"Moderate",
TRUE,"Heavy")</f>
        <v>Light</v>
      </c>
      <c r="L724" s="1" t="str">
        <f>IF(Table1[[#This Row],[Precipitation_mm]]&lt;&gt;0,"Wet","Dry")</f>
        <v>Wet</v>
      </c>
      <c r="M724" t="b">
        <f>OR(ISBLANK(Table1[[#This Row],[Temperature_F]]),ISERROR(Table1[[#This Row],[Temperature_F]]))</f>
        <v>0</v>
      </c>
    </row>
    <row r="725" spans="1:13" hidden="1" x14ac:dyDescent="0.25">
      <c r="A725" s="1" t="s">
        <v>1</v>
      </c>
      <c r="B725" s="1" t="s">
        <v>2</v>
      </c>
      <c r="C725" s="1">
        <v>42.360599999999998</v>
      </c>
      <c r="D725" s="1">
        <v>-71.010599999999997</v>
      </c>
      <c r="E725" s="5">
        <v>40911</v>
      </c>
      <c r="F725" s="1" t="str">
        <f t="shared" si="11"/>
        <v>January</v>
      </c>
      <c r="G725" s="1">
        <v>28</v>
      </c>
      <c r="H725" s="1">
        <v>0</v>
      </c>
      <c r="I725" s="1" t="str">
        <f>IF(Table1[[#This Row],[Temperature_F]]&lt;32,"Yes","No")</f>
        <v>Yes</v>
      </c>
      <c r="J725" s="1" t="str" cm="1">
        <f t="array" ref="J7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5" s="1" t="str" cm="1">
        <f t="array" ref="K725">_xlfn.IFS(
H725=0,"No Rain",
H725&lt;10,"Light",
H725&lt;50,"Moderate",
TRUE,"Heavy")</f>
        <v>No Rain</v>
      </c>
      <c r="L725" s="1" t="str">
        <f>IF(Table1[[#This Row],[Precipitation_mm]]&lt;&gt;0,"Wet","Dry")</f>
        <v>Dry</v>
      </c>
      <c r="M725" t="b">
        <f>OR(ISBLANK(Table1[[#This Row],[Temperature_F]]),ISERROR(Table1[[#This Row],[Temperature_F]]))</f>
        <v>0</v>
      </c>
    </row>
    <row r="726" spans="1:13" hidden="1" x14ac:dyDescent="0.25">
      <c r="A726" s="1" t="s">
        <v>1</v>
      </c>
      <c r="B726" s="1" t="s">
        <v>2</v>
      </c>
      <c r="C726" s="1">
        <v>42.360599999999998</v>
      </c>
      <c r="D726" s="1">
        <v>-71.010599999999997</v>
      </c>
      <c r="E726" s="5">
        <v>40912</v>
      </c>
      <c r="F726" s="1" t="str">
        <f t="shared" si="11"/>
        <v>January</v>
      </c>
      <c r="G726" s="1">
        <v>32</v>
      </c>
      <c r="H726" s="1">
        <v>0</v>
      </c>
      <c r="I726" s="1" t="str">
        <f>IF(Table1[[#This Row],[Temperature_F]]&lt;32,"Yes","No")</f>
        <v>No</v>
      </c>
      <c r="J726" s="1" t="str" cm="1">
        <f t="array" ref="J7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6" s="1" t="str" cm="1">
        <f t="array" ref="K726">_xlfn.IFS(
H726=0,"No Rain",
H726&lt;10,"Light",
H726&lt;50,"Moderate",
TRUE,"Heavy")</f>
        <v>No Rain</v>
      </c>
      <c r="L726" s="1" t="str">
        <f>IF(Table1[[#This Row],[Precipitation_mm]]&lt;&gt;0,"Wet","Dry")</f>
        <v>Dry</v>
      </c>
      <c r="M726" t="b">
        <f>OR(ISBLANK(Table1[[#This Row],[Temperature_F]]),ISERROR(Table1[[#This Row],[Temperature_F]]))</f>
        <v>0</v>
      </c>
    </row>
    <row r="727" spans="1:13" x14ac:dyDescent="0.25">
      <c r="A727" s="1" t="s">
        <v>1</v>
      </c>
      <c r="B727" s="1" t="s">
        <v>2</v>
      </c>
      <c r="C727" s="1">
        <v>42.360599999999998</v>
      </c>
      <c r="D727" s="1">
        <v>-71.010599999999997</v>
      </c>
      <c r="E727" s="5">
        <v>40913</v>
      </c>
      <c r="F727" s="1" t="str">
        <f t="shared" si="11"/>
        <v>January</v>
      </c>
      <c r="G727" s="1">
        <v>45</v>
      </c>
      <c r="H727" s="1">
        <v>0</v>
      </c>
      <c r="I727" s="1" t="str">
        <f>IF(Table1[[#This Row],[Temperature_F]]&lt;32,"Yes","No")</f>
        <v>No</v>
      </c>
      <c r="J727" s="1" t="str" cm="1">
        <f t="array" ref="J7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27" s="1" t="str" cm="1">
        <f t="array" ref="K727">_xlfn.IFS(
H727=0,"No Rain",
H727&lt;10,"Light",
H727&lt;50,"Moderate",
TRUE,"Heavy")</f>
        <v>No Rain</v>
      </c>
      <c r="L727" s="1" t="str">
        <f>IF(Table1[[#This Row],[Precipitation_mm]]&lt;&gt;0,"Wet","Dry")</f>
        <v>Dry</v>
      </c>
      <c r="M727" t="b">
        <f>OR(ISBLANK(Table1[[#This Row],[Temperature_F]]),ISERROR(Table1[[#This Row],[Temperature_F]]))</f>
        <v>0</v>
      </c>
    </row>
    <row r="728" spans="1:13" hidden="1" x14ac:dyDescent="0.25">
      <c r="A728" s="1" t="s">
        <v>1</v>
      </c>
      <c r="B728" s="1" t="s">
        <v>2</v>
      </c>
      <c r="C728" s="1">
        <v>42.360599999999998</v>
      </c>
      <c r="D728" s="1">
        <v>-71.010599999999997</v>
      </c>
      <c r="E728" s="5">
        <v>40914</v>
      </c>
      <c r="F728" s="1" t="str">
        <f t="shared" si="11"/>
        <v>January</v>
      </c>
      <c r="G728" s="1">
        <v>20</v>
      </c>
      <c r="H728" s="1">
        <v>0</v>
      </c>
      <c r="I728" s="1" t="str">
        <f>IF(Table1[[#This Row],[Temperature_F]]&lt;32,"Yes","No")</f>
        <v>Yes</v>
      </c>
      <c r="J728" s="1" t="str" cm="1">
        <f t="array" ref="J7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8" s="1" t="str" cm="1">
        <f t="array" ref="K728">_xlfn.IFS(
H728=0,"No Rain",
H728&lt;10,"Light",
H728&lt;50,"Moderate",
TRUE,"Heavy")</f>
        <v>No Rain</v>
      </c>
      <c r="L728" s="1" t="str">
        <f>IF(Table1[[#This Row],[Precipitation_mm]]&lt;&gt;0,"Wet","Dry")</f>
        <v>Dry</v>
      </c>
      <c r="M728" t="b">
        <f>OR(ISBLANK(Table1[[#This Row],[Temperature_F]]),ISERROR(Table1[[#This Row],[Temperature_F]]))</f>
        <v>0</v>
      </c>
    </row>
    <row r="729" spans="1:13" hidden="1" x14ac:dyDescent="0.25">
      <c r="A729" s="1" t="s">
        <v>1</v>
      </c>
      <c r="B729" s="1" t="s">
        <v>2</v>
      </c>
      <c r="C729" s="1">
        <v>42.360599999999998</v>
      </c>
      <c r="D729" s="1">
        <v>-71.010599999999997</v>
      </c>
      <c r="E729" s="5">
        <v>40915</v>
      </c>
      <c r="F729" s="1" t="str">
        <f t="shared" si="11"/>
        <v>January</v>
      </c>
      <c r="G729" s="1">
        <v>23</v>
      </c>
      <c r="H729" s="1">
        <v>0</v>
      </c>
      <c r="I729" s="1" t="str">
        <f>IF(Table1[[#This Row],[Temperature_F]]&lt;32,"Yes","No")</f>
        <v>Yes</v>
      </c>
      <c r="J729" s="1" t="str" cm="1">
        <f t="array" ref="J7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29" s="1" t="str" cm="1">
        <f t="array" ref="K729">_xlfn.IFS(
H729=0,"No Rain",
H729&lt;10,"Light",
H729&lt;50,"Moderate",
TRUE,"Heavy")</f>
        <v>No Rain</v>
      </c>
      <c r="L729" s="1" t="str">
        <f>IF(Table1[[#This Row],[Precipitation_mm]]&lt;&gt;0,"Wet","Dry")</f>
        <v>Dry</v>
      </c>
      <c r="M729" t="b">
        <f>OR(ISBLANK(Table1[[#This Row],[Temperature_F]]),ISERROR(Table1[[#This Row],[Temperature_F]]))</f>
        <v>0</v>
      </c>
    </row>
    <row r="730" spans="1:13" hidden="1" x14ac:dyDescent="0.25">
      <c r="A730" s="1" t="s">
        <v>1</v>
      </c>
      <c r="B730" s="1" t="s">
        <v>2</v>
      </c>
      <c r="C730" s="1">
        <v>42.360599999999998</v>
      </c>
      <c r="D730" s="1">
        <v>-71.010599999999997</v>
      </c>
      <c r="E730" s="5">
        <v>40916</v>
      </c>
      <c r="F730" s="1" t="str">
        <f t="shared" si="11"/>
        <v>January</v>
      </c>
      <c r="G730" s="1">
        <v>10</v>
      </c>
      <c r="H730" s="1">
        <v>0</v>
      </c>
      <c r="I730" s="1" t="str">
        <f>IF(Table1[[#This Row],[Temperature_F]]&lt;32,"Yes","No")</f>
        <v>Yes</v>
      </c>
      <c r="J730" s="1" t="str" cm="1">
        <f t="array" ref="J7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0" s="1" t="str" cm="1">
        <f t="array" ref="K730">_xlfn.IFS(
H730=0,"No Rain",
H730&lt;10,"Light",
H730&lt;50,"Moderate",
TRUE,"Heavy")</f>
        <v>No Rain</v>
      </c>
      <c r="L730" s="1" t="str">
        <f>IF(Table1[[#This Row],[Precipitation_mm]]&lt;&gt;0,"Wet","Dry")</f>
        <v>Dry</v>
      </c>
      <c r="M730" t="b">
        <f>OR(ISBLANK(Table1[[#This Row],[Temperature_F]]),ISERROR(Table1[[#This Row],[Temperature_F]]))</f>
        <v>0</v>
      </c>
    </row>
    <row r="731" spans="1:13" x14ac:dyDescent="0.25">
      <c r="A731" s="1" t="s">
        <v>1</v>
      </c>
      <c r="B731" s="1" t="s">
        <v>2</v>
      </c>
      <c r="C731" s="1">
        <v>42.360599999999998</v>
      </c>
      <c r="D731" s="1">
        <v>-71.010599999999997</v>
      </c>
      <c r="E731" s="5">
        <v>40917</v>
      </c>
      <c r="F731" s="1" t="str">
        <f t="shared" si="11"/>
        <v>January</v>
      </c>
      <c r="G731" s="1">
        <v>43</v>
      </c>
      <c r="H731" s="1">
        <v>0</v>
      </c>
      <c r="I731" s="1" t="str">
        <f>IF(Table1[[#This Row],[Temperature_F]]&lt;32,"Yes","No")</f>
        <v>No</v>
      </c>
      <c r="J731" s="1" t="str" cm="1">
        <f t="array" ref="J7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31" s="1" t="str" cm="1">
        <f t="array" ref="K731">_xlfn.IFS(
H731=0,"No Rain",
H731&lt;10,"Light",
H731&lt;50,"Moderate",
TRUE,"Heavy")</f>
        <v>No Rain</v>
      </c>
      <c r="L731" s="1" t="str">
        <f>IF(Table1[[#This Row],[Precipitation_mm]]&lt;&gt;0,"Wet","Dry")</f>
        <v>Dry</v>
      </c>
      <c r="M731" t="b">
        <f>OR(ISBLANK(Table1[[#This Row],[Temperature_F]]),ISERROR(Table1[[#This Row],[Temperature_F]]))</f>
        <v>0</v>
      </c>
    </row>
    <row r="732" spans="1:13" hidden="1" x14ac:dyDescent="0.25">
      <c r="A732" s="1" t="s">
        <v>1</v>
      </c>
      <c r="B732" s="1" t="s">
        <v>2</v>
      </c>
      <c r="C732" s="1">
        <v>42.360599999999998</v>
      </c>
      <c r="D732" s="1">
        <v>-71.010599999999997</v>
      </c>
      <c r="E732" s="5">
        <v>40918</v>
      </c>
      <c r="F732" s="1" t="str">
        <f t="shared" si="11"/>
        <v>January</v>
      </c>
      <c r="G732" s="1">
        <v>13</v>
      </c>
      <c r="H732" s="1">
        <v>5</v>
      </c>
      <c r="I732" s="1" t="str">
        <f>IF(Table1[[#This Row],[Temperature_F]]&lt;32,"Yes","No")</f>
        <v>Yes</v>
      </c>
      <c r="J732" s="1" t="str" cm="1">
        <f t="array" ref="J7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2" s="1" t="str" cm="1">
        <f t="array" ref="K732">_xlfn.IFS(
H732=0,"No Rain",
H732&lt;10,"Light",
H732&lt;50,"Moderate",
TRUE,"Heavy")</f>
        <v>Light</v>
      </c>
      <c r="L732" s="1" t="str">
        <f>IF(Table1[[#This Row],[Precipitation_mm]]&lt;&gt;0,"Wet","Dry")</f>
        <v>Wet</v>
      </c>
      <c r="M732" t="b">
        <f>OR(ISBLANK(Table1[[#This Row],[Temperature_F]]),ISERROR(Table1[[#This Row],[Temperature_F]]))</f>
        <v>0</v>
      </c>
    </row>
    <row r="733" spans="1:13" hidden="1" x14ac:dyDescent="0.25">
      <c r="A733" s="1" t="s">
        <v>1</v>
      </c>
      <c r="B733" s="1" t="s">
        <v>2</v>
      </c>
      <c r="C733" s="1">
        <v>42.360599999999998</v>
      </c>
      <c r="D733" s="1">
        <v>-71.010599999999997</v>
      </c>
      <c r="E733" s="5">
        <v>40919</v>
      </c>
      <c r="F733" s="1" t="str">
        <f t="shared" si="11"/>
        <v>January</v>
      </c>
      <c r="G733" s="1">
        <v>27</v>
      </c>
      <c r="H733" s="1">
        <v>0</v>
      </c>
      <c r="I733" s="1" t="str">
        <f>IF(Table1[[#This Row],[Temperature_F]]&lt;32,"Yes","No")</f>
        <v>Yes</v>
      </c>
      <c r="J733" s="1" t="str" cm="1">
        <f t="array" ref="J7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3" s="1" t="str" cm="1">
        <f t="array" ref="K733">_xlfn.IFS(
H733=0,"No Rain",
H733&lt;10,"Light",
H733&lt;50,"Moderate",
TRUE,"Heavy")</f>
        <v>No Rain</v>
      </c>
      <c r="L733" s="1" t="str">
        <f>IF(Table1[[#This Row],[Precipitation_mm]]&lt;&gt;0,"Wet","Dry")</f>
        <v>Dry</v>
      </c>
      <c r="M733" t="b">
        <f>OR(ISBLANK(Table1[[#This Row],[Temperature_F]]),ISERROR(Table1[[#This Row],[Temperature_F]]))</f>
        <v>0</v>
      </c>
    </row>
    <row r="734" spans="1:13" hidden="1" x14ac:dyDescent="0.25">
      <c r="A734" s="1" t="s">
        <v>1</v>
      </c>
      <c r="B734" s="1" t="s">
        <v>2</v>
      </c>
      <c r="C734" s="1">
        <v>42.360599999999998</v>
      </c>
      <c r="D734" s="1">
        <v>-71.010599999999997</v>
      </c>
      <c r="E734" s="5">
        <v>40920</v>
      </c>
      <c r="F734" s="1" t="str">
        <f t="shared" si="11"/>
        <v>January</v>
      </c>
      <c r="G734" s="1">
        <v>12</v>
      </c>
      <c r="H734" s="1">
        <v>234</v>
      </c>
      <c r="I734" s="1" t="str">
        <f>IF(Table1[[#This Row],[Temperature_F]]&lt;32,"Yes","No")</f>
        <v>Yes</v>
      </c>
      <c r="J734" s="1" t="str" cm="1">
        <f t="array" ref="J7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4" s="1" t="str" cm="1">
        <f t="array" ref="K734">_xlfn.IFS(
H734=0,"No Rain",
H734&lt;10,"Light",
H734&lt;50,"Moderate",
TRUE,"Heavy")</f>
        <v>Heavy</v>
      </c>
      <c r="L734" s="1" t="str">
        <f>IF(Table1[[#This Row],[Precipitation_mm]]&lt;&gt;0,"Wet","Dry")</f>
        <v>Wet</v>
      </c>
      <c r="M734" t="b">
        <f>OR(ISBLANK(Table1[[#This Row],[Temperature_F]]),ISERROR(Table1[[#This Row],[Temperature_F]]))</f>
        <v>0</v>
      </c>
    </row>
    <row r="735" spans="1:13" x14ac:dyDescent="0.25">
      <c r="A735" s="1" t="s">
        <v>1</v>
      </c>
      <c r="B735" s="1" t="s">
        <v>2</v>
      </c>
      <c r="C735" s="1">
        <v>42.360599999999998</v>
      </c>
      <c r="D735" s="1">
        <v>-71.010599999999997</v>
      </c>
      <c r="E735" s="5">
        <v>40921</v>
      </c>
      <c r="F735" s="1" t="str">
        <f t="shared" si="11"/>
        <v>January</v>
      </c>
      <c r="G735" s="1">
        <v>42</v>
      </c>
      <c r="H735" s="1">
        <v>13</v>
      </c>
      <c r="I735" s="1" t="str">
        <f>IF(Table1[[#This Row],[Temperature_F]]&lt;32,"Yes","No")</f>
        <v>No</v>
      </c>
      <c r="J735" s="1" t="str" cm="1">
        <f t="array" ref="J7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35" s="1" t="str" cm="1">
        <f t="array" ref="K735">_xlfn.IFS(
H735=0,"No Rain",
H735&lt;10,"Light",
H735&lt;50,"Moderate",
TRUE,"Heavy")</f>
        <v>Moderate</v>
      </c>
      <c r="L735" s="1" t="str">
        <f>IF(Table1[[#This Row],[Precipitation_mm]]&lt;&gt;0,"Wet","Dry")</f>
        <v>Wet</v>
      </c>
      <c r="M735" t="b">
        <f>OR(ISBLANK(Table1[[#This Row],[Temperature_F]]),ISERROR(Table1[[#This Row],[Temperature_F]]))</f>
        <v>0</v>
      </c>
    </row>
    <row r="736" spans="1:13" hidden="1" x14ac:dyDescent="0.25">
      <c r="A736" s="1" t="s">
        <v>1</v>
      </c>
      <c r="B736" s="1" t="s">
        <v>2</v>
      </c>
      <c r="C736" s="1">
        <v>42.360599999999998</v>
      </c>
      <c r="D736" s="1">
        <v>-71.010599999999997</v>
      </c>
      <c r="E736" s="5">
        <v>40922</v>
      </c>
      <c r="F736" s="1" t="str">
        <f t="shared" si="11"/>
        <v>January</v>
      </c>
      <c r="G736" s="1">
        <v>29</v>
      </c>
      <c r="H736" s="1">
        <v>0</v>
      </c>
      <c r="I736" s="1" t="str">
        <f>IF(Table1[[#This Row],[Temperature_F]]&lt;32,"Yes","No")</f>
        <v>Yes</v>
      </c>
      <c r="J736" s="1" t="str" cm="1">
        <f t="array" ref="J7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6" s="1" t="str" cm="1">
        <f t="array" ref="K736">_xlfn.IFS(
H736=0,"No Rain",
H736&lt;10,"Light",
H736&lt;50,"Moderate",
TRUE,"Heavy")</f>
        <v>No Rain</v>
      </c>
      <c r="L736" s="1" t="str">
        <f>IF(Table1[[#This Row],[Precipitation_mm]]&lt;&gt;0,"Wet","Dry")</f>
        <v>Dry</v>
      </c>
      <c r="M736" t="b">
        <f>OR(ISBLANK(Table1[[#This Row],[Temperature_F]]),ISERROR(Table1[[#This Row],[Temperature_F]]))</f>
        <v>0</v>
      </c>
    </row>
    <row r="737" spans="1:13" hidden="1" x14ac:dyDescent="0.25">
      <c r="A737" s="1" t="s">
        <v>1</v>
      </c>
      <c r="B737" s="1" t="s">
        <v>2</v>
      </c>
      <c r="C737" s="1">
        <v>42.360599999999998</v>
      </c>
      <c r="D737" s="1">
        <v>-71.010599999999997</v>
      </c>
      <c r="E737" s="5">
        <v>40923</v>
      </c>
      <c r="F737" s="1" t="str">
        <f t="shared" si="11"/>
        <v>January</v>
      </c>
      <c r="G737" s="1">
        <v>31</v>
      </c>
      <c r="H737" s="1">
        <v>0</v>
      </c>
      <c r="I737" s="1" t="str">
        <f>IF(Table1[[#This Row],[Temperature_F]]&lt;32,"Yes","No")</f>
        <v>Yes</v>
      </c>
      <c r="J737" s="1" t="str" cm="1">
        <f t="array" ref="J7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7" s="1" t="str" cm="1">
        <f t="array" ref="K737">_xlfn.IFS(
H737=0,"No Rain",
H737&lt;10,"Light",
H737&lt;50,"Moderate",
TRUE,"Heavy")</f>
        <v>No Rain</v>
      </c>
      <c r="L737" s="1" t="str">
        <f>IF(Table1[[#This Row],[Precipitation_mm]]&lt;&gt;0,"Wet","Dry")</f>
        <v>Dry</v>
      </c>
      <c r="M737" t="b">
        <f>OR(ISBLANK(Table1[[#This Row],[Temperature_F]]),ISERROR(Table1[[#This Row],[Temperature_F]]))</f>
        <v>0</v>
      </c>
    </row>
    <row r="738" spans="1:13" hidden="1" x14ac:dyDescent="0.25">
      <c r="A738" s="1" t="s">
        <v>1</v>
      </c>
      <c r="B738" s="1" t="s">
        <v>2</v>
      </c>
      <c r="C738" s="1">
        <v>42.360599999999998</v>
      </c>
      <c r="D738" s="1">
        <v>-71.010599999999997</v>
      </c>
      <c r="E738" s="5">
        <v>40924</v>
      </c>
      <c r="F738" s="1" t="str">
        <f t="shared" si="11"/>
        <v>January</v>
      </c>
      <c r="G738" s="1">
        <v>14</v>
      </c>
      <c r="H738" s="1">
        <v>15</v>
      </c>
      <c r="I738" s="1" t="str">
        <f>IF(Table1[[#This Row],[Temperature_F]]&lt;32,"Yes","No")</f>
        <v>Yes</v>
      </c>
      <c r="J738" s="1" t="str" cm="1">
        <f t="array" ref="J7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8" s="1" t="str" cm="1">
        <f t="array" ref="K738">_xlfn.IFS(
H738=0,"No Rain",
H738&lt;10,"Light",
H738&lt;50,"Moderate",
TRUE,"Heavy")</f>
        <v>Moderate</v>
      </c>
      <c r="L738" s="1" t="str">
        <f>IF(Table1[[#This Row],[Precipitation_mm]]&lt;&gt;0,"Wet","Dry")</f>
        <v>Wet</v>
      </c>
      <c r="M738" t="b">
        <f>OR(ISBLANK(Table1[[#This Row],[Temperature_F]]),ISERROR(Table1[[#This Row],[Temperature_F]]))</f>
        <v>0</v>
      </c>
    </row>
    <row r="739" spans="1:13" hidden="1" x14ac:dyDescent="0.25">
      <c r="A739" s="1" t="s">
        <v>1</v>
      </c>
      <c r="B739" s="1" t="s">
        <v>2</v>
      </c>
      <c r="C739" s="1">
        <v>42.360599999999998</v>
      </c>
      <c r="D739" s="1">
        <v>-71.010599999999997</v>
      </c>
      <c r="E739" s="5">
        <v>40925</v>
      </c>
      <c r="F739" s="1" t="str">
        <f t="shared" si="11"/>
        <v>January</v>
      </c>
      <c r="G739" s="1">
        <v>30</v>
      </c>
      <c r="H739" s="1">
        <v>23</v>
      </c>
      <c r="I739" s="1" t="str">
        <f>IF(Table1[[#This Row],[Temperature_F]]&lt;32,"Yes","No")</f>
        <v>Yes</v>
      </c>
      <c r="J739" s="1" t="str" cm="1">
        <f t="array" ref="J7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39" s="1" t="str" cm="1">
        <f t="array" ref="K739">_xlfn.IFS(
H739=0,"No Rain",
H739&lt;10,"Light",
H739&lt;50,"Moderate",
TRUE,"Heavy")</f>
        <v>Moderate</v>
      </c>
      <c r="L739" s="1" t="str">
        <f>IF(Table1[[#This Row],[Precipitation_mm]]&lt;&gt;0,"Wet","Dry")</f>
        <v>Wet</v>
      </c>
      <c r="M739" t="b">
        <f>OR(ISBLANK(Table1[[#This Row],[Temperature_F]]),ISERROR(Table1[[#This Row],[Temperature_F]]))</f>
        <v>0</v>
      </c>
    </row>
    <row r="740" spans="1:13" hidden="1" x14ac:dyDescent="0.25">
      <c r="A740" s="1" t="s">
        <v>1</v>
      </c>
      <c r="B740" s="1" t="s">
        <v>2</v>
      </c>
      <c r="C740" s="1">
        <v>42.360599999999998</v>
      </c>
      <c r="D740" s="1">
        <v>-71.010599999999997</v>
      </c>
      <c r="E740" s="5">
        <v>40926</v>
      </c>
      <c r="F740" s="1" t="str">
        <f t="shared" si="11"/>
        <v>January</v>
      </c>
      <c r="G740" s="1">
        <v>12</v>
      </c>
      <c r="H740" s="1">
        <v>0</v>
      </c>
      <c r="I740" s="1" t="str">
        <f>IF(Table1[[#This Row],[Temperature_F]]&lt;32,"Yes","No")</f>
        <v>Yes</v>
      </c>
      <c r="J740" s="1" t="str" cm="1">
        <f t="array" ref="J7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0" s="1" t="str" cm="1">
        <f t="array" ref="K740">_xlfn.IFS(
H740=0,"No Rain",
H740&lt;10,"Light",
H740&lt;50,"Moderate",
TRUE,"Heavy")</f>
        <v>No Rain</v>
      </c>
      <c r="L740" s="1" t="str">
        <f>IF(Table1[[#This Row],[Precipitation_mm]]&lt;&gt;0,"Wet","Dry")</f>
        <v>Dry</v>
      </c>
      <c r="M740" t="b">
        <f>OR(ISBLANK(Table1[[#This Row],[Temperature_F]]),ISERROR(Table1[[#This Row],[Temperature_F]]))</f>
        <v>0</v>
      </c>
    </row>
    <row r="741" spans="1:13" hidden="1" x14ac:dyDescent="0.25">
      <c r="A741" s="1" t="s">
        <v>1</v>
      </c>
      <c r="B741" s="1" t="s">
        <v>2</v>
      </c>
      <c r="C741" s="1">
        <v>42.360599999999998</v>
      </c>
      <c r="D741" s="1">
        <v>-71.010599999999997</v>
      </c>
      <c r="E741" s="5">
        <v>40927</v>
      </c>
      <c r="F741" s="1" t="str">
        <f t="shared" si="11"/>
        <v>January</v>
      </c>
      <c r="G741" s="1">
        <v>12</v>
      </c>
      <c r="H741" s="1">
        <v>3</v>
      </c>
      <c r="I741" s="1" t="str">
        <f>IF(Table1[[#This Row],[Temperature_F]]&lt;32,"Yes","No")</f>
        <v>Yes</v>
      </c>
      <c r="J741" s="1" t="str" cm="1">
        <f t="array" ref="J7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1" s="1" t="str" cm="1">
        <f t="array" ref="K741">_xlfn.IFS(
H741=0,"No Rain",
H741&lt;10,"Light",
H741&lt;50,"Moderate",
TRUE,"Heavy")</f>
        <v>Light</v>
      </c>
      <c r="L741" s="1" t="str">
        <f>IF(Table1[[#This Row],[Precipitation_mm]]&lt;&gt;0,"Wet","Dry")</f>
        <v>Wet</v>
      </c>
      <c r="M741" t="b">
        <f>OR(ISBLANK(Table1[[#This Row],[Temperature_F]]),ISERROR(Table1[[#This Row],[Temperature_F]]))</f>
        <v>0</v>
      </c>
    </row>
    <row r="742" spans="1:13" hidden="1" x14ac:dyDescent="0.25">
      <c r="A742" s="1" t="s">
        <v>1</v>
      </c>
      <c r="B742" s="1" t="s">
        <v>2</v>
      </c>
      <c r="C742" s="1">
        <v>42.360599999999998</v>
      </c>
      <c r="D742" s="1">
        <v>-71.010599999999997</v>
      </c>
      <c r="E742" s="5">
        <v>40928</v>
      </c>
      <c r="F742" s="1" t="str">
        <f t="shared" si="11"/>
        <v>January</v>
      </c>
      <c r="G742" s="1">
        <v>30</v>
      </c>
      <c r="H742" s="1">
        <v>13</v>
      </c>
      <c r="I742" s="1" t="str">
        <f>IF(Table1[[#This Row],[Temperature_F]]&lt;32,"Yes","No")</f>
        <v>Yes</v>
      </c>
      <c r="J742" s="1" t="str" cm="1">
        <f t="array" ref="J7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2" s="1" t="str" cm="1">
        <f t="array" ref="K742">_xlfn.IFS(
H742=0,"No Rain",
H742&lt;10,"Light",
H742&lt;50,"Moderate",
TRUE,"Heavy")</f>
        <v>Moderate</v>
      </c>
      <c r="L742" s="1" t="str">
        <f>IF(Table1[[#This Row],[Precipitation_mm]]&lt;&gt;0,"Wet","Dry")</f>
        <v>Wet</v>
      </c>
      <c r="M742" t="b">
        <f>OR(ISBLANK(Table1[[#This Row],[Temperature_F]]),ISERROR(Table1[[#This Row],[Temperature_F]]))</f>
        <v>0</v>
      </c>
    </row>
    <row r="743" spans="1:13" x14ac:dyDescent="0.25">
      <c r="A743" s="1" t="s">
        <v>1</v>
      </c>
      <c r="B743" s="1" t="s">
        <v>2</v>
      </c>
      <c r="C743" s="1">
        <v>42.360599999999998</v>
      </c>
      <c r="D743" s="1">
        <v>-71.010599999999997</v>
      </c>
      <c r="E743" s="5">
        <v>40929</v>
      </c>
      <c r="F743" s="1" t="str">
        <f t="shared" si="11"/>
        <v>January</v>
      </c>
      <c r="G743" s="1">
        <v>33</v>
      </c>
      <c r="H743" s="1">
        <v>46</v>
      </c>
      <c r="I743" s="1" t="str">
        <f>IF(Table1[[#This Row],[Temperature_F]]&lt;32,"Yes","No")</f>
        <v>No</v>
      </c>
      <c r="J743" s="1" t="str" cm="1">
        <f t="array" ref="J7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43" s="1" t="str" cm="1">
        <f t="array" ref="K743">_xlfn.IFS(
H743=0,"No Rain",
H743&lt;10,"Light",
H743&lt;50,"Moderate",
TRUE,"Heavy")</f>
        <v>Moderate</v>
      </c>
      <c r="L743" s="1" t="str">
        <f>IF(Table1[[#This Row],[Precipitation_mm]]&lt;&gt;0,"Wet","Dry")</f>
        <v>Wet</v>
      </c>
      <c r="M743" t="b">
        <f>OR(ISBLANK(Table1[[#This Row],[Temperature_F]]),ISERROR(Table1[[#This Row],[Temperature_F]]))</f>
        <v>0</v>
      </c>
    </row>
    <row r="744" spans="1:13" hidden="1" x14ac:dyDescent="0.25">
      <c r="A744" s="1" t="s">
        <v>1</v>
      </c>
      <c r="B744" s="1" t="s">
        <v>2</v>
      </c>
      <c r="C744" s="1">
        <v>42.360599999999998</v>
      </c>
      <c r="D744" s="1">
        <v>-71.010599999999997</v>
      </c>
      <c r="E744" s="5">
        <v>40930</v>
      </c>
      <c r="F744" s="1" t="str">
        <f t="shared" si="11"/>
        <v>January</v>
      </c>
      <c r="G744" s="1">
        <v>16</v>
      </c>
      <c r="H744" s="1">
        <v>0</v>
      </c>
      <c r="I744" s="1" t="str">
        <f>IF(Table1[[#This Row],[Temperature_F]]&lt;32,"Yes","No")</f>
        <v>Yes</v>
      </c>
      <c r="J744" s="1" t="str" cm="1">
        <f t="array" ref="J7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4" s="1" t="str" cm="1">
        <f t="array" ref="K744">_xlfn.IFS(
H744=0,"No Rain",
H744&lt;10,"Light",
H744&lt;50,"Moderate",
TRUE,"Heavy")</f>
        <v>No Rain</v>
      </c>
      <c r="L744" s="1" t="str">
        <f>IF(Table1[[#This Row],[Precipitation_mm]]&lt;&gt;0,"Wet","Dry")</f>
        <v>Dry</v>
      </c>
      <c r="M744" t="b">
        <f>OR(ISBLANK(Table1[[#This Row],[Temperature_F]]),ISERROR(Table1[[#This Row],[Temperature_F]]))</f>
        <v>0</v>
      </c>
    </row>
    <row r="745" spans="1:13" hidden="1" x14ac:dyDescent="0.25">
      <c r="A745" s="1" t="s">
        <v>1</v>
      </c>
      <c r="B745" s="1" t="s">
        <v>2</v>
      </c>
      <c r="C745" s="1">
        <v>42.360599999999998</v>
      </c>
      <c r="D745" s="1">
        <v>-71.010599999999997</v>
      </c>
      <c r="E745" s="5">
        <v>40931</v>
      </c>
      <c r="F745" s="1" t="str">
        <f t="shared" si="11"/>
        <v>January</v>
      </c>
      <c r="G745" s="1">
        <v>31</v>
      </c>
      <c r="H745" s="1">
        <v>51</v>
      </c>
      <c r="I745" s="1" t="str">
        <f>IF(Table1[[#This Row],[Temperature_F]]&lt;32,"Yes","No")</f>
        <v>Yes</v>
      </c>
      <c r="J745" s="1" t="str" cm="1">
        <f t="array" ref="J7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5" s="1" t="str" cm="1">
        <f t="array" ref="K745">_xlfn.IFS(
H745=0,"No Rain",
H745&lt;10,"Light",
H745&lt;50,"Moderate",
TRUE,"Heavy")</f>
        <v>Heavy</v>
      </c>
      <c r="L745" s="1" t="str">
        <f>IF(Table1[[#This Row],[Precipitation_mm]]&lt;&gt;0,"Wet","Dry")</f>
        <v>Wet</v>
      </c>
      <c r="M745" t="b">
        <f>OR(ISBLANK(Table1[[#This Row],[Temperature_F]]),ISERROR(Table1[[#This Row],[Temperature_F]]))</f>
        <v>0</v>
      </c>
    </row>
    <row r="746" spans="1:13" x14ac:dyDescent="0.25">
      <c r="A746" s="1" t="s">
        <v>1</v>
      </c>
      <c r="B746" s="1" t="s">
        <v>2</v>
      </c>
      <c r="C746" s="1">
        <v>42.360599999999998</v>
      </c>
      <c r="D746" s="1">
        <v>-71.010599999999997</v>
      </c>
      <c r="E746" s="5">
        <v>40932</v>
      </c>
      <c r="F746" s="1" t="str">
        <f t="shared" si="11"/>
        <v>January</v>
      </c>
      <c r="G746" s="1">
        <v>45</v>
      </c>
      <c r="H746" s="1">
        <v>3</v>
      </c>
      <c r="I746" s="1" t="str">
        <f>IF(Table1[[#This Row],[Temperature_F]]&lt;32,"Yes","No")</f>
        <v>No</v>
      </c>
      <c r="J746" s="1" t="str" cm="1">
        <f t="array" ref="J7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46" s="1" t="str" cm="1">
        <f t="array" ref="K746">_xlfn.IFS(
H746=0,"No Rain",
H746&lt;10,"Light",
H746&lt;50,"Moderate",
TRUE,"Heavy")</f>
        <v>Light</v>
      </c>
      <c r="L746" s="1" t="str">
        <f>IF(Table1[[#This Row],[Precipitation_mm]]&lt;&gt;0,"Wet","Dry")</f>
        <v>Wet</v>
      </c>
      <c r="M746" t="b">
        <f>OR(ISBLANK(Table1[[#This Row],[Temperature_F]]),ISERROR(Table1[[#This Row],[Temperature_F]]))</f>
        <v>0</v>
      </c>
    </row>
    <row r="747" spans="1:13" hidden="1" x14ac:dyDescent="0.25">
      <c r="A747" s="1" t="s">
        <v>1</v>
      </c>
      <c r="B747" s="1" t="s">
        <v>2</v>
      </c>
      <c r="C747" s="1">
        <v>42.360599999999998</v>
      </c>
      <c r="D747" s="1">
        <v>-71.010599999999997</v>
      </c>
      <c r="E747" s="5">
        <v>40933</v>
      </c>
      <c r="F747" s="1" t="str">
        <f t="shared" si="11"/>
        <v>January</v>
      </c>
      <c r="G747" s="1">
        <v>12</v>
      </c>
      <c r="H747" s="1">
        <v>0</v>
      </c>
      <c r="I747" s="1" t="str">
        <f>IF(Table1[[#This Row],[Temperature_F]]&lt;32,"Yes","No")</f>
        <v>Yes</v>
      </c>
      <c r="J747" s="1" t="str" cm="1">
        <f t="array" ref="J7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7" s="1" t="str" cm="1">
        <f t="array" ref="K747">_xlfn.IFS(
H747=0,"No Rain",
H747&lt;10,"Light",
H747&lt;50,"Moderate",
TRUE,"Heavy")</f>
        <v>No Rain</v>
      </c>
      <c r="L747" s="1" t="str">
        <f>IF(Table1[[#This Row],[Precipitation_mm]]&lt;&gt;0,"Wet","Dry")</f>
        <v>Dry</v>
      </c>
      <c r="M747" t="b">
        <f>OR(ISBLANK(Table1[[#This Row],[Temperature_F]]),ISERROR(Table1[[#This Row],[Temperature_F]]))</f>
        <v>0</v>
      </c>
    </row>
    <row r="748" spans="1:13" x14ac:dyDescent="0.25">
      <c r="A748" s="1" t="s">
        <v>1</v>
      </c>
      <c r="B748" s="1" t="s">
        <v>2</v>
      </c>
      <c r="C748" s="1">
        <v>42.360599999999998</v>
      </c>
      <c r="D748" s="1">
        <v>-71.010599999999997</v>
      </c>
      <c r="E748" s="5">
        <v>40934</v>
      </c>
      <c r="F748" s="1" t="str">
        <f t="shared" si="11"/>
        <v>January</v>
      </c>
      <c r="G748" s="1">
        <v>39</v>
      </c>
      <c r="H748" s="1">
        <v>43</v>
      </c>
      <c r="I748" s="1" t="str">
        <f>IF(Table1[[#This Row],[Temperature_F]]&lt;32,"Yes","No")</f>
        <v>No</v>
      </c>
      <c r="J748" s="1" t="str" cm="1">
        <f t="array" ref="J7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48" s="1" t="str" cm="1">
        <f t="array" ref="K748">_xlfn.IFS(
H748=0,"No Rain",
H748&lt;10,"Light",
H748&lt;50,"Moderate",
TRUE,"Heavy")</f>
        <v>Moderate</v>
      </c>
      <c r="L748" s="1" t="str">
        <f>IF(Table1[[#This Row],[Precipitation_mm]]&lt;&gt;0,"Wet","Dry")</f>
        <v>Wet</v>
      </c>
      <c r="M748" t="b">
        <f>OR(ISBLANK(Table1[[#This Row],[Temperature_F]]),ISERROR(Table1[[#This Row],[Temperature_F]]))</f>
        <v>0</v>
      </c>
    </row>
    <row r="749" spans="1:13" hidden="1" x14ac:dyDescent="0.25">
      <c r="A749" s="1" t="s">
        <v>1</v>
      </c>
      <c r="B749" s="1" t="s">
        <v>2</v>
      </c>
      <c r="C749" s="1">
        <v>42.360599999999998</v>
      </c>
      <c r="D749" s="1">
        <v>-71.010599999999997</v>
      </c>
      <c r="E749" s="5">
        <v>40935</v>
      </c>
      <c r="F749" s="1" t="str">
        <f t="shared" si="11"/>
        <v>January</v>
      </c>
      <c r="G749" s="1">
        <v>24</v>
      </c>
      <c r="H749" s="1">
        <v>226</v>
      </c>
      <c r="I749" s="1" t="str">
        <f>IF(Table1[[#This Row],[Temperature_F]]&lt;32,"Yes","No")</f>
        <v>Yes</v>
      </c>
      <c r="J749" s="1" t="str" cm="1">
        <f t="array" ref="J7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49" s="1" t="str" cm="1">
        <f t="array" ref="K749">_xlfn.IFS(
H749=0,"No Rain",
H749&lt;10,"Light",
H749&lt;50,"Moderate",
TRUE,"Heavy")</f>
        <v>Heavy</v>
      </c>
      <c r="L749" s="1" t="str">
        <f>IF(Table1[[#This Row],[Precipitation_mm]]&lt;&gt;0,"Wet","Dry")</f>
        <v>Wet</v>
      </c>
      <c r="M749" t="b">
        <f>OR(ISBLANK(Table1[[#This Row],[Temperature_F]]),ISERROR(Table1[[#This Row],[Temperature_F]]))</f>
        <v>0</v>
      </c>
    </row>
    <row r="750" spans="1:13" x14ac:dyDescent="0.25">
      <c r="A750" s="1" t="s">
        <v>1</v>
      </c>
      <c r="B750" s="1" t="s">
        <v>2</v>
      </c>
      <c r="C750" s="1">
        <v>42.360599999999998</v>
      </c>
      <c r="D750" s="1">
        <v>-71.010599999999997</v>
      </c>
      <c r="E750" s="5">
        <v>40936</v>
      </c>
      <c r="F750" s="1" t="str">
        <f t="shared" si="11"/>
        <v>January</v>
      </c>
      <c r="G750" s="1">
        <v>42</v>
      </c>
      <c r="H750" s="1">
        <v>0</v>
      </c>
      <c r="I750" s="1" t="str">
        <f>IF(Table1[[#This Row],[Temperature_F]]&lt;32,"Yes","No")</f>
        <v>No</v>
      </c>
      <c r="J750" s="1" t="str" cm="1">
        <f t="array" ref="J7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50" s="1" t="str" cm="1">
        <f t="array" ref="K750">_xlfn.IFS(
H750=0,"No Rain",
H750&lt;10,"Light",
H750&lt;50,"Moderate",
TRUE,"Heavy")</f>
        <v>No Rain</v>
      </c>
      <c r="L750" s="1" t="str">
        <f>IF(Table1[[#This Row],[Precipitation_mm]]&lt;&gt;0,"Wet","Dry")</f>
        <v>Dry</v>
      </c>
      <c r="M750" t="b">
        <f>OR(ISBLANK(Table1[[#This Row],[Temperature_F]]),ISERROR(Table1[[#This Row],[Temperature_F]]))</f>
        <v>0</v>
      </c>
    </row>
    <row r="751" spans="1:13" x14ac:dyDescent="0.25">
      <c r="A751" s="1" t="s">
        <v>1</v>
      </c>
      <c r="B751" s="1" t="s">
        <v>2</v>
      </c>
      <c r="C751" s="1">
        <v>42.360599999999998</v>
      </c>
      <c r="D751" s="1">
        <v>-71.010599999999997</v>
      </c>
      <c r="E751" s="5">
        <v>40937</v>
      </c>
      <c r="F751" s="1" t="str">
        <f t="shared" si="11"/>
        <v>January</v>
      </c>
      <c r="G751" s="1">
        <v>42</v>
      </c>
      <c r="H751" s="1">
        <v>0</v>
      </c>
      <c r="I751" s="1" t="str">
        <f>IF(Table1[[#This Row],[Temperature_F]]&lt;32,"Yes","No")</f>
        <v>No</v>
      </c>
      <c r="J751" s="1" t="str" cm="1">
        <f t="array" ref="J7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51" s="1" t="str" cm="1">
        <f t="array" ref="K751">_xlfn.IFS(
H751=0,"No Rain",
H751&lt;10,"Light",
H751&lt;50,"Moderate",
TRUE,"Heavy")</f>
        <v>No Rain</v>
      </c>
      <c r="L751" s="1" t="str">
        <f>IF(Table1[[#This Row],[Precipitation_mm]]&lt;&gt;0,"Wet","Dry")</f>
        <v>Dry</v>
      </c>
      <c r="M751" t="b">
        <f>OR(ISBLANK(Table1[[#This Row],[Temperature_F]]),ISERROR(Table1[[#This Row],[Temperature_F]]))</f>
        <v>0</v>
      </c>
    </row>
    <row r="752" spans="1:13" hidden="1" x14ac:dyDescent="0.25">
      <c r="A752" s="1" t="s">
        <v>1</v>
      </c>
      <c r="B752" s="1" t="s">
        <v>2</v>
      </c>
      <c r="C752" s="1">
        <v>42.360599999999998</v>
      </c>
      <c r="D752" s="1">
        <v>-71.010599999999997</v>
      </c>
      <c r="E752" s="5">
        <v>40938</v>
      </c>
      <c r="F752" s="1" t="str">
        <f t="shared" si="11"/>
        <v>January</v>
      </c>
      <c r="G752" s="1">
        <v>30</v>
      </c>
      <c r="H752" s="1">
        <v>0</v>
      </c>
      <c r="I752" s="1" t="str">
        <f>IF(Table1[[#This Row],[Temperature_F]]&lt;32,"Yes","No")</f>
        <v>Yes</v>
      </c>
      <c r="J752" s="1" t="str" cm="1">
        <f t="array" ref="J7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52" s="1" t="str" cm="1">
        <f t="array" ref="K752">_xlfn.IFS(
H752=0,"No Rain",
H752&lt;10,"Light",
H752&lt;50,"Moderate",
TRUE,"Heavy")</f>
        <v>No Rain</v>
      </c>
      <c r="L752" s="1" t="str">
        <f>IF(Table1[[#This Row],[Precipitation_mm]]&lt;&gt;0,"Wet","Dry")</f>
        <v>Dry</v>
      </c>
      <c r="M752" t="b">
        <f>OR(ISBLANK(Table1[[#This Row],[Temperature_F]]),ISERROR(Table1[[#This Row],[Temperature_F]]))</f>
        <v>0</v>
      </c>
    </row>
    <row r="753" spans="1:13" x14ac:dyDescent="0.25">
      <c r="A753" s="1" t="s">
        <v>1</v>
      </c>
      <c r="B753" s="1" t="s">
        <v>2</v>
      </c>
      <c r="C753" s="1">
        <v>42.360599999999998</v>
      </c>
      <c r="D753" s="1">
        <v>-71.010599999999997</v>
      </c>
      <c r="E753" s="5">
        <v>40939</v>
      </c>
      <c r="F753" s="1" t="str">
        <f t="shared" si="11"/>
        <v>January</v>
      </c>
      <c r="G753" s="1">
        <v>44</v>
      </c>
      <c r="H753" s="1">
        <v>0</v>
      </c>
      <c r="I753" s="1" t="str">
        <f>IF(Table1[[#This Row],[Temperature_F]]&lt;32,"Yes","No")</f>
        <v>No</v>
      </c>
      <c r="J753" s="1" t="str" cm="1">
        <f t="array" ref="J7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53" s="1" t="str" cm="1">
        <f t="array" ref="K753">_xlfn.IFS(
H753=0,"No Rain",
H753&lt;10,"Light",
H753&lt;50,"Moderate",
TRUE,"Heavy")</f>
        <v>No Rain</v>
      </c>
      <c r="L753" s="1" t="str">
        <f>IF(Table1[[#This Row],[Precipitation_mm]]&lt;&gt;0,"Wet","Dry")</f>
        <v>Dry</v>
      </c>
      <c r="M753" t="b">
        <f>OR(ISBLANK(Table1[[#This Row],[Temperature_F]]),ISERROR(Table1[[#This Row],[Temperature_F]]))</f>
        <v>0</v>
      </c>
    </row>
    <row r="754" spans="1:13" x14ac:dyDescent="0.25">
      <c r="A754" s="1" t="s">
        <v>1</v>
      </c>
      <c r="B754" s="1" t="s">
        <v>2</v>
      </c>
      <c r="C754" s="1">
        <v>42.360599999999998</v>
      </c>
      <c r="D754" s="1">
        <v>-71.010599999999997</v>
      </c>
      <c r="E754" s="5">
        <v>40940</v>
      </c>
      <c r="F754" s="1" t="str">
        <f t="shared" si="11"/>
        <v>February</v>
      </c>
      <c r="G754" s="1">
        <v>43</v>
      </c>
      <c r="H754" s="1">
        <v>0</v>
      </c>
      <c r="I754" s="1" t="str">
        <f>IF(Table1[[#This Row],[Temperature_F]]&lt;32,"Yes","No")</f>
        <v>No</v>
      </c>
      <c r="J754" s="1" t="str" cm="1">
        <f t="array" ref="J7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54" s="1" t="str" cm="1">
        <f t="array" ref="K754">_xlfn.IFS(
H754=0,"No Rain",
H754&lt;10,"Light",
H754&lt;50,"Moderate",
TRUE,"Heavy")</f>
        <v>No Rain</v>
      </c>
      <c r="L754" s="1" t="str">
        <f>IF(Table1[[#This Row],[Precipitation_mm]]&lt;&gt;0,"Wet","Dry")</f>
        <v>Dry</v>
      </c>
      <c r="M754" t="b">
        <f>OR(ISBLANK(Table1[[#This Row],[Temperature_F]]),ISERROR(Table1[[#This Row],[Temperature_F]]))</f>
        <v>0</v>
      </c>
    </row>
    <row r="755" spans="1:13" hidden="1" x14ac:dyDescent="0.25">
      <c r="A755" s="1" t="s">
        <v>1</v>
      </c>
      <c r="B755" s="1" t="s">
        <v>2</v>
      </c>
      <c r="C755" s="1">
        <v>42.360599999999998</v>
      </c>
      <c r="D755" s="1">
        <v>-71.010599999999997</v>
      </c>
      <c r="E755" s="5">
        <v>40941</v>
      </c>
      <c r="F755" s="1" t="str">
        <f t="shared" si="11"/>
        <v>February</v>
      </c>
      <c r="G755" s="1">
        <v>15</v>
      </c>
      <c r="H755" s="1">
        <v>0</v>
      </c>
      <c r="I755" s="1" t="str">
        <f>IF(Table1[[#This Row],[Temperature_F]]&lt;32,"Yes","No")</f>
        <v>Yes</v>
      </c>
      <c r="J755" s="1" t="str" cm="1">
        <f t="array" ref="J7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55" s="1" t="str" cm="1">
        <f t="array" ref="K755">_xlfn.IFS(
H755=0,"No Rain",
H755&lt;10,"Light",
H755&lt;50,"Moderate",
TRUE,"Heavy")</f>
        <v>No Rain</v>
      </c>
      <c r="L755" s="1" t="str">
        <f>IF(Table1[[#This Row],[Precipitation_mm]]&lt;&gt;0,"Wet","Dry")</f>
        <v>Dry</v>
      </c>
      <c r="M755" t="b">
        <f>OR(ISBLANK(Table1[[#This Row],[Temperature_F]]),ISERROR(Table1[[#This Row],[Temperature_F]]))</f>
        <v>0</v>
      </c>
    </row>
    <row r="756" spans="1:13" hidden="1" x14ac:dyDescent="0.25">
      <c r="A756" s="1" t="s">
        <v>1</v>
      </c>
      <c r="B756" s="1" t="s">
        <v>2</v>
      </c>
      <c r="C756" s="1">
        <v>42.360599999999998</v>
      </c>
      <c r="D756" s="1">
        <v>-71.010599999999997</v>
      </c>
      <c r="E756" s="5">
        <v>40942</v>
      </c>
      <c r="F756" s="1" t="str">
        <f t="shared" si="11"/>
        <v>February</v>
      </c>
      <c r="G756" s="1">
        <v>19</v>
      </c>
      <c r="H756" s="1">
        <v>0</v>
      </c>
      <c r="I756" s="1" t="str">
        <f>IF(Table1[[#This Row],[Temperature_F]]&lt;32,"Yes","No")</f>
        <v>Yes</v>
      </c>
      <c r="J756" s="1" t="str" cm="1">
        <f t="array" ref="J7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56" s="1" t="str" cm="1">
        <f t="array" ref="K756">_xlfn.IFS(
H756=0,"No Rain",
H756&lt;10,"Light",
H756&lt;50,"Moderate",
TRUE,"Heavy")</f>
        <v>No Rain</v>
      </c>
      <c r="L756" s="1" t="str">
        <f>IF(Table1[[#This Row],[Precipitation_mm]]&lt;&gt;0,"Wet","Dry")</f>
        <v>Dry</v>
      </c>
      <c r="M756" t="b">
        <f>OR(ISBLANK(Table1[[#This Row],[Temperature_F]]),ISERROR(Table1[[#This Row],[Temperature_F]]))</f>
        <v>0</v>
      </c>
    </row>
    <row r="757" spans="1:13" hidden="1" x14ac:dyDescent="0.25">
      <c r="A757" s="1" t="s">
        <v>1</v>
      </c>
      <c r="B757" s="1" t="s">
        <v>2</v>
      </c>
      <c r="C757" s="1">
        <v>42.360599999999998</v>
      </c>
      <c r="D757" s="1">
        <v>-71.010599999999997</v>
      </c>
      <c r="E757" s="5">
        <v>40943</v>
      </c>
      <c r="F757" s="1" t="str">
        <f t="shared" si="11"/>
        <v>February</v>
      </c>
      <c r="G757" s="1">
        <v>10</v>
      </c>
      <c r="H757" s="1">
        <v>0</v>
      </c>
      <c r="I757" s="1" t="str">
        <f>IF(Table1[[#This Row],[Temperature_F]]&lt;32,"Yes","No")</f>
        <v>Yes</v>
      </c>
      <c r="J757" s="1" t="str" cm="1">
        <f t="array" ref="J7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57" s="1" t="str" cm="1">
        <f t="array" ref="K757">_xlfn.IFS(
H757=0,"No Rain",
H757&lt;10,"Light",
H757&lt;50,"Moderate",
TRUE,"Heavy")</f>
        <v>No Rain</v>
      </c>
      <c r="L757" s="1" t="str">
        <f>IF(Table1[[#This Row],[Precipitation_mm]]&lt;&gt;0,"Wet","Dry")</f>
        <v>Dry</v>
      </c>
      <c r="M757" t="b">
        <f>OR(ISBLANK(Table1[[#This Row],[Temperature_F]]),ISERROR(Table1[[#This Row],[Temperature_F]]))</f>
        <v>0</v>
      </c>
    </row>
    <row r="758" spans="1:13" x14ac:dyDescent="0.25">
      <c r="A758" s="1" t="s">
        <v>1</v>
      </c>
      <c r="B758" s="1" t="s">
        <v>2</v>
      </c>
      <c r="C758" s="1">
        <v>42.360599999999998</v>
      </c>
      <c r="D758" s="1">
        <v>-71.010599999999997</v>
      </c>
      <c r="E758" s="5">
        <v>40944</v>
      </c>
      <c r="F758" s="1" t="str">
        <f t="shared" si="11"/>
        <v>February</v>
      </c>
      <c r="G758" s="1">
        <v>42</v>
      </c>
      <c r="H758" s="1">
        <v>0</v>
      </c>
      <c r="I758" s="1" t="str">
        <f>IF(Table1[[#This Row],[Temperature_F]]&lt;32,"Yes","No")</f>
        <v>No</v>
      </c>
      <c r="J758" s="1" t="str" cm="1">
        <f t="array" ref="J7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58" s="1" t="str" cm="1">
        <f t="array" ref="K758">_xlfn.IFS(
H758=0,"No Rain",
H758&lt;10,"Light",
H758&lt;50,"Moderate",
TRUE,"Heavy")</f>
        <v>No Rain</v>
      </c>
      <c r="L758" s="1" t="str">
        <f>IF(Table1[[#This Row],[Precipitation_mm]]&lt;&gt;0,"Wet","Dry")</f>
        <v>Dry</v>
      </c>
      <c r="M758" t="b">
        <f>OR(ISBLANK(Table1[[#This Row],[Temperature_F]]),ISERROR(Table1[[#This Row],[Temperature_F]]))</f>
        <v>0</v>
      </c>
    </row>
    <row r="759" spans="1:13" x14ac:dyDescent="0.25">
      <c r="A759" s="1" t="s">
        <v>1</v>
      </c>
      <c r="B759" s="1" t="s">
        <v>2</v>
      </c>
      <c r="C759" s="1">
        <v>42.360599999999998</v>
      </c>
      <c r="D759" s="1">
        <v>-71.010599999999997</v>
      </c>
      <c r="E759" s="5">
        <v>40945</v>
      </c>
      <c r="F759" s="1" t="str">
        <f t="shared" si="11"/>
        <v>February</v>
      </c>
      <c r="G759" s="1">
        <v>38</v>
      </c>
      <c r="H759" s="1">
        <v>0</v>
      </c>
      <c r="I759" s="1" t="str">
        <f>IF(Table1[[#This Row],[Temperature_F]]&lt;32,"Yes","No")</f>
        <v>No</v>
      </c>
      <c r="J759" s="1" t="str" cm="1">
        <f t="array" ref="J7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59" s="1" t="str" cm="1">
        <f t="array" ref="K759">_xlfn.IFS(
H759=0,"No Rain",
H759&lt;10,"Light",
H759&lt;50,"Moderate",
TRUE,"Heavy")</f>
        <v>No Rain</v>
      </c>
      <c r="L759" s="1" t="str">
        <f>IF(Table1[[#This Row],[Precipitation_mm]]&lt;&gt;0,"Wet","Dry")</f>
        <v>Dry</v>
      </c>
      <c r="M759" t="b">
        <f>OR(ISBLANK(Table1[[#This Row],[Temperature_F]]),ISERROR(Table1[[#This Row],[Temperature_F]]))</f>
        <v>0</v>
      </c>
    </row>
    <row r="760" spans="1:13" hidden="1" x14ac:dyDescent="0.25">
      <c r="A760" s="1" t="s">
        <v>1</v>
      </c>
      <c r="B760" s="1" t="s">
        <v>2</v>
      </c>
      <c r="C760" s="1">
        <v>42.360599999999998</v>
      </c>
      <c r="D760" s="1">
        <v>-71.010599999999997</v>
      </c>
      <c r="E760" s="5">
        <v>40946</v>
      </c>
      <c r="F760" s="1" t="str">
        <f t="shared" si="11"/>
        <v>February</v>
      </c>
      <c r="G760" s="1">
        <v>26</v>
      </c>
      <c r="H760" s="1">
        <v>0</v>
      </c>
      <c r="I760" s="1" t="str">
        <f>IF(Table1[[#This Row],[Temperature_F]]&lt;32,"Yes","No")</f>
        <v>Yes</v>
      </c>
      <c r="J760" s="1" t="str" cm="1">
        <f t="array" ref="J7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0" s="1" t="str" cm="1">
        <f t="array" ref="K760">_xlfn.IFS(
H760=0,"No Rain",
H760&lt;10,"Light",
H760&lt;50,"Moderate",
TRUE,"Heavy")</f>
        <v>No Rain</v>
      </c>
      <c r="L760" s="1" t="str">
        <f>IF(Table1[[#This Row],[Precipitation_mm]]&lt;&gt;0,"Wet","Dry")</f>
        <v>Dry</v>
      </c>
      <c r="M760" t="b">
        <f>OR(ISBLANK(Table1[[#This Row],[Temperature_F]]),ISERROR(Table1[[#This Row],[Temperature_F]]))</f>
        <v>0</v>
      </c>
    </row>
    <row r="761" spans="1:13" hidden="1" x14ac:dyDescent="0.25">
      <c r="A761" s="1" t="s">
        <v>1</v>
      </c>
      <c r="B761" s="1" t="s">
        <v>2</v>
      </c>
      <c r="C761" s="1">
        <v>42.360599999999998</v>
      </c>
      <c r="D761" s="1">
        <v>-71.010599999999997</v>
      </c>
      <c r="E761" s="5">
        <v>40947</v>
      </c>
      <c r="F761" s="1" t="str">
        <f t="shared" si="11"/>
        <v>February</v>
      </c>
      <c r="G761" s="1">
        <v>16</v>
      </c>
      <c r="H761" s="1">
        <v>0</v>
      </c>
      <c r="I761" s="1" t="str">
        <f>IF(Table1[[#This Row],[Temperature_F]]&lt;32,"Yes","No")</f>
        <v>Yes</v>
      </c>
      <c r="J761" s="1" t="str" cm="1">
        <f t="array" ref="J7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1" s="1" t="str" cm="1">
        <f t="array" ref="K761">_xlfn.IFS(
H761=0,"No Rain",
H761&lt;10,"Light",
H761&lt;50,"Moderate",
TRUE,"Heavy")</f>
        <v>No Rain</v>
      </c>
      <c r="L761" s="1" t="str">
        <f>IF(Table1[[#This Row],[Precipitation_mm]]&lt;&gt;0,"Wet","Dry")</f>
        <v>Dry</v>
      </c>
      <c r="M761" t="b">
        <f>OR(ISBLANK(Table1[[#This Row],[Temperature_F]]),ISERROR(Table1[[#This Row],[Temperature_F]]))</f>
        <v>0</v>
      </c>
    </row>
    <row r="762" spans="1:13" hidden="1" x14ac:dyDescent="0.25">
      <c r="A762" s="1" t="s">
        <v>1</v>
      </c>
      <c r="B762" s="1" t="s">
        <v>2</v>
      </c>
      <c r="C762" s="1">
        <v>42.360599999999998</v>
      </c>
      <c r="D762" s="1">
        <v>-71.010599999999997</v>
      </c>
      <c r="E762" s="5">
        <v>40948</v>
      </c>
      <c r="F762" s="1" t="str">
        <f t="shared" ref="F762:F825" si="12">TEXT(E762,"mmmm")</f>
        <v>February</v>
      </c>
      <c r="G762" s="1">
        <v>32</v>
      </c>
      <c r="H762" s="1">
        <v>0</v>
      </c>
      <c r="I762" s="1" t="str">
        <f>IF(Table1[[#This Row],[Temperature_F]]&lt;32,"Yes","No")</f>
        <v>No</v>
      </c>
      <c r="J762" s="1" t="str" cm="1">
        <f t="array" ref="J7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2" s="1" t="str" cm="1">
        <f t="array" ref="K762">_xlfn.IFS(
H762=0,"No Rain",
H762&lt;10,"Light",
H762&lt;50,"Moderate",
TRUE,"Heavy")</f>
        <v>No Rain</v>
      </c>
      <c r="L762" s="1" t="str">
        <f>IF(Table1[[#This Row],[Precipitation_mm]]&lt;&gt;0,"Wet","Dry")</f>
        <v>Dry</v>
      </c>
      <c r="M762" t="b">
        <f>OR(ISBLANK(Table1[[#This Row],[Temperature_F]]),ISERROR(Table1[[#This Row],[Temperature_F]]))</f>
        <v>0</v>
      </c>
    </row>
    <row r="763" spans="1:13" hidden="1" x14ac:dyDescent="0.25">
      <c r="A763" s="1" t="s">
        <v>1</v>
      </c>
      <c r="B763" s="1" t="s">
        <v>2</v>
      </c>
      <c r="C763" s="1">
        <v>42.360599999999998</v>
      </c>
      <c r="D763" s="1">
        <v>-71.010599999999997</v>
      </c>
      <c r="E763" s="5">
        <v>40949</v>
      </c>
      <c r="F763" s="1" t="str">
        <f t="shared" si="12"/>
        <v>February</v>
      </c>
      <c r="G763" s="1">
        <v>19</v>
      </c>
      <c r="H763" s="1">
        <v>0</v>
      </c>
      <c r="I763" s="1" t="str">
        <f>IF(Table1[[#This Row],[Temperature_F]]&lt;32,"Yes","No")</f>
        <v>Yes</v>
      </c>
      <c r="J763" s="1" t="str" cm="1">
        <f t="array" ref="J7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3" s="1" t="str" cm="1">
        <f t="array" ref="K763">_xlfn.IFS(
H763=0,"No Rain",
H763&lt;10,"Light",
H763&lt;50,"Moderate",
TRUE,"Heavy")</f>
        <v>No Rain</v>
      </c>
      <c r="L763" s="1" t="str">
        <f>IF(Table1[[#This Row],[Precipitation_mm]]&lt;&gt;0,"Wet","Dry")</f>
        <v>Dry</v>
      </c>
      <c r="M763" t="b">
        <f>OR(ISBLANK(Table1[[#This Row],[Temperature_F]]),ISERROR(Table1[[#This Row],[Temperature_F]]))</f>
        <v>0</v>
      </c>
    </row>
    <row r="764" spans="1:13" hidden="1" x14ac:dyDescent="0.25">
      <c r="A764" s="1" t="s">
        <v>1</v>
      </c>
      <c r="B764" s="1" t="s">
        <v>2</v>
      </c>
      <c r="C764" s="1">
        <v>42.360599999999998</v>
      </c>
      <c r="D764" s="1">
        <v>-71.010599999999997</v>
      </c>
      <c r="E764" s="5">
        <v>40950</v>
      </c>
      <c r="F764" s="1" t="str">
        <f t="shared" si="12"/>
        <v>February</v>
      </c>
      <c r="G764" s="1">
        <v>29</v>
      </c>
      <c r="H764" s="1">
        <v>18</v>
      </c>
      <c r="I764" s="1" t="str">
        <f>IF(Table1[[#This Row],[Temperature_F]]&lt;32,"Yes","No")</f>
        <v>Yes</v>
      </c>
      <c r="J764" s="1" t="str" cm="1">
        <f t="array" ref="J7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4" s="1" t="str" cm="1">
        <f t="array" ref="K764">_xlfn.IFS(
H764=0,"No Rain",
H764&lt;10,"Light",
H764&lt;50,"Moderate",
TRUE,"Heavy")</f>
        <v>Moderate</v>
      </c>
      <c r="L764" s="1" t="str">
        <f>IF(Table1[[#This Row],[Precipitation_mm]]&lt;&gt;0,"Wet","Dry")</f>
        <v>Wet</v>
      </c>
      <c r="M764" t="b">
        <f>OR(ISBLANK(Table1[[#This Row],[Temperature_F]]),ISERROR(Table1[[#This Row],[Temperature_F]]))</f>
        <v>0</v>
      </c>
    </row>
    <row r="765" spans="1:13" x14ac:dyDescent="0.25">
      <c r="A765" s="1" t="s">
        <v>1</v>
      </c>
      <c r="B765" s="1" t="s">
        <v>2</v>
      </c>
      <c r="C765" s="1">
        <v>42.360599999999998</v>
      </c>
      <c r="D765" s="1">
        <v>-71.010599999999997</v>
      </c>
      <c r="E765" s="5">
        <v>40951</v>
      </c>
      <c r="F765" s="1" t="str">
        <f t="shared" si="12"/>
        <v>February</v>
      </c>
      <c r="G765" s="1">
        <v>43</v>
      </c>
      <c r="H765" s="1">
        <v>0</v>
      </c>
      <c r="I765" s="1" t="str">
        <f>IF(Table1[[#This Row],[Temperature_F]]&lt;32,"Yes","No")</f>
        <v>No</v>
      </c>
      <c r="J765" s="1" t="str" cm="1">
        <f t="array" ref="J7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65" s="1" t="str" cm="1">
        <f t="array" ref="K765">_xlfn.IFS(
H765=0,"No Rain",
H765&lt;10,"Light",
H765&lt;50,"Moderate",
TRUE,"Heavy")</f>
        <v>No Rain</v>
      </c>
      <c r="L765" s="1" t="str">
        <f>IF(Table1[[#This Row],[Precipitation_mm]]&lt;&gt;0,"Wet","Dry")</f>
        <v>Dry</v>
      </c>
      <c r="M765" t="b">
        <f>OR(ISBLANK(Table1[[#This Row],[Temperature_F]]),ISERROR(Table1[[#This Row],[Temperature_F]]))</f>
        <v>0</v>
      </c>
    </row>
    <row r="766" spans="1:13" hidden="1" x14ac:dyDescent="0.25">
      <c r="A766" s="1" t="s">
        <v>1</v>
      </c>
      <c r="B766" s="1" t="s">
        <v>2</v>
      </c>
      <c r="C766" s="1">
        <v>42.360599999999998</v>
      </c>
      <c r="D766" s="1">
        <v>-71.010599999999997</v>
      </c>
      <c r="E766" s="5">
        <v>40952</v>
      </c>
      <c r="F766" s="1" t="str">
        <f t="shared" si="12"/>
        <v>February</v>
      </c>
      <c r="G766" s="1">
        <v>28</v>
      </c>
      <c r="H766" s="1">
        <v>0</v>
      </c>
      <c r="I766" s="1" t="str">
        <f>IF(Table1[[#This Row],[Temperature_F]]&lt;32,"Yes","No")</f>
        <v>Yes</v>
      </c>
      <c r="J766" s="1" t="str" cm="1">
        <f t="array" ref="J7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6" s="1" t="str" cm="1">
        <f t="array" ref="K766">_xlfn.IFS(
H766=0,"No Rain",
H766&lt;10,"Light",
H766&lt;50,"Moderate",
TRUE,"Heavy")</f>
        <v>No Rain</v>
      </c>
      <c r="L766" s="1" t="str">
        <f>IF(Table1[[#This Row],[Precipitation_mm]]&lt;&gt;0,"Wet","Dry")</f>
        <v>Dry</v>
      </c>
      <c r="M766" t="b">
        <f>OR(ISBLANK(Table1[[#This Row],[Temperature_F]]),ISERROR(Table1[[#This Row],[Temperature_F]]))</f>
        <v>0</v>
      </c>
    </row>
    <row r="767" spans="1:13" hidden="1" x14ac:dyDescent="0.25">
      <c r="A767" s="1" t="s">
        <v>1</v>
      </c>
      <c r="B767" s="1" t="s">
        <v>2</v>
      </c>
      <c r="C767" s="1">
        <v>42.360599999999998</v>
      </c>
      <c r="D767" s="1">
        <v>-71.010599999999997</v>
      </c>
      <c r="E767" s="5">
        <v>40953</v>
      </c>
      <c r="F767" s="1" t="str">
        <f t="shared" si="12"/>
        <v>February</v>
      </c>
      <c r="G767" s="1">
        <v>31</v>
      </c>
      <c r="H767" s="1">
        <v>0</v>
      </c>
      <c r="I767" s="1" t="str">
        <f>IF(Table1[[#This Row],[Temperature_F]]&lt;32,"Yes","No")</f>
        <v>Yes</v>
      </c>
      <c r="J767" s="1" t="str" cm="1">
        <f t="array" ref="J7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7" s="1" t="str" cm="1">
        <f t="array" ref="K767">_xlfn.IFS(
H767=0,"No Rain",
H767&lt;10,"Light",
H767&lt;50,"Moderate",
TRUE,"Heavy")</f>
        <v>No Rain</v>
      </c>
      <c r="L767" s="1" t="str">
        <f>IF(Table1[[#This Row],[Precipitation_mm]]&lt;&gt;0,"Wet","Dry")</f>
        <v>Dry</v>
      </c>
      <c r="M767" t="b">
        <f>OR(ISBLANK(Table1[[#This Row],[Temperature_F]]),ISERROR(Table1[[#This Row],[Temperature_F]]))</f>
        <v>0</v>
      </c>
    </row>
    <row r="768" spans="1:13" x14ac:dyDescent="0.25">
      <c r="A768" s="1" t="s">
        <v>1</v>
      </c>
      <c r="B768" s="1" t="s">
        <v>2</v>
      </c>
      <c r="C768" s="1">
        <v>42.360599999999998</v>
      </c>
      <c r="D768" s="1">
        <v>-71.010599999999997</v>
      </c>
      <c r="E768" s="5">
        <v>40954</v>
      </c>
      <c r="F768" s="1" t="str">
        <f t="shared" si="12"/>
        <v>February</v>
      </c>
      <c r="G768" s="1">
        <v>44</v>
      </c>
      <c r="H768" s="1">
        <v>0</v>
      </c>
      <c r="I768" s="1" t="str">
        <f>IF(Table1[[#This Row],[Temperature_F]]&lt;32,"Yes","No")</f>
        <v>No</v>
      </c>
      <c r="J768" s="1" t="str" cm="1">
        <f t="array" ref="J7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68" s="1" t="str" cm="1">
        <f t="array" ref="K768">_xlfn.IFS(
H768=0,"No Rain",
H768&lt;10,"Light",
H768&lt;50,"Moderate",
TRUE,"Heavy")</f>
        <v>No Rain</v>
      </c>
      <c r="L768" s="1" t="str">
        <f>IF(Table1[[#This Row],[Precipitation_mm]]&lt;&gt;0,"Wet","Dry")</f>
        <v>Dry</v>
      </c>
      <c r="M768" t="b">
        <f>OR(ISBLANK(Table1[[#This Row],[Temperature_F]]),ISERROR(Table1[[#This Row],[Temperature_F]]))</f>
        <v>0</v>
      </c>
    </row>
    <row r="769" spans="1:13" hidden="1" x14ac:dyDescent="0.25">
      <c r="A769" s="1" t="s">
        <v>1</v>
      </c>
      <c r="B769" s="1" t="s">
        <v>2</v>
      </c>
      <c r="C769" s="1">
        <v>42.360599999999998</v>
      </c>
      <c r="D769" s="1">
        <v>-71.010599999999997</v>
      </c>
      <c r="E769" s="5">
        <v>40955</v>
      </c>
      <c r="F769" s="1" t="str">
        <f t="shared" si="12"/>
        <v>February</v>
      </c>
      <c r="G769" s="1">
        <v>12</v>
      </c>
      <c r="H769" s="1">
        <v>10</v>
      </c>
      <c r="I769" s="1" t="str">
        <f>IF(Table1[[#This Row],[Temperature_F]]&lt;32,"Yes","No")</f>
        <v>Yes</v>
      </c>
      <c r="J769" s="1" t="str" cm="1">
        <f t="array" ref="J7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69" s="1" t="str" cm="1">
        <f t="array" ref="K769">_xlfn.IFS(
H769=0,"No Rain",
H769&lt;10,"Light",
H769&lt;50,"Moderate",
TRUE,"Heavy")</f>
        <v>Moderate</v>
      </c>
      <c r="L769" s="1" t="str">
        <f>IF(Table1[[#This Row],[Precipitation_mm]]&lt;&gt;0,"Wet","Dry")</f>
        <v>Wet</v>
      </c>
      <c r="M769" t="b">
        <f>OR(ISBLANK(Table1[[#This Row],[Temperature_F]]),ISERROR(Table1[[#This Row],[Temperature_F]]))</f>
        <v>0</v>
      </c>
    </row>
    <row r="770" spans="1:13" hidden="1" x14ac:dyDescent="0.25">
      <c r="A770" s="1" t="s">
        <v>1</v>
      </c>
      <c r="B770" s="1" t="s">
        <v>2</v>
      </c>
      <c r="C770" s="1">
        <v>42.360599999999998</v>
      </c>
      <c r="D770" s="1">
        <v>-71.010599999999997</v>
      </c>
      <c r="E770" s="5">
        <v>40956</v>
      </c>
      <c r="F770" s="1" t="str">
        <f t="shared" si="12"/>
        <v>February</v>
      </c>
      <c r="G770" s="1">
        <v>11</v>
      </c>
      <c r="H770" s="1">
        <v>3</v>
      </c>
      <c r="I770" s="1" t="str">
        <f>IF(Table1[[#This Row],[Temperature_F]]&lt;32,"Yes","No")</f>
        <v>Yes</v>
      </c>
      <c r="J770" s="1" t="str" cm="1">
        <f t="array" ref="J7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70" s="1" t="str" cm="1">
        <f t="array" ref="K770">_xlfn.IFS(
H770=0,"No Rain",
H770&lt;10,"Light",
H770&lt;50,"Moderate",
TRUE,"Heavy")</f>
        <v>Light</v>
      </c>
      <c r="L770" s="1" t="str">
        <f>IF(Table1[[#This Row],[Precipitation_mm]]&lt;&gt;0,"Wet","Dry")</f>
        <v>Wet</v>
      </c>
      <c r="M770" t="b">
        <f>OR(ISBLANK(Table1[[#This Row],[Temperature_F]]),ISERROR(Table1[[#This Row],[Temperature_F]]))</f>
        <v>0</v>
      </c>
    </row>
    <row r="771" spans="1:13" x14ac:dyDescent="0.25">
      <c r="A771" s="1" t="s">
        <v>1</v>
      </c>
      <c r="B771" s="1" t="s">
        <v>2</v>
      </c>
      <c r="C771" s="1">
        <v>42.360599999999998</v>
      </c>
      <c r="D771" s="1">
        <v>-71.010599999999997</v>
      </c>
      <c r="E771" s="5">
        <v>40957</v>
      </c>
      <c r="F771" s="1" t="str">
        <f t="shared" si="12"/>
        <v>February</v>
      </c>
      <c r="G771" s="1">
        <v>40</v>
      </c>
      <c r="H771" s="1">
        <v>0</v>
      </c>
      <c r="I771" s="1" t="str">
        <f>IF(Table1[[#This Row],[Temperature_F]]&lt;32,"Yes","No")</f>
        <v>No</v>
      </c>
      <c r="J771" s="1" t="str" cm="1">
        <f t="array" ref="J7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71" s="1" t="str" cm="1">
        <f t="array" ref="K771">_xlfn.IFS(
H771=0,"No Rain",
H771&lt;10,"Light",
H771&lt;50,"Moderate",
TRUE,"Heavy")</f>
        <v>No Rain</v>
      </c>
      <c r="L771" s="1" t="str">
        <f>IF(Table1[[#This Row],[Precipitation_mm]]&lt;&gt;0,"Wet","Dry")</f>
        <v>Dry</v>
      </c>
      <c r="M771" t="b">
        <f>OR(ISBLANK(Table1[[#This Row],[Temperature_F]]),ISERROR(Table1[[#This Row],[Temperature_F]]))</f>
        <v>0</v>
      </c>
    </row>
    <row r="772" spans="1:13" x14ac:dyDescent="0.25">
      <c r="A772" s="1" t="s">
        <v>1</v>
      </c>
      <c r="B772" s="1" t="s">
        <v>2</v>
      </c>
      <c r="C772" s="1">
        <v>42.360599999999998</v>
      </c>
      <c r="D772" s="1">
        <v>-71.010599999999997</v>
      </c>
      <c r="E772" s="5">
        <v>40958</v>
      </c>
      <c r="F772" s="1" t="str">
        <f t="shared" si="12"/>
        <v>February</v>
      </c>
      <c r="G772" s="1">
        <v>40</v>
      </c>
      <c r="H772" s="1">
        <v>0</v>
      </c>
      <c r="I772" s="1" t="str">
        <f>IF(Table1[[#This Row],[Temperature_F]]&lt;32,"Yes","No")</f>
        <v>No</v>
      </c>
      <c r="J772" s="1" t="str" cm="1">
        <f t="array" ref="J7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72" s="1" t="str" cm="1">
        <f t="array" ref="K772">_xlfn.IFS(
H772=0,"No Rain",
H772&lt;10,"Light",
H772&lt;50,"Moderate",
TRUE,"Heavy")</f>
        <v>No Rain</v>
      </c>
      <c r="L772" s="1" t="str">
        <f>IF(Table1[[#This Row],[Precipitation_mm]]&lt;&gt;0,"Wet","Dry")</f>
        <v>Dry</v>
      </c>
      <c r="M772" t="b">
        <f>OR(ISBLANK(Table1[[#This Row],[Temperature_F]]),ISERROR(Table1[[#This Row],[Temperature_F]]))</f>
        <v>0</v>
      </c>
    </row>
    <row r="773" spans="1:13" x14ac:dyDescent="0.25">
      <c r="A773" s="1" t="s">
        <v>1</v>
      </c>
      <c r="B773" s="1" t="s">
        <v>2</v>
      </c>
      <c r="C773" s="1">
        <v>42.360599999999998</v>
      </c>
      <c r="D773" s="1">
        <v>-71.010599999999997</v>
      </c>
      <c r="E773" s="5">
        <v>40959</v>
      </c>
      <c r="F773" s="1" t="str">
        <f t="shared" si="12"/>
        <v>February</v>
      </c>
      <c r="G773" s="1">
        <v>43</v>
      </c>
      <c r="H773" s="1">
        <v>0</v>
      </c>
      <c r="I773" s="1" t="str">
        <f>IF(Table1[[#This Row],[Temperature_F]]&lt;32,"Yes","No")</f>
        <v>No</v>
      </c>
      <c r="J773" s="1" t="str" cm="1">
        <f t="array" ref="J7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73" s="1" t="str" cm="1">
        <f t="array" ref="K773">_xlfn.IFS(
H773=0,"No Rain",
H773&lt;10,"Light",
H773&lt;50,"Moderate",
TRUE,"Heavy")</f>
        <v>No Rain</v>
      </c>
      <c r="L773" s="1" t="str">
        <f>IF(Table1[[#This Row],[Precipitation_mm]]&lt;&gt;0,"Wet","Dry")</f>
        <v>Dry</v>
      </c>
      <c r="M773" t="b">
        <f>OR(ISBLANK(Table1[[#This Row],[Temperature_F]]),ISERROR(Table1[[#This Row],[Temperature_F]]))</f>
        <v>0</v>
      </c>
    </row>
    <row r="774" spans="1:13" hidden="1" x14ac:dyDescent="0.25">
      <c r="A774" s="1" t="s">
        <v>1</v>
      </c>
      <c r="B774" s="1" t="s">
        <v>2</v>
      </c>
      <c r="C774" s="1">
        <v>42.360599999999998</v>
      </c>
      <c r="D774" s="1">
        <v>-71.010599999999997</v>
      </c>
      <c r="E774" s="5">
        <v>40960</v>
      </c>
      <c r="F774" s="1" t="str">
        <f t="shared" si="12"/>
        <v>February</v>
      </c>
      <c r="G774" s="1">
        <v>23</v>
      </c>
      <c r="H774" s="1">
        <v>0</v>
      </c>
      <c r="I774" s="1" t="str">
        <f>IF(Table1[[#This Row],[Temperature_F]]&lt;32,"Yes","No")</f>
        <v>Yes</v>
      </c>
      <c r="J774" s="1" t="str" cm="1">
        <f t="array" ref="J7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74" s="1" t="str" cm="1">
        <f t="array" ref="K774">_xlfn.IFS(
H774=0,"No Rain",
H774&lt;10,"Light",
H774&lt;50,"Moderate",
TRUE,"Heavy")</f>
        <v>No Rain</v>
      </c>
      <c r="L774" s="1" t="str">
        <f>IF(Table1[[#This Row],[Precipitation_mm]]&lt;&gt;0,"Wet","Dry")</f>
        <v>Dry</v>
      </c>
      <c r="M774" t="b">
        <f>OR(ISBLANK(Table1[[#This Row],[Temperature_F]]),ISERROR(Table1[[#This Row],[Temperature_F]]))</f>
        <v>0</v>
      </c>
    </row>
    <row r="775" spans="1:13" hidden="1" x14ac:dyDescent="0.25">
      <c r="A775" s="1" t="s">
        <v>1</v>
      </c>
      <c r="B775" s="1" t="s">
        <v>2</v>
      </c>
      <c r="C775" s="1">
        <v>42.360599999999998</v>
      </c>
      <c r="D775" s="1">
        <v>-71.010599999999997</v>
      </c>
      <c r="E775" s="5">
        <v>40961</v>
      </c>
      <c r="F775" s="1" t="str">
        <f t="shared" si="12"/>
        <v>February</v>
      </c>
      <c r="G775" s="1">
        <v>25</v>
      </c>
      <c r="H775" s="1">
        <v>0</v>
      </c>
      <c r="I775" s="1" t="str">
        <f>IF(Table1[[#This Row],[Temperature_F]]&lt;32,"Yes","No")</f>
        <v>Yes</v>
      </c>
      <c r="J775" s="1" t="str" cm="1">
        <f t="array" ref="J7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75" s="1" t="str" cm="1">
        <f t="array" ref="K775">_xlfn.IFS(
H775=0,"No Rain",
H775&lt;10,"Light",
H775&lt;50,"Moderate",
TRUE,"Heavy")</f>
        <v>No Rain</v>
      </c>
      <c r="L775" s="1" t="str">
        <f>IF(Table1[[#This Row],[Precipitation_mm]]&lt;&gt;0,"Wet","Dry")</f>
        <v>Dry</v>
      </c>
      <c r="M775" t="b">
        <f>OR(ISBLANK(Table1[[#This Row],[Temperature_F]]),ISERROR(Table1[[#This Row],[Temperature_F]]))</f>
        <v>0</v>
      </c>
    </row>
    <row r="776" spans="1:13" hidden="1" x14ac:dyDescent="0.25">
      <c r="A776" s="1" t="s">
        <v>1</v>
      </c>
      <c r="B776" s="1" t="s">
        <v>2</v>
      </c>
      <c r="C776" s="1">
        <v>42.360599999999998</v>
      </c>
      <c r="D776" s="1">
        <v>-71.010599999999997</v>
      </c>
      <c r="E776" s="5">
        <v>40962</v>
      </c>
      <c r="F776" s="1" t="str">
        <f t="shared" si="12"/>
        <v>February</v>
      </c>
      <c r="G776" s="1">
        <v>29</v>
      </c>
      <c r="H776" s="1">
        <v>13</v>
      </c>
      <c r="I776" s="1" t="str">
        <f>IF(Table1[[#This Row],[Temperature_F]]&lt;32,"Yes","No")</f>
        <v>Yes</v>
      </c>
      <c r="J776" s="1" t="str" cm="1">
        <f t="array" ref="J7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76" s="1" t="str" cm="1">
        <f t="array" ref="K776">_xlfn.IFS(
H776=0,"No Rain",
H776&lt;10,"Light",
H776&lt;50,"Moderate",
TRUE,"Heavy")</f>
        <v>Moderate</v>
      </c>
      <c r="L776" s="1" t="str">
        <f>IF(Table1[[#This Row],[Precipitation_mm]]&lt;&gt;0,"Wet","Dry")</f>
        <v>Wet</v>
      </c>
      <c r="M776" t="b">
        <f>OR(ISBLANK(Table1[[#This Row],[Temperature_F]]),ISERROR(Table1[[#This Row],[Temperature_F]]))</f>
        <v>0</v>
      </c>
    </row>
    <row r="777" spans="1:13" hidden="1" x14ac:dyDescent="0.25">
      <c r="A777" s="1" t="s">
        <v>1</v>
      </c>
      <c r="B777" s="1" t="s">
        <v>2</v>
      </c>
      <c r="C777" s="1">
        <v>42.360599999999998</v>
      </c>
      <c r="D777" s="1">
        <v>-71.010599999999997</v>
      </c>
      <c r="E777" s="5">
        <v>40963</v>
      </c>
      <c r="F777" s="1" t="str">
        <f t="shared" si="12"/>
        <v>February</v>
      </c>
      <c r="G777" s="1">
        <v>23</v>
      </c>
      <c r="H777" s="1">
        <v>137</v>
      </c>
      <c r="I777" s="1" t="str">
        <f>IF(Table1[[#This Row],[Temperature_F]]&lt;32,"Yes","No")</f>
        <v>Yes</v>
      </c>
      <c r="J777" s="1" t="str" cm="1">
        <f t="array" ref="J7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77" s="1" t="str" cm="1">
        <f t="array" ref="K777">_xlfn.IFS(
H777=0,"No Rain",
H777&lt;10,"Light",
H777&lt;50,"Moderate",
TRUE,"Heavy")</f>
        <v>Heavy</v>
      </c>
      <c r="L777" s="1" t="str">
        <f>IF(Table1[[#This Row],[Precipitation_mm]]&lt;&gt;0,"Wet","Dry")</f>
        <v>Wet</v>
      </c>
      <c r="M777" t="b">
        <f>OR(ISBLANK(Table1[[#This Row],[Temperature_F]]),ISERROR(Table1[[#This Row],[Temperature_F]]))</f>
        <v>0</v>
      </c>
    </row>
    <row r="778" spans="1:13" x14ac:dyDescent="0.25">
      <c r="A778" s="1" t="s">
        <v>1</v>
      </c>
      <c r="B778" s="1" t="s">
        <v>2</v>
      </c>
      <c r="C778" s="1">
        <v>42.360599999999998</v>
      </c>
      <c r="D778" s="1">
        <v>-71.010599999999997</v>
      </c>
      <c r="E778" s="5">
        <v>40964</v>
      </c>
      <c r="F778" s="1" t="str">
        <f t="shared" si="12"/>
        <v>February</v>
      </c>
      <c r="G778" s="1">
        <v>42</v>
      </c>
      <c r="H778" s="1">
        <v>0</v>
      </c>
      <c r="I778" s="1" t="str">
        <f>IF(Table1[[#This Row],[Temperature_F]]&lt;32,"Yes","No")</f>
        <v>No</v>
      </c>
      <c r="J778" s="1" t="str" cm="1">
        <f t="array" ref="J7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78" s="1" t="str" cm="1">
        <f t="array" ref="K778">_xlfn.IFS(
H778=0,"No Rain",
H778&lt;10,"Light",
H778&lt;50,"Moderate",
TRUE,"Heavy")</f>
        <v>No Rain</v>
      </c>
      <c r="L778" s="1" t="str">
        <f>IF(Table1[[#This Row],[Precipitation_mm]]&lt;&gt;0,"Wet","Dry")</f>
        <v>Dry</v>
      </c>
      <c r="M778" t="b">
        <f>OR(ISBLANK(Table1[[#This Row],[Temperature_F]]),ISERROR(Table1[[#This Row],[Temperature_F]]))</f>
        <v>0</v>
      </c>
    </row>
    <row r="779" spans="1:13" x14ac:dyDescent="0.25">
      <c r="A779" s="1" t="s">
        <v>1</v>
      </c>
      <c r="B779" s="1" t="s">
        <v>2</v>
      </c>
      <c r="C779" s="1">
        <v>42.360599999999998</v>
      </c>
      <c r="D779" s="1">
        <v>-71.010599999999997</v>
      </c>
      <c r="E779" s="5">
        <v>40965</v>
      </c>
      <c r="F779" s="1" t="str">
        <f t="shared" si="12"/>
        <v>February</v>
      </c>
      <c r="G779" s="1">
        <v>43</v>
      </c>
      <c r="H779" s="1">
        <v>0</v>
      </c>
      <c r="I779" s="1" t="str">
        <f>IF(Table1[[#This Row],[Temperature_F]]&lt;32,"Yes","No")</f>
        <v>No</v>
      </c>
      <c r="J779" s="1" t="str" cm="1">
        <f t="array" ref="J7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79" s="1" t="str" cm="1">
        <f t="array" ref="K779">_xlfn.IFS(
H779=0,"No Rain",
H779&lt;10,"Light",
H779&lt;50,"Moderate",
TRUE,"Heavy")</f>
        <v>No Rain</v>
      </c>
      <c r="L779" s="1" t="str">
        <f>IF(Table1[[#This Row],[Precipitation_mm]]&lt;&gt;0,"Wet","Dry")</f>
        <v>Dry</v>
      </c>
      <c r="M779" t="b">
        <f>OR(ISBLANK(Table1[[#This Row],[Temperature_F]]),ISERROR(Table1[[#This Row],[Temperature_F]]))</f>
        <v>0</v>
      </c>
    </row>
    <row r="780" spans="1:13" x14ac:dyDescent="0.25">
      <c r="A780" s="1" t="s">
        <v>1</v>
      </c>
      <c r="B780" s="1" t="s">
        <v>2</v>
      </c>
      <c r="C780" s="1">
        <v>42.360599999999998</v>
      </c>
      <c r="D780" s="1">
        <v>-71.010599999999997</v>
      </c>
      <c r="E780" s="5">
        <v>40966</v>
      </c>
      <c r="F780" s="1" t="str">
        <f t="shared" si="12"/>
        <v>February</v>
      </c>
      <c r="G780" s="1">
        <v>43</v>
      </c>
      <c r="H780" s="1">
        <v>0</v>
      </c>
      <c r="I780" s="1" t="str">
        <f>IF(Table1[[#This Row],[Temperature_F]]&lt;32,"Yes","No")</f>
        <v>No</v>
      </c>
      <c r="J780" s="1" t="str" cm="1">
        <f t="array" ref="J7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0" s="1" t="str" cm="1">
        <f t="array" ref="K780">_xlfn.IFS(
H780=0,"No Rain",
H780&lt;10,"Light",
H780&lt;50,"Moderate",
TRUE,"Heavy")</f>
        <v>No Rain</v>
      </c>
      <c r="L780" s="1" t="str">
        <f>IF(Table1[[#This Row],[Precipitation_mm]]&lt;&gt;0,"Wet","Dry")</f>
        <v>Dry</v>
      </c>
      <c r="M780" t="b">
        <f>OR(ISBLANK(Table1[[#This Row],[Temperature_F]]),ISERROR(Table1[[#This Row],[Temperature_F]]))</f>
        <v>0</v>
      </c>
    </row>
    <row r="781" spans="1:13" hidden="1" x14ac:dyDescent="0.25">
      <c r="A781" s="1" t="s">
        <v>1</v>
      </c>
      <c r="B781" s="1" t="s">
        <v>2</v>
      </c>
      <c r="C781" s="1">
        <v>42.360599999999998</v>
      </c>
      <c r="D781" s="1">
        <v>-71.010599999999997</v>
      </c>
      <c r="E781" s="5">
        <v>40967</v>
      </c>
      <c r="F781" s="1" t="str">
        <f t="shared" si="12"/>
        <v>February</v>
      </c>
      <c r="G781" s="1">
        <v>10</v>
      </c>
      <c r="H781" s="1">
        <v>0</v>
      </c>
      <c r="I781" s="1" t="str">
        <f>IF(Table1[[#This Row],[Temperature_F]]&lt;32,"Yes","No")</f>
        <v>Yes</v>
      </c>
      <c r="J781" s="1" t="str" cm="1">
        <f t="array" ref="J7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81" s="1" t="str" cm="1">
        <f t="array" ref="K781">_xlfn.IFS(
H781=0,"No Rain",
H781&lt;10,"Light",
H781&lt;50,"Moderate",
TRUE,"Heavy")</f>
        <v>No Rain</v>
      </c>
      <c r="L781" s="1" t="str">
        <f>IF(Table1[[#This Row],[Precipitation_mm]]&lt;&gt;0,"Wet","Dry")</f>
        <v>Dry</v>
      </c>
      <c r="M781" t="b">
        <f>OR(ISBLANK(Table1[[#This Row],[Temperature_F]]),ISERROR(Table1[[#This Row],[Temperature_F]]))</f>
        <v>0</v>
      </c>
    </row>
    <row r="782" spans="1:13" x14ac:dyDescent="0.25">
      <c r="A782" s="1" t="s">
        <v>1</v>
      </c>
      <c r="B782" s="1" t="s">
        <v>2</v>
      </c>
      <c r="C782" s="1">
        <v>42.360599999999998</v>
      </c>
      <c r="D782" s="1">
        <v>-71.010599999999997</v>
      </c>
      <c r="E782" s="5">
        <v>40968</v>
      </c>
      <c r="F782" s="1" t="str">
        <f t="shared" si="12"/>
        <v>February</v>
      </c>
      <c r="G782" s="1">
        <v>37</v>
      </c>
      <c r="H782" s="1">
        <v>74</v>
      </c>
      <c r="I782" s="1" t="str">
        <f>IF(Table1[[#This Row],[Temperature_F]]&lt;32,"Yes","No")</f>
        <v>No</v>
      </c>
      <c r="J782" s="1" t="str" cm="1">
        <f t="array" ref="J7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2" s="1" t="str" cm="1">
        <f t="array" ref="K782">_xlfn.IFS(
H782=0,"No Rain",
H782&lt;10,"Light",
H782&lt;50,"Moderate",
TRUE,"Heavy")</f>
        <v>Heavy</v>
      </c>
      <c r="L782" s="1" t="str">
        <f>IF(Table1[[#This Row],[Precipitation_mm]]&lt;&gt;0,"Wet","Dry")</f>
        <v>Wet</v>
      </c>
      <c r="M782" t="b">
        <f>OR(ISBLANK(Table1[[#This Row],[Temperature_F]]),ISERROR(Table1[[#This Row],[Temperature_F]]))</f>
        <v>0</v>
      </c>
    </row>
    <row r="783" spans="1:13" hidden="1" x14ac:dyDescent="0.25">
      <c r="A783" s="1" t="s">
        <v>1</v>
      </c>
      <c r="B783" s="1" t="s">
        <v>2</v>
      </c>
      <c r="C783" s="1">
        <v>42.360599999999998</v>
      </c>
      <c r="D783" s="1">
        <v>-71.010599999999997</v>
      </c>
      <c r="E783" s="5">
        <v>40969</v>
      </c>
      <c r="F783" s="1" t="str">
        <f t="shared" si="12"/>
        <v>March</v>
      </c>
      <c r="G783" s="1">
        <v>11</v>
      </c>
      <c r="H783" s="1">
        <v>147</v>
      </c>
      <c r="I783" s="1" t="str">
        <f>IF(Table1[[#This Row],[Temperature_F]]&lt;32,"Yes","No")</f>
        <v>Yes</v>
      </c>
      <c r="J783" s="1" t="str" cm="1">
        <f t="array" ref="J7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83" s="1" t="str" cm="1">
        <f t="array" ref="K783">_xlfn.IFS(
H783=0,"No Rain",
H783&lt;10,"Light",
H783&lt;50,"Moderate",
TRUE,"Heavy")</f>
        <v>Heavy</v>
      </c>
      <c r="L783" s="1" t="str">
        <f>IF(Table1[[#This Row],[Precipitation_mm]]&lt;&gt;0,"Wet","Dry")</f>
        <v>Wet</v>
      </c>
      <c r="M783" t="b">
        <f>OR(ISBLANK(Table1[[#This Row],[Temperature_F]]),ISERROR(Table1[[#This Row],[Temperature_F]]))</f>
        <v>0</v>
      </c>
    </row>
    <row r="784" spans="1:13" x14ac:dyDescent="0.25">
      <c r="A784" s="1" t="s">
        <v>1</v>
      </c>
      <c r="B784" s="1" t="s">
        <v>2</v>
      </c>
      <c r="C784" s="1">
        <v>42.360599999999998</v>
      </c>
      <c r="D784" s="1">
        <v>-71.010599999999997</v>
      </c>
      <c r="E784" s="5">
        <v>40970</v>
      </c>
      <c r="F784" s="1" t="str">
        <f t="shared" si="12"/>
        <v>March</v>
      </c>
      <c r="G784" s="1">
        <v>38</v>
      </c>
      <c r="H784" s="1">
        <v>0</v>
      </c>
      <c r="I784" s="1" t="str">
        <f>IF(Table1[[#This Row],[Temperature_F]]&lt;32,"Yes","No")</f>
        <v>No</v>
      </c>
      <c r="J784" s="1" t="str" cm="1">
        <f t="array" ref="J7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4" s="1" t="str" cm="1">
        <f t="array" ref="K784">_xlfn.IFS(
H784=0,"No Rain",
H784&lt;10,"Light",
H784&lt;50,"Moderate",
TRUE,"Heavy")</f>
        <v>No Rain</v>
      </c>
      <c r="L784" s="1" t="str">
        <f>IF(Table1[[#This Row],[Precipitation_mm]]&lt;&gt;0,"Wet","Dry")</f>
        <v>Dry</v>
      </c>
      <c r="M784" t="b">
        <f>OR(ISBLANK(Table1[[#This Row],[Temperature_F]]),ISERROR(Table1[[#This Row],[Temperature_F]]))</f>
        <v>0</v>
      </c>
    </row>
    <row r="785" spans="1:13" x14ac:dyDescent="0.25">
      <c r="A785" s="1" t="s">
        <v>1</v>
      </c>
      <c r="B785" s="1" t="s">
        <v>2</v>
      </c>
      <c r="C785" s="1">
        <v>42.360599999999998</v>
      </c>
      <c r="D785" s="1">
        <v>-71.010599999999997</v>
      </c>
      <c r="E785" s="5">
        <v>40971</v>
      </c>
      <c r="F785" s="1" t="str">
        <f t="shared" si="12"/>
        <v>March</v>
      </c>
      <c r="G785" s="1">
        <v>37</v>
      </c>
      <c r="H785" s="1">
        <v>97</v>
      </c>
      <c r="I785" s="1" t="str">
        <f>IF(Table1[[#This Row],[Temperature_F]]&lt;32,"Yes","No")</f>
        <v>No</v>
      </c>
      <c r="J785" s="1" t="str" cm="1">
        <f t="array" ref="J7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5" s="1" t="str" cm="1">
        <f t="array" ref="K785">_xlfn.IFS(
H785=0,"No Rain",
H785&lt;10,"Light",
H785&lt;50,"Moderate",
TRUE,"Heavy")</f>
        <v>Heavy</v>
      </c>
      <c r="L785" s="1" t="str">
        <f>IF(Table1[[#This Row],[Precipitation_mm]]&lt;&gt;0,"Wet","Dry")</f>
        <v>Wet</v>
      </c>
      <c r="M785" t="b">
        <f>OR(ISBLANK(Table1[[#This Row],[Temperature_F]]),ISERROR(Table1[[#This Row],[Temperature_F]]))</f>
        <v>0</v>
      </c>
    </row>
    <row r="786" spans="1:13" hidden="1" x14ac:dyDescent="0.25">
      <c r="A786" s="1" t="s">
        <v>1</v>
      </c>
      <c r="B786" s="1" t="s">
        <v>2</v>
      </c>
      <c r="C786" s="1">
        <v>42.360599999999998</v>
      </c>
      <c r="D786" s="1">
        <v>-71.010599999999997</v>
      </c>
      <c r="E786" s="5">
        <v>40972</v>
      </c>
      <c r="F786" s="1" t="str">
        <f t="shared" si="12"/>
        <v>March</v>
      </c>
      <c r="G786" s="1">
        <v>30</v>
      </c>
      <c r="H786" s="1">
        <v>0</v>
      </c>
      <c r="I786" s="1" t="str">
        <f>IF(Table1[[#This Row],[Temperature_F]]&lt;32,"Yes","No")</f>
        <v>Yes</v>
      </c>
      <c r="J786" s="1" t="str" cm="1">
        <f t="array" ref="J7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86" s="1" t="str" cm="1">
        <f t="array" ref="K786">_xlfn.IFS(
H786=0,"No Rain",
H786&lt;10,"Light",
H786&lt;50,"Moderate",
TRUE,"Heavy")</f>
        <v>No Rain</v>
      </c>
      <c r="L786" s="1" t="str">
        <f>IF(Table1[[#This Row],[Precipitation_mm]]&lt;&gt;0,"Wet","Dry")</f>
        <v>Dry</v>
      </c>
      <c r="M786" t="b">
        <f>OR(ISBLANK(Table1[[#This Row],[Temperature_F]]),ISERROR(Table1[[#This Row],[Temperature_F]]))</f>
        <v>0</v>
      </c>
    </row>
    <row r="787" spans="1:13" x14ac:dyDescent="0.25">
      <c r="A787" s="1" t="s">
        <v>1</v>
      </c>
      <c r="B787" s="1" t="s">
        <v>2</v>
      </c>
      <c r="C787" s="1">
        <v>42.360599999999998</v>
      </c>
      <c r="D787" s="1">
        <v>-71.010599999999997</v>
      </c>
      <c r="E787" s="5">
        <v>40973</v>
      </c>
      <c r="F787" s="1" t="str">
        <f t="shared" si="12"/>
        <v>March</v>
      </c>
      <c r="G787" s="1">
        <v>45</v>
      </c>
      <c r="H787" s="1">
        <v>0</v>
      </c>
      <c r="I787" s="1" t="str">
        <f>IF(Table1[[#This Row],[Temperature_F]]&lt;32,"Yes","No")</f>
        <v>No</v>
      </c>
      <c r="J787" s="1" t="str" cm="1">
        <f t="array" ref="J7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7" s="1" t="str" cm="1">
        <f t="array" ref="K787">_xlfn.IFS(
H787=0,"No Rain",
H787&lt;10,"Light",
H787&lt;50,"Moderate",
TRUE,"Heavy")</f>
        <v>No Rain</v>
      </c>
      <c r="L787" s="1" t="str">
        <f>IF(Table1[[#This Row],[Precipitation_mm]]&lt;&gt;0,"Wet","Dry")</f>
        <v>Dry</v>
      </c>
      <c r="M787" t="b">
        <f>OR(ISBLANK(Table1[[#This Row],[Temperature_F]]),ISERROR(Table1[[#This Row],[Temperature_F]]))</f>
        <v>0</v>
      </c>
    </row>
    <row r="788" spans="1:13" x14ac:dyDescent="0.25">
      <c r="A788" s="1" t="s">
        <v>1</v>
      </c>
      <c r="B788" s="1" t="s">
        <v>2</v>
      </c>
      <c r="C788" s="1">
        <v>42.360599999999998</v>
      </c>
      <c r="D788" s="1">
        <v>-71.010599999999997</v>
      </c>
      <c r="E788" s="5">
        <v>40974</v>
      </c>
      <c r="F788" s="1" t="str">
        <f t="shared" si="12"/>
        <v>March</v>
      </c>
      <c r="G788" s="1">
        <v>43</v>
      </c>
      <c r="H788" s="1">
        <v>0</v>
      </c>
      <c r="I788" s="1" t="str">
        <f>IF(Table1[[#This Row],[Temperature_F]]&lt;32,"Yes","No")</f>
        <v>No</v>
      </c>
      <c r="J788" s="1" t="str" cm="1">
        <f t="array" ref="J7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8" s="1" t="str" cm="1">
        <f t="array" ref="K788">_xlfn.IFS(
H788=0,"No Rain",
H788&lt;10,"Light",
H788&lt;50,"Moderate",
TRUE,"Heavy")</f>
        <v>No Rain</v>
      </c>
      <c r="L788" s="1" t="str">
        <f>IF(Table1[[#This Row],[Precipitation_mm]]&lt;&gt;0,"Wet","Dry")</f>
        <v>Dry</v>
      </c>
      <c r="M788" t="b">
        <f>OR(ISBLANK(Table1[[#This Row],[Temperature_F]]),ISERROR(Table1[[#This Row],[Temperature_F]]))</f>
        <v>0</v>
      </c>
    </row>
    <row r="789" spans="1:13" x14ac:dyDescent="0.25">
      <c r="A789" s="1" t="s">
        <v>1</v>
      </c>
      <c r="B789" s="1" t="s">
        <v>2</v>
      </c>
      <c r="C789" s="1">
        <v>42.360599999999998</v>
      </c>
      <c r="D789" s="1">
        <v>-71.010599999999997</v>
      </c>
      <c r="E789" s="5">
        <v>40975</v>
      </c>
      <c r="F789" s="1" t="str">
        <f t="shared" si="12"/>
        <v>March</v>
      </c>
      <c r="G789" s="1">
        <v>37</v>
      </c>
      <c r="H789" s="1">
        <v>0</v>
      </c>
      <c r="I789" s="1" t="str">
        <f>IF(Table1[[#This Row],[Temperature_F]]&lt;32,"Yes","No")</f>
        <v>No</v>
      </c>
      <c r="J789" s="1" t="str" cm="1">
        <f t="array" ref="J7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89" s="1" t="str" cm="1">
        <f t="array" ref="K789">_xlfn.IFS(
H789=0,"No Rain",
H789&lt;10,"Light",
H789&lt;50,"Moderate",
TRUE,"Heavy")</f>
        <v>No Rain</v>
      </c>
      <c r="L789" s="1" t="str">
        <f>IF(Table1[[#This Row],[Precipitation_mm]]&lt;&gt;0,"Wet","Dry")</f>
        <v>Dry</v>
      </c>
      <c r="M789" t="b">
        <f>OR(ISBLANK(Table1[[#This Row],[Temperature_F]]),ISERROR(Table1[[#This Row],[Temperature_F]]))</f>
        <v>0</v>
      </c>
    </row>
    <row r="790" spans="1:13" x14ac:dyDescent="0.25">
      <c r="A790" s="1" t="s">
        <v>1</v>
      </c>
      <c r="B790" s="1" t="s">
        <v>2</v>
      </c>
      <c r="C790" s="1">
        <v>42.360599999999998</v>
      </c>
      <c r="D790" s="1">
        <v>-71.010599999999997</v>
      </c>
      <c r="E790" s="5">
        <v>40976</v>
      </c>
      <c r="F790" s="1" t="str">
        <f t="shared" si="12"/>
        <v>March</v>
      </c>
      <c r="G790" s="1">
        <v>43</v>
      </c>
      <c r="H790" s="1">
        <v>0</v>
      </c>
      <c r="I790" s="1" t="str">
        <f>IF(Table1[[#This Row],[Temperature_F]]&lt;32,"Yes","No")</f>
        <v>No</v>
      </c>
      <c r="J790" s="1" t="str" cm="1">
        <f t="array" ref="J7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0" s="1" t="str" cm="1">
        <f t="array" ref="K790">_xlfn.IFS(
H790=0,"No Rain",
H790&lt;10,"Light",
H790&lt;50,"Moderate",
TRUE,"Heavy")</f>
        <v>No Rain</v>
      </c>
      <c r="L790" s="1" t="str">
        <f>IF(Table1[[#This Row],[Precipitation_mm]]&lt;&gt;0,"Wet","Dry")</f>
        <v>Dry</v>
      </c>
      <c r="M790" t="b">
        <f>OR(ISBLANK(Table1[[#This Row],[Temperature_F]]),ISERROR(Table1[[#This Row],[Temperature_F]]))</f>
        <v>0</v>
      </c>
    </row>
    <row r="791" spans="1:13" hidden="1" x14ac:dyDescent="0.25">
      <c r="A791" s="1" t="s">
        <v>1</v>
      </c>
      <c r="B791" s="1" t="s">
        <v>2</v>
      </c>
      <c r="C791" s="1">
        <v>42.360599999999998</v>
      </c>
      <c r="D791" s="1">
        <v>-71.010599999999997</v>
      </c>
      <c r="E791" s="5">
        <v>40977</v>
      </c>
      <c r="F791" s="1" t="str">
        <f t="shared" si="12"/>
        <v>March</v>
      </c>
      <c r="G791" s="1">
        <v>16</v>
      </c>
      <c r="H791" s="1">
        <v>0</v>
      </c>
      <c r="I791" s="1" t="str">
        <f>IF(Table1[[#This Row],[Temperature_F]]&lt;32,"Yes","No")</f>
        <v>Yes</v>
      </c>
      <c r="J791" s="1" t="str" cm="1">
        <f t="array" ref="J7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91" s="1" t="str" cm="1">
        <f t="array" ref="K791">_xlfn.IFS(
H791=0,"No Rain",
H791&lt;10,"Light",
H791&lt;50,"Moderate",
TRUE,"Heavy")</f>
        <v>No Rain</v>
      </c>
      <c r="L791" s="1" t="str">
        <f>IF(Table1[[#This Row],[Precipitation_mm]]&lt;&gt;0,"Wet","Dry")</f>
        <v>Dry</v>
      </c>
      <c r="M791" t="b">
        <f>OR(ISBLANK(Table1[[#This Row],[Temperature_F]]),ISERROR(Table1[[#This Row],[Temperature_F]]))</f>
        <v>0</v>
      </c>
    </row>
    <row r="792" spans="1:13" hidden="1" x14ac:dyDescent="0.25">
      <c r="A792" s="1" t="s">
        <v>1</v>
      </c>
      <c r="B792" s="1" t="s">
        <v>2</v>
      </c>
      <c r="C792" s="1">
        <v>42.360599999999998</v>
      </c>
      <c r="D792" s="1">
        <v>-71.010599999999997</v>
      </c>
      <c r="E792" s="5">
        <v>40978</v>
      </c>
      <c r="F792" s="1" t="str">
        <f t="shared" si="12"/>
        <v>March</v>
      </c>
      <c r="G792" s="1">
        <v>22</v>
      </c>
      <c r="H792" s="1">
        <v>0</v>
      </c>
      <c r="I792" s="1" t="str">
        <f>IF(Table1[[#This Row],[Temperature_F]]&lt;32,"Yes","No")</f>
        <v>Yes</v>
      </c>
      <c r="J792" s="1" t="str" cm="1">
        <f t="array" ref="J7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92" s="1" t="str" cm="1">
        <f t="array" ref="K792">_xlfn.IFS(
H792=0,"No Rain",
H792&lt;10,"Light",
H792&lt;50,"Moderate",
TRUE,"Heavy")</f>
        <v>No Rain</v>
      </c>
      <c r="L792" s="1" t="str">
        <f>IF(Table1[[#This Row],[Precipitation_mm]]&lt;&gt;0,"Wet","Dry")</f>
        <v>Dry</v>
      </c>
      <c r="M792" t="b">
        <f>OR(ISBLANK(Table1[[#This Row],[Temperature_F]]),ISERROR(Table1[[#This Row],[Temperature_F]]))</f>
        <v>0</v>
      </c>
    </row>
    <row r="793" spans="1:13" x14ac:dyDescent="0.25">
      <c r="A793" s="1" t="s">
        <v>1</v>
      </c>
      <c r="B793" s="1" t="s">
        <v>2</v>
      </c>
      <c r="C793" s="1">
        <v>42.360599999999998</v>
      </c>
      <c r="D793" s="1">
        <v>-71.010599999999997</v>
      </c>
      <c r="E793" s="5">
        <v>40979</v>
      </c>
      <c r="F793" s="1" t="str">
        <f t="shared" si="12"/>
        <v>March</v>
      </c>
      <c r="G793" s="1">
        <v>41</v>
      </c>
      <c r="H793" s="1">
        <v>0</v>
      </c>
      <c r="I793" s="1" t="str">
        <f>IF(Table1[[#This Row],[Temperature_F]]&lt;32,"Yes","No")</f>
        <v>No</v>
      </c>
      <c r="J793" s="1" t="str" cm="1">
        <f t="array" ref="J7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3" s="1" t="str" cm="1">
        <f t="array" ref="K793">_xlfn.IFS(
H793=0,"No Rain",
H793&lt;10,"Light",
H793&lt;50,"Moderate",
TRUE,"Heavy")</f>
        <v>No Rain</v>
      </c>
      <c r="L793" s="1" t="str">
        <f>IF(Table1[[#This Row],[Precipitation_mm]]&lt;&gt;0,"Wet","Dry")</f>
        <v>Dry</v>
      </c>
      <c r="M793" t="b">
        <f>OR(ISBLANK(Table1[[#This Row],[Temperature_F]]),ISERROR(Table1[[#This Row],[Temperature_F]]))</f>
        <v>0</v>
      </c>
    </row>
    <row r="794" spans="1:13" hidden="1" x14ac:dyDescent="0.25">
      <c r="A794" s="1" t="s">
        <v>1</v>
      </c>
      <c r="B794" s="1" t="s">
        <v>2</v>
      </c>
      <c r="C794" s="1">
        <v>42.360599999999998</v>
      </c>
      <c r="D794" s="1">
        <v>-71.010599999999997</v>
      </c>
      <c r="E794" s="5">
        <v>40980</v>
      </c>
      <c r="F794" s="1" t="str">
        <f t="shared" si="12"/>
        <v>March</v>
      </c>
      <c r="G794" s="1">
        <v>24</v>
      </c>
      <c r="H794" s="1">
        <v>0</v>
      </c>
      <c r="I794" s="1" t="str">
        <f>IF(Table1[[#This Row],[Temperature_F]]&lt;32,"Yes","No")</f>
        <v>Yes</v>
      </c>
      <c r="J794" s="1" t="str" cm="1">
        <f t="array" ref="J7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794" s="1" t="str" cm="1">
        <f t="array" ref="K794">_xlfn.IFS(
H794=0,"No Rain",
H794&lt;10,"Light",
H794&lt;50,"Moderate",
TRUE,"Heavy")</f>
        <v>No Rain</v>
      </c>
      <c r="L794" s="1" t="str">
        <f>IF(Table1[[#This Row],[Precipitation_mm]]&lt;&gt;0,"Wet","Dry")</f>
        <v>Dry</v>
      </c>
      <c r="M794" t="b">
        <f>OR(ISBLANK(Table1[[#This Row],[Temperature_F]]),ISERROR(Table1[[#This Row],[Temperature_F]]))</f>
        <v>0</v>
      </c>
    </row>
    <row r="795" spans="1:13" x14ac:dyDescent="0.25">
      <c r="A795" s="1" t="s">
        <v>1</v>
      </c>
      <c r="B795" s="1" t="s">
        <v>2</v>
      </c>
      <c r="C795" s="1">
        <v>42.360599999999998</v>
      </c>
      <c r="D795" s="1">
        <v>-71.010599999999997</v>
      </c>
      <c r="E795" s="5">
        <v>40981</v>
      </c>
      <c r="F795" s="1" t="str">
        <f t="shared" si="12"/>
        <v>March</v>
      </c>
      <c r="G795" s="1">
        <v>40</v>
      </c>
      <c r="H795" s="1">
        <v>18</v>
      </c>
      <c r="I795" s="1" t="str">
        <f>IF(Table1[[#This Row],[Temperature_F]]&lt;32,"Yes","No")</f>
        <v>No</v>
      </c>
      <c r="J795" s="1" t="str" cm="1">
        <f t="array" ref="J7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5" s="1" t="str" cm="1">
        <f t="array" ref="K795">_xlfn.IFS(
H795=0,"No Rain",
H795&lt;10,"Light",
H795&lt;50,"Moderate",
TRUE,"Heavy")</f>
        <v>Moderate</v>
      </c>
      <c r="L795" s="1" t="str">
        <f>IF(Table1[[#This Row],[Precipitation_mm]]&lt;&gt;0,"Wet","Dry")</f>
        <v>Wet</v>
      </c>
      <c r="M795" t="b">
        <f>OR(ISBLANK(Table1[[#This Row],[Temperature_F]]),ISERROR(Table1[[#This Row],[Temperature_F]]))</f>
        <v>0</v>
      </c>
    </row>
    <row r="796" spans="1:13" x14ac:dyDescent="0.25">
      <c r="A796" s="1" t="s">
        <v>1</v>
      </c>
      <c r="B796" s="1" t="s">
        <v>2</v>
      </c>
      <c r="C796" s="1">
        <v>42.360599999999998</v>
      </c>
      <c r="D796" s="1">
        <v>-71.010599999999997</v>
      </c>
      <c r="E796" s="5">
        <v>40982</v>
      </c>
      <c r="F796" s="1" t="str">
        <f t="shared" si="12"/>
        <v>March</v>
      </c>
      <c r="G796" s="1">
        <v>40</v>
      </c>
      <c r="H796" s="1">
        <v>0</v>
      </c>
      <c r="I796" s="1" t="str">
        <f>IF(Table1[[#This Row],[Temperature_F]]&lt;32,"Yes","No")</f>
        <v>No</v>
      </c>
      <c r="J796" s="1" t="str" cm="1">
        <f t="array" ref="J7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6" s="1" t="str" cm="1">
        <f t="array" ref="K796">_xlfn.IFS(
H796=0,"No Rain",
H796&lt;10,"Light",
H796&lt;50,"Moderate",
TRUE,"Heavy")</f>
        <v>No Rain</v>
      </c>
      <c r="L796" s="1" t="str">
        <f>IF(Table1[[#This Row],[Precipitation_mm]]&lt;&gt;0,"Wet","Dry")</f>
        <v>Dry</v>
      </c>
      <c r="M796" t="b">
        <f>OR(ISBLANK(Table1[[#This Row],[Temperature_F]]),ISERROR(Table1[[#This Row],[Temperature_F]]))</f>
        <v>0</v>
      </c>
    </row>
    <row r="797" spans="1:13" x14ac:dyDescent="0.25">
      <c r="A797" s="1" t="s">
        <v>1</v>
      </c>
      <c r="B797" s="1" t="s">
        <v>2</v>
      </c>
      <c r="C797" s="1">
        <v>42.360599999999998</v>
      </c>
      <c r="D797" s="1">
        <v>-71.010599999999997</v>
      </c>
      <c r="E797" s="5">
        <v>40983</v>
      </c>
      <c r="F797" s="1" t="str">
        <f t="shared" si="12"/>
        <v>March</v>
      </c>
      <c r="G797" s="1">
        <v>33</v>
      </c>
      <c r="H797" s="1">
        <v>0</v>
      </c>
      <c r="I797" s="1" t="str">
        <f>IF(Table1[[#This Row],[Temperature_F]]&lt;32,"Yes","No")</f>
        <v>No</v>
      </c>
      <c r="J797" s="1" t="str" cm="1">
        <f t="array" ref="J7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7" s="1" t="str" cm="1">
        <f t="array" ref="K797">_xlfn.IFS(
H797=0,"No Rain",
H797&lt;10,"Light",
H797&lt;50,"Moderate",
TRUE,"Heavy")</f>
        <v>No Rain</v>
      </c>
      <c r="L797" s="1" t="str">
        <f>IF(Table1[[#This Row],[Precipitation_mm]]&lt;&gt;0,"Wet","Dry")</f>
        <v>Dry</v>
      </c>
      <c r="M797" t="b">
        <f>OR(ISBLANK(Table1[[#This Row],[Temperature_F]]),ISERROR(Table1[[#This Row],[Temperature_F]]))</f>
        <v>0</v>
      </c>
    </row>
    <row r="798" spans="1:13" x14ac:dyDescent="0.25">
      <c r="A798" s="1" t="s">
        <v>1</v>
      </c>
      <c r="B798" s="1" t="s">
        <v>2</v>
      </c>
      <c r="C798" s="1">
        <v>42.360599999999998</v>
      </c>
      <c r="D798" s="1">
        <v>-71.010599999999997</v>
      </c>
      <c r="E798" s="5">
        <v>40984</v>
      </c>
      <c r="F798" s="1" t="str">
        <f t="shared" si="12"/>
        <v>March</v>
      </c>
      <c r="G798" s="1">
        <v>36</v>
      </c>
      <c r="H798" s="1">
        <v>18</v>
      </c>
      <c r="I798" s="1" t="str">
        <f>IF(Table1[[#This Row],[Temperature_F]]&lt;32,"Yes","No")</f>
        <v>No</v>
      </c>
      <c r="J798" s="1" t="str" cm="1">
        <f t="array" ref="J7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8" s="1" t="str" cm="1">
        <f t="array" ref="K798">_xlfn.IFS(
H798=0,"No Rain",
H798&lt;10,"Light",
H798&lt;50,"Moderate",
TRUE,"Heavy")</f>
        <v>Moderate</v>
      </c>
      <c r="L798" s="1" t="str">
        <f>IF(Table1[[#This Row],[Precipitation_mm]]&lt;&gt;0,"Wet","Dry")</f>
        <v>Wet</v>
      </c>
      <c r="M798" t="b">
        <f>OR(ISBLANK(Table1[[#This Row],[Temperature_F]]),ISERROR(Table1[[#This Row],[Temperature_F]]))</f>
        <v>0</v>
      </c>
    </row>
    <row r="799" spans="1:13" x14ac:dyDescent="0.25">
      <c r="A799" s="1" t="s">
        <v>1</v>
      </c>
      <c r="B799" s="1" t="s">
        <v>2</v>
      </c>
      <c r="C799" s="1">
        <v>42.360599999999998</v>
      </c>
      <c r="D799" s="1">
        <v>-71.010599999999997</v>
      </c>
      <c r="E799" s="5">
        <v>40985</v>
      </c>
      <c r="F799" s="1" t="str">
        <f t="shared" si="12"/>
        <v>March</v>
      </c>
      <c r="G799" s="1">
        <v>37</v>
      </c>
      <c r="H799" s="1">
        <v>0</v>
      </c>
      <c r="I799" s="1" t="str">
        <f>IF(Table1[[#This Row],[Temperature_F]]&lt;32,"Yes","No")</f>
        <v>No</v>
      </c>
      <c r="J799" s="1" t="str" cm="1">
        <f t="array" ref="J7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799" s="1" t="str" cm="1">
        <f t="array" ref="K799">_xlfn.IFS(
H799=0,"No Rain",
H799&lt;10,"Light",
H799&lt;50,"Moderate",
TRUE,"Heavy")</f>
        <v>No Rain</v>
      </c>
      <c r="L799" s="1" t="str">
        <f>IF(Table1[[#This Row],[Precipitation_mm]]&lt;&gt;0,"Wet","Dry")</f>
        <v>Dry</v>
      </c>
      <c r="M799" t="b">
        <f>OR(ISBLANK(Table1[[#This Row],[Temperature_F]]),ISERROR(Table1[[#This Row],[Temperature_F]]))</f>
        <v>0</v>
      </c>
    </row>
    <row r="800" spans="1:13" hidden="1" x14ac:dyDescent="0.25">
      <c r="A800" s="1" t="s">
        <v>1</v>
      </c>
      <c r="B800" s="1" t="s">
        <v>2</v>
      </c>
      <c r="C800" s="1">
        <v>42.360599999999998</v>
      </c>
      <c r="D800" s="1">
        <v>-71.010599999999997</v>
      </c>
      <c r="E800" s="5">
        <v>40986</v>
      </c>
      <c r="F800" s="1" t="str">
        <f t="shared" si="12"/>
        <v>March</v>
      </c>
      <c r="G800" s="1">
        <v>29</v>
      </c>
      <c r="H800" s="1">
        <v>0</v>
      </c>
      <c r="I800" s="1" t="str">
        <f>IF(Table1[[#This Row],[Temperature_F]]&lt;32,"Yes","No")</f>
        <v>Yes</v>
      </c>
      <c r="J800" s="1" t="str" cm="1">
        <f t="array" ref="J8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0" s="1" t="str" cm="1">
        <f t="array" ref="K800">_xlfn.IFS(
H800=0,"No Rain",
H800&lt;10,"Light",
H800&lt;50,"Moderate",
TRUE,"Heavy")</f>
        <v>No Rain</v>
      </c>
      <c r="L800" s="1" t="str">
        <f>IF(Table1[[#This Row],[Precipitation_mm]]&lt;&gt;0,"Wet","Dry")</f>
        <v>Dry</v>
      </c>
      <c r="M800" t="b">
        <f>OR(ISBLANK(Table1[[#This Row],[Temperature_F]]),ISERROR(Table1[[#This Row],[Temperature_F]]))</f>
        <v>0</v>
      </c>
    </row>
    <row r="801" spans="1:13" hidden="1" x14ac:dyDescent="0.25">
      <c r="A801" s="1" t="s">
        <v>1</v>
      </c>
      <c r="B801" s="1" t="s">
        <v>2</v>
      </c>
      <c r="C801" s="1">
        <v>42.360599999999998</v>
      </c>
      <c r="D801" s="1">
        <v>-71.010599999999997</v>
      </c>
      <c r="E801" s="5">
        <v>40987</v>
      </c>
      <c r="F801" s="1" t="str">
        <f t="shared" si="12"/>
        <v>March</v>
      </c>
      <c r="G801" s="1">
        <v>24</v>
      </c>
      <c r="H801" s="1">
        <v>0</v>
      </c>
      <c r="I801" s="1" t="str">
        <f>IF(Table1[[#This Row],[Temperature_F]]&lt;32,"Yes","No")</f>
        <v>Yes</v>
      </c>
      <c r="J801" s="1" t="str" cm="1">
        <f t="array" ref="J8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1" s="1" t="str" cm="1">
        <f t="array" ref="K801">_xlfn.IFS(
H801=0,"No Rain",
H801&lt;10,"Light",
H801&lt;50,"Moderate",
TRUE,"Heavy")</f>
        <v>No Rain</v>
      </c>
      <c r="L801" s="1" t="str">
        <f>IF(Table1[[#This Row],[Precipitation_mm]]&lt;&gt;0,"Wet","Dry")</f>
        <v>Dry</v>
      </c>
      <c r="M801" t="b">
        <f>OR(ISBLANK(Table1[[#This Row],[Temperature_F]]),ISERROR(Table1[[#This Row],[Temperature_F]]))</f>
        <v>0</v>
      </c>
    </row>
    <row r="802" spans="1:13" hidden="1" x14ac:dyDescent="0.25">
      <c r="A802" s="1" t="s">
        <v>1</v>
      </c>
      <c r="B802" s="1" t="s">
        <v>2</v>
      </c>
      <c r="C802" s="1">
        <v>42.360599999999998</v>
      </c>
      <c r="D802" s="1">
        <v>-71.010599999999997</v>
      </c>
      <c r="E802" s="5">
        <v>40988</v>
      </c>
      <c r="F802" s="1" t="str">
        <f t="shared" si="12"/>
        <v>March</v>
      </c>
      <c r="G802" s="1">
        <v>32</v>
      </c>
      <c r="H802" s="1">
        <v>0</v>
      </c>
      <c r="I802" s="1" t="str">
        <f>IF(Table1[[#This Row],[Temperature_F]]&lt;32,"Yes","No")</f>
        <v>No</v>
      </c>
      <c r="J802" s="1" t="str" cm="1">
        <f t="array" ref="J8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2" s="1" t="str" cm="1">
        <f t="array" ref="K802">_xlfn.IFS(
H802=0,"No Rain",
H802&lt;10,"Light",
H802&lt;50,"Moderate",
TRUE,"Heavy")</f>
        <v>No Rain</v>
      </c>
      <c r="L802" s="1" t="str">
        <f>IF(Table1[[#This Row],[Precipitation_mm]]&lt;&gt;0,"Wet","Dry")</f>
        <v>Dry</v>
      </c>
      <c r="M802" t="b">
        <f>OR(ISBLANK(Table1[[#This Row],[Temperature_F]]),ISERROR(Table1[[#This Row],[Temperature_F]]))</f>
        <v>0</v>
      </c>
    </row>
    <row r="803" spans="1:13" hidden="1" x14ac:dyDescent="0.25">
      <c r="A803" s="1" t="s">
        <v>1</v>
      </c>
      <c r="B803" s="1" t="s">
        <v>2</v>
      </c>
      <c r="C803" s="1">
        <v>42.360599999999998</v>
      </c>
      <c r="D803" s="1">
        <v>-71.010599999999997</v>
      </c>
      <c r="E803" s="5">
        <v>40989</v>
      </c>
      <c r="F803" s="1" t="str">
        <f t="shared" si="12"/>
        <v>March</v>
      </c>
      <c r="G803" s="1">
        <v>22</v>
      </c>
      <c r="H803" s="1">
        <v>0</v>
      </c>
      <c r="I803" s="1" t="str">
        <f>IF(Table1[[#This Row],[Temperature_F]]&lt;32,"Yes","No")</f>
        <v>Yes</v>
      </c>
      <c r="J803" s="1" t="str" cm="1">
        <f t="array" ref="J8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3" s="1" t="str" cm="1">
        <f t="array" ref="K803">_xlfn.IFS(
H803=0,"No Rain",
H803&lt;10,"Light",
H803&lt;50,"Moderate",
TRUE,"Heavy")</f>
        <v>No Rain</v>
      </c>
      <c r="L803" s="1" t="str">
        <f>IF(Table1[[#This Row],[Precipitation_mm]]&lt;&gt;0,"Wet","Dry")</f>
        <v>Dry</v>
      </c>
      <c r="M803" t="b">
        <f>OR(ISBLANK(Table1[[#This Row],[Temperature_F]]),ISERROR(Table1[[#This Row],[Temperature_F]]))</f>
        <v>0</v>
      </c>
    </row>
    <row r="804" spans="1:13" hidden="1" x14ac:dyDescent="0.25">
      <c r="A804" s="1" t="s">
        <v>1</v>
      </c>
      <c r="B804" s="1" t="s">
        <v>2</v>
      </c>
      <c r="C804" s="1">
        <v>42.360599999999998</v>
      </c>
      <c r="D804" s="1">
        <v>-71.010599999999997</v>
      </c>
      <c r="E804" s="5">
        <v>40990</v>
      </c>
      <c r="F804" s="1" t="str">
        <f t="shared" si="12"/>
        <v>March</v>
      </c>
      <c r="G804" s="1">
        <v>10</v>
      </c>
      <c r="H804" s="1">
        <v>0</v>
      </c>
      <c r="I804" s="1" t="str">
        <f>IF(Table1[[#This Row],[Temperature_F]]&lt;32,"Yes","No")</f>
        <v>Yes</v>
      </c>
      <c r="J804" s="1" t="str" cm="1">
        <f t="array" ref="J8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4" s="1" t="str" cm="1">
        <f t="array" ref="K804">_xlfn.IFS(
H804=0,"No Rain",
H804&lt;10,"Light",
H804&lt;50,"Moderate",
TRUE,"Heavy")</f>
        <v>No Rain</v>
      </c>
      <c r="L804" s="1" t="str">
        <f>IF(Table1[[#This Row],[Precipitation_mm]]&lt;&gt;0,"Wet","Dry")</f>
        <v>Dry</v>
      </c>
      <c r="M804" t="b">
        <f>OR(ISBLANK(Table1[[#This Row],[Temperature_F]]),ISERROR(Table1[[#This Row],[Temperature_F]]))</f>
        <v>0</v>
      </c>
    </row>
    <row r="805" spans="1:13" hidden="1" x14ac:dyDescent="0.25">
      <c r="A805" s="1" t="s">
        <v>1</v>
      </c>
      <c r="B805" s="1" t="s">
        <v>2</v>
      </c>
      <c r="C805" s="1">
        <v>42.360599999999998</v>
      </c>
      <c r="D805" s="1">
        <v>-71.010599999999997</v>
      </c>
      <c r="E805" s="5">
        <v>40991</v>
      </c>
      <c r="F805" s="1" t="str">
        <f t="shared" si="12"/>
        <v>March</v>
      </c>
      <c r="G805" s="1">
        <v>23</v>
      </c>
      <c r="H805" s="1">
        <v>0</v>
      </c>
      <c r="I805" s="1" t="str">
        <f>IF(Table1[[#This Row],[Temperature_F]]&lt;32,"Yes","No")</f>
        <v>Yes</v>
      </c>
      <c r="J805" s="1" t="str" cm="1">
        <f t="array" ref="J8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5" s="1" t="str" cm="1">
        <f t="array" ref="K805">_xlfn.IFS(
H805=0,"No Rain",
H805&lt;10,"Light",
H805&lt;50,"Moderate",
TRUE,"Heavy")</f>
        <v>No Rain</v>
      </c>
      <c r="L805" s="1" t="str">
        <f>IF(Table1[[#This Row],[Precipitation_mm]]&lt;&gt;0,"Wet","Dry")</f>
        <v>Dry</v>
      </c>
      <c r="M805" t="b">
        <f>OR(ISBLANK(Table1[[#This Row],[Temperature_F]]),ISERROR(Table1[[#This Row],[Temperature_F]]))</f>
        <v>0</v>
      </c>
    </row>
    <row r="806" spans="1:13" x14ac:dyDescent="0.25">
      <c r="A806" s="1" t="s">
        <v>1</v>
      </c>
      <c r="B806" s="1" t="s">
        <v>2</v>
      </c>
      <c r="C806" s="1">
        <v>42.360599999999998</v>
      </c>
      <c r="D806" s="1">
        <v>-71.010599999999997</v>
      </c>
      <c r="E806" s="5">
        <v>40992</v>
      </c>
      <c r="F806" s="1" t="str">
        <f t="shared" si="12"/>
        <v>March</v>
      </c>
      <c r="G806" s="1">
        <v>44</v>
      </c>
      <c r="H806" s="1">
        <v>0</v>
      </c>
      <c r="I806" s="1" t="str">
        <f>IF(Table1[[#This Row],[Temperature_F]]&lt;32,"Yes","No")</f>
        <v>No</v>
      </c>
      <c r="J806" s="1" t="str" cm="1">
        <f t="array" ref="J8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06" s="1" t="str" cm="1">
        <f t="array" ref="K806">_xlfn.IFS(
H806=0,"No Rain",
H806&lt;10,"Light",
H806&lt;50,"Moderate",
TRUE,"Heavy")</f>
        <v>No Rain</v>
      </c>
      <c r="L806" s="1" t="str">
        <f>IF(Table1[[#This Row],[Precipitation_mm]]&lt;&gt;0,"Wet","Dry")</f>
        <v>Dry</v>
      </c>
      <c r="M806" t="b">
        <f>OR(ISBLANK(Table1[[#This Row],[Temperature_F]]),ISERROR(Table1[[#This Row],[Temperature_F]]))</f>
        <v>0</v>
      </c>
    </row>
    <row r="807" spans="1:13" hidden="1" x14ac:dyDescent="0.25">
      <c r="A807" s="1" t="s">
        <v>1</v>
      </c>
      <c r="B807" s="1" t="s">
        <v>2</v>
      </c>
      <c r="C807" s="1">
        <v>42.360599999999998</v>
      </c>
      <c r="D807" s="1">
        <v>-71.010599999999997</v>
      </c>
      <c r="E807" s="5">
        <v>40993</v>
      </c>
      <c r="F807" s="1" t="str">
        <f t="shared" si="12"/>
        <v>March</v>
      </c>
      <c r="G807" s="1">
        <v>10</v>
      </c>
      <c r="H807" s="1">
        <v>3</v>
      </c>
      <c r="I807" s="1" t="str">
        <f>IF(Table1[[#This Row],[Temperature_F]]&lt;32,"Yes","No")</f>
        <v>Yes</v>
      </c>
      <c r="J807" s="1" t="str" cm="1">
        <f t="array" ref="J8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7" s="1" t="str" cm="1">
        <f t="array" ref="K807">_xlfn.IFS(
H807=0,"No Rain",
H807&lt;10,"Light",
H807&lt;50,"Moderate",
TRUE,"Heavy")</f>
        <v>Light</v>
      </c>
      <c r="L807" s="1" t="str">
        <f>IF(Table1[[#This Row],[Precipitation_mm]]&lt;&gt;0,"Wet","Dry")</f>
        <v>Wet</v>
      </c>
      <c r="M807" t="b">
        <f>OR(ISBLANK(Table1[[#This Row],[Temperature_F]]),ISERROR(Table1[[#This Row],[Temperature_F]]))</f>
        <v>0</v>
      </c>
    </row>
    <row r="808" spans="1:13" hidden="1" x14ac:dyDescent="0.25">
      <c r="A808" s="1" t="s">
        <v>1</v>
      </c>
      <c r="B808" s="1" t="s">
        <v>2</v>
      </c>
      <c r="C808" s="1">
        <v>42.360599999999998</v>
      </c>
      <c r="D808" s="1">
        <v>-71.010599999999997</v>
      </c>
      <c r="E808" s="5">
        <v>40994</v>
      </c>
      <c r="F808" s="1" t="str">
        <f t="shared" si="12"/>
        <v>March</v>
      </c>
      <c r="G808" s="1">
        <v>18</v>
      </c>
      <c r="H808" s="1">
        <v>0</v>
      </c>
      <c r="I808" s="1" t="str">
        <f>IF(Table1[[#This Row],[Temperature_F]]&lt;32,"Yes","No")</f>
        <v>Yes</v>
      </c>
      <c r="J808" s="1" t="str" cm="1">
        <f t="array" ref="J8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8" s="1" t="str" cm="1">
        <f t="array" ref="K808">_xlfn.IFS(
H808=0,"No Rain",
H808&lt;10,"Light",
H808&lt;50,"Moderate",
TRUE,"Heavy")</f>
        <v>No Rain</v>
      </c>
      <c r="L808" s="1" t="str">
        <f>IF(Table1[[#This Row],[Precipitation_mm]]&lt;&gt;0,"Wet","Dry")</f>
        <v>Dry</v>
      </c>
      <c r="M808" t="b">
        <f>OR(ISBLANK(Table1[[#This Row],[Temperature_F]]),ISERROR(Table1[[#This Row],[Temperature_F]]))</f>
        <v>0</v>
      </c>
    </row>
    <row r="809" spans="1:13" hidden="1" x14ac:dyDescent="0.25">
      <c r="A809" s="1" t="s">
        <v>1</v>
      </c>
      <c r="B809" s="1" t="s">
        <v>2</v>
      </c>
      <c r="C809" s="1">
        <v>42.360599999999998</v>
      </c>
      <c r="D809" s="1">
        <v>-71.010599999999997</v>
      </c>
      <c r="E809" s="5">
        <v>40995</v>
      </c>
      <c r="F809" s="1" t="str">
        <f t="shared" si="12"/>
        <v>March</v>
      </c>
      <c r="G809" s="1">
        <v>24</v>
      </c>
      <c r="H809" s="1">
        <v>0</v>
      </c>
      <c r="I809" s="1" t="str">
        <f>IF(Table1[[#This Row],[Temperature_F]]&lt;32,"Yes","No")</f>
        <v>Yes</v>
      </c>
      <c r="J809" s="1" t="str" cm="1">
        <f t="array" ref="J8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09" s="1" t="str" cm="1">
        <f t="array" ref="K809">_xlfn.IFS(
H809=0,"No Rain",
H809&lt;10,"Light",
H809&lt;50,"Moderate",
TRUE,"Heavy")</f>
        <v>No Rain</v>
      </c>
      <c r="L809" s="1" t="str">
        <f>IF(Table1[[#This Row],[Precipitation_mm]]&lt;&gt;0,"Wet","Dry")</f>
        <v>Dry</v>
      </c>
      <c r="M809" t="b">
        <f>OR(ISBLANK(Table1[[#This Row],[Temperature_F]]),ISERROR(Table1[[#This Row],[Temperature_F]]))</f>
        <v>0</v>
      </c>
    </row>
    <row r="810" spans="1:13" x14ac:dyDescent="0.25">
      <c r="A810" s="1" t="s">
        <v>1</v>
      </c>
      <c r="B810" s="1" t="s">
        <v>2</v>
      </c>
      <c r="C810" s="1">
        <v>42.360599999999998</v>
      </c>
      <c r="D810" s="1">
        <v>-71.010599999999997</v>
      </c>
      <c r="E810" s="5">
        <v>40996</v>
      </c>
      <c r="F810" s="1" t="str">
        <f t="shared" si="12"/>
        <v>March</v>
      </c>
      <c r="G810" s="1">
        <v>38</v>
      </c>
      <c r="H810" s="1">
        <v>15</v>
      </c>
      <c r="I810" s="1" t="str">
        <f>IF(Table1[[#This Row],[Temperature_F]]&lt;32,"Yes","No")</f>
        <v>No</v>
      </c>
      <c r="J810" s="1" t="str" cm="1">
        <f t="array" ref="J8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0" s="1" t="str" cm="1">
        <f t="array" ref="K810">_xlfn.IFS(
H810=0,"No Rain",
H810&lt;10,"Light",
H810&lt;50,"Moderate",
TRUE,"Heavy")</f>
        <v>Moderate</v>
      </c>
      <c r="L810" s="1" t="str">
        <f>IF(Table1[[#This Row],[Precipitation_mm]]&lt;&gt;0,"Wet","Dry")</f>
        <v>Wet</v>
      </c>
      <c r="M810" t="b">
        <f>OR(ISBLANK(Table1[[#This Row],[Temperature_F]]),ISERROR(Table1[[#This Row],[Temperature_F]]))</f>
        <v>0</v>
      </c>
    </row>
    <row r="811" spans="1:13" x14ac:dyDescent="0.25">
      <c r="A811" s="1" t="s">
        <v>1</v>
      </c>
      <c r="B811" s="1" t="s">
        <v>2</v>
      </c>
      <c r="C811" s="1">
        <v>42.360599999999998</v>
      </c>
      <c r="D811" s="1">
        <v>-71.010599999999997</v>
      </c>
      <c r="E811" s="5">
        <v>40997</v>
      </c>
      <c r="F811" s="1" t="str">
        <f t="shared" si="12"/>
        <v>March</v>
      </c>
      <c r="G811" s="1">
        <v>35</v>
      </c>
      <c r="H811" s="1">
        <v>3</v>
      </c>
      <c r="I811" s="1" t="str">
        <f>IF(Table1[[#This Row],[Temperature_F]]&lt;32,"Yes","No")</f>
        <v>No</v>
      </c>
      <c r="J811" s="1" t="str" cm="1">
        <f t="array" ref="J8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1" s="1" t="str" cm="1">
        <f t="array" ref="K811">_xlfn.IFS(
H811=0,"No Rain",
H811&lt;10,"Light",
H811&lt;50,"Moderate",
TRUE,"Heavy")</f>
        <v>Light</v>
      </c>
      <c r="L811" s="1" t="str">
        <f>IF(Table1[[#This Row],[Precipitation_mm]]&lt;&gt;0,"Wet","Dry")</f>
        <v>Wet</v>
      </c>
      <c r="M811" t="b">
        <f>OR(ISBLANK(Table1[[#This Row],[Temperature_F]]),ISERROR(Table1[[#This Row],[Temperature_F]]))</f>
        <v>0</v>
      </c>
    </row>
    <row r="812" spans="1:13" hidden="1" x14ac:dyDescent="0.25">
      <c r="A812" s="1" t="s">
        <v>1</v>
      </c>
      <c r="B812" s="1" t="s">
        <v>2</v>
      </c>
      <c r="C812" s="1">
        <v>42.360599999999998</v>
      </c>
      <c r="D812" s="1">
        <v>-71.010599999999997</v>
      </c>
      <c r="E812" s="5">
        <v>40998</v>
      </c>
      <c r="F812" s="1" t="str">
        <f t="shared" si="12"/>
        <v>March</v>
      </c>
      <c r="G812" s="1">
        <v>29</v>
      </c>
      <c r="H812" s="1">
        <v>0</v>
      </c>
      <c r="I812" s="1" t="str">
        <f>IF(Table1[[#This Row],[Temperature_F]]&lt;32,"Yes","No")</f>
        <v>Yes</v>
      </c>
      <c r="J812" s="1" t="str" cm="1">
        <f t="array" ref="J8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812" s="1" t="str" cm="1">
        <f t="array" ref="K812">_xlfn.IFS(
H812=0,"No Rain",
H812&lt;10,"Light",
H812&lt;50,"Moderate",
TRUE,"Heavy")</f>
        <v>No Rain</v>
      </c>
      <c r="L812" s="1" t="str">
        <f>IF(Table1[[#This Row],[Precipitation_mm]]&lt;&gt;0,"Wet","Dry")</f>
        <v>Dry</v>
      </c>
      <c r="M812" t="b">
        <f>OR(ISBLANK(Table1[[#This Row],[Temperature_F]]),ISERROR(Table1[[#This Row],[Temperature_F]]))</f>
        <v>0</v>
      </c>
    </row>
    <row r="813" spans="1:13" x14ac:dyDescent="0.25">
      <c r="A813" s="1" t="s">
        <v>1</v>
      </c>
      <c r="B813" s="1" t="s">
        <v>2</v>
      </c>
      <c r="C813" s="1">
        <v>42.360599999999998</v>
      </c>
      <c r="D813" s="1">
        <v>-71.010599999999997</v>
      </c>
      <c r="E813" s="5">
        <v>40999</v>
      </c>
      <c r="F813" s="1" t="str">
        <f t="shared" si="12"/>
        <v>March</v>
      </c>
      <c r="G813" s="1">
        <v>35</v>
      </c>
      <c r="H813" s="1">
        <v>8</v>
      </c>
      <c r="I813" s="1" t="str">
        <f>IF(Table1[[#This Row],[Temperature_F]]&lt;32,"Yes","No")</f>
        <v>No</v>
      </c>
      <c r="J813" s="1" t="str" cm="1">
        <f t="array" ref="J8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3" s="1" t="str" cm="1">
        <f t="array" ref="K813">_xlfn.IFS(
H813=0,"No Rain",
H813&lt;10,"Light",
H813&lt;50,"Moderate",
TRUE,"Heavy")</f>
        <v>Light</v>
      </c>
      <c r="L813" s="1" t="str">
        <f>IF(Table1[[#This Row],[Precipitation_mm]]&lt;&gt;0,"Wet","Dry")</f>
        <v>Wet</v>
      </c>
      <c r="M813" t="b">
        <f>OR(ISBLANK(Table1[[#This Row],[Temperature_F]]),ISERROR(Table1[[#This Row],[Temperature_F]]))</f>
        <v>0</v>
      </c>
    </row>
    <row r="814" spans="1:13" x14ac:dyDescent="0.25">
      <c r="A814" s="1" t="s">
        <v>1</v>
      </c>
      <c r="B814" s="1" t="s">
        <v>2</v>
      </c>
      <c r="C814" s="1">
        <v>42.360599999999998</v>
      </c>
      <c r="D814" s="1">
        <v>-71.010599999999997</v>
      </c>
      <c r="E814" s="5">
        <v>41000</v>
      </c>
      <c r="F814" s="1" t="str">
        <f t="shared" si="12"/>
        <v>April</v>
      </c>
      <c r="G814" s="1">
        <v>40</v>
      </c>
      <c r="H814" s="1">
        <v>48</v>
      </c>
      <c r="I814" s="1" t="str">
        <f>IF(Table1[[#This Row],[Temperature_F]]&lt;32,"Yes","No")</f>
        <v>No</v>
      </c>
      <c r="J814" s="1" t="str" cm="1">
        <f t="array" ref="J8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4" s="1" t="str" cm="1">
        <f t="array" ref="K814">_xlfn.IFS(
H814=0,"No Rain",
H814&lt;10,"Light",
H814&lt;50,"Moderate",
TRUE,"Heavy")</f>
        <v>Moderate</v>
      </c>
      <c r="L814" s="1" t="str">
        <f>IF(Table1[[#This Row],[Precipitation_mm]]&lt;&gt;0,"Wet","Dry")</f>
        <v>Wet</v>
      </c>
      <c r="M814" t="b">
        <f>OR(ISBLANK(Table1[[#This Row],[Temperature_F]]),ISERROR(Table1[[#This Row],[Temperature_F]]))</f>
        <v>0</v>
      </c>
    </row>
    <row r="815" spans="1:13" x14ac:dyDescent="0.25">
      <c r="A815" s="1" t="s">
        <v>1</v>
      </c>
      <c r="B815" s="1" t="s">
        <v>2</v>
      </c>
      <c r="C815" s="1">
        <v>42.360599999999998</v>
      </c>
      <c r="D815" s="1">
        <v>-71.010599999999997</v>
      </c>
      <c r="E815" s="5">
        <v>41001</v>
      </c>
      <c r="F815" s="1" t="str">
        <f t="shared" si="12"/>
        <v>April</v>
      </c>
      <c r="G815" s="1">
        <v>42</v>
      </c>
      <c r="H815" s="1">
        <v>13</v>
      </c>
      <c r="I815" s="1" t="str">
        <f>IF(Table1[[#This Row],[Temperature_F]]&lt;32,"Yes","No")</f>
        <v>No</v>
      </c>
      <c r="J815" s="1" t="str" cm="1">
        <f t="array" ref="J8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5" s="1" t="str" cm="1">
        <f t="array" ref="K815">_xlfn.IFS(
H815=0,"No Rain",
H815&lt;10,"Light",
H815&lt;50,"Moderate",
TRUE,"Heavy")</f>
        <v>Moderate</v>
      </c>
      <c r="L815" s="1" t="str">
        <f>IF(Table1[[#This Row],[Precipitation_mm]]&lt;&gt;0,"Wet","Dry")</f>
        <v>Wet</v>
      </c>
      <c r="M815" t="b">
        <f>OR(ISBLANK(Table1[[#This Row],[Temperature_F]]),ISERROR(Table1[[#This Row],[Temperature_F]]))</f>
        <v>0</v>
      </c>
    </row>
    <row r="816" spans="1:13" x14ac:dyDescent="0.25">
      <c r="A816" s="1" t="s">
        <v>1</v>
      </c>
      <c r="B816" s="1" t="s">
        <v>2</v>
      </c>
      <c r="C816" s="1">
        <v>42.360599999999998</v>
      </c>
      <c r="D816" s="1">
        <v>-71.010599999999997</v>
      </c>
      <c r="E816" s="5">
        <v>41002</v>
      </c>
      <c r="F816" s="1" t="str">
        <f t="shared" si="12"/>
        <v>April</v>
      </c>
      <c r="G816" s="1">
        <v>43</v>
      </c>
      <c r="H816" s="1">
        <v>0</v>
      </c>
      <c r="I816" s="1" t="str">
        <f>IF(Table1[[#This Row],[Temperature_F]]&lt;32,"Yes","No")</f>
        <v>No</v>
      </c>
      <c r="J816" s="1" t="str" cm="1">
        <f t="array" ref="J8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6" s="1" t="str" cm="1">
        <f t="array" ref="K816">_xlfn.IFS(
H816=0,"No Rain",
H816&lt;10,"Light",
H816&lt;50,"Moderate",
TRUE,"Heavy")</f>
        <v>No Rain</v>
      </c>
      <c r="L816" s="1" t="str">
        <f>IF(Table1[[#This Row],[Precipitation_mm]]&lt;&gt;0,"Wet","Dry")</f>
        <v>Dry</v>
      </c>
      <c r="M816" t="b">
        <f>OR(ISBLANK(Table1[[#This Row],[Temperature_F]]),ISERROR(Table1[[#This Row],[Temperature_F]]))</f>
        <v>0</v>
      </c>
    </row>
    <row r="817" spans="1:13" hidden="1" x14ac:dyDescent="0.25">
      <c r="A817" s="1" t="s">
        <v>1</v>
      </c>
      <c r="B817" s="1" t="s">
        <v>2</v>
      </c>
      <c r="C817" s="1">
        <v>42.360599999999998</v>
      </c>
      <c r="D817" s="1">
        <v>-71.010599999999997</v>
      </c>
      <c r="E817" s="5">
        <v>41003</v>
      </c>
      <c r="F817" s="1" t="str">
        <f t="shared" si="12"/>
        <v>April</v>
      </c>
      <c r="G817" s="1">
        <v>57</v>
      </c>
      <c r="H817" s="1">
        <v>0</v>
      </c>
      <c r="I817" s="1" t="str">
        <f>IF(Table1[[#This Row],[Temperature_F]]&lt;32,"Yes","No")</f>
        <v>No</v>
      </c>
      <c r="J817" s="1" t="str" cm="1">
        <f t="array" ref="J8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17" s="1" t="str" cm="1">
        <f t="array" ref="K817">_xlfn.IFS(
H817=0,"No Rain",
H817&lt;10,"Light",
H817&lt;50,"Moderate",
TRUE,"Heavy")</f>
        <v>No Rain</v>
      </c>
      <c r="L817" s="1" t="str">
        <f>IF(Table1[[#This Row],[Precipitation_mm]]&lt;&gt;0,"Wet","Dry")</f>
        <v>Dry</v>
      </c>
      <c r="M817" t="b">
        <f>OR(ISBLANK(Table1[[#This Row],[Temperature_F]]),ISERROR(Table1[[#This Row],[Temperature_F]]))</f>
        <v>0</v>
      </c>
    </row>
    <row r="818" spans="1:13" x14ac:dyDescent="0.25">
      <c r="A818" s="1" t="s">
        <v>1</v>
      </c>
      <c r="B818" s="1" t="s">
        <v>2</v>
      </c>
      <c r="C818" s="1">
        <v>42.360599999999998</v>
      </c>
      <c r="D818" s="1">
        <v>-71.010599999999997</v>
      </c>
      <c r="E818" s="5">
        <v>41004</v>
      </c>
      <c r="F818" s="1" t="str">
        <f t="shared" si="12"/>
        <v>April</v>
      </c>
      <c r="G818" s="1">
        <v>50</v>
      </c>
      <c r="H818" s="1">
        <v>0</v>
      </c>
      <c r="I818" s="1" t="str">
        <f>IF(Table1[[#This Row],[Temperature_F]]&lt;32,"Yes","No")</f>
        <v>No</v>
      </c>
      <c r="J818" s="1" t="str" cm="1">
        <f t="array" ref="J8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8" s="1" t="str" cm="1">
        <f t="array" ref="K818">_xlfn.IFS(
H818=0,"No Rain",
H818&lt;10,"Light",
H818&lt;50,"Moderate",
TRUE,"Heavy")</f>
        <v>No Rain</v>
      </c>
      <c r="L818" s="1" t="str">
        <f>IF(Table1[[#This Row],[Precipitation_mm]]&lt;&gt;0,"Wet","Dry")</f>
        <v>Dry</v>
      </c>
      <c r="M818" t="b">
        <f>OR(ISBLANK(Table1[[#This Row],[Temperature_F]]),ISERROR(Table1[[#This Row],[Temperature_F]]))</f>
        <v>0</v>
      </c>
    </row>
    <row r="819" spans="1:13" x14ac:dyDescent="0.25">
      <c r="A819" s="1" t="s">
        <v>1</v>
      </c>
      <c r="B819" s="1" t="s">
        <v>2</v>
      </c>
      <c r="C819" s="1">
        <v>42.360599999999998</v>
      </c>
      <c r="D819" s="1">
        <v>-71.010599999999997</v>
      </c>
      <c r="E819" s="5">
        <v>41005</v>
      </c>
      <c r="F819" s="1" t="str">
        <f t="shared" si="12"/>
        <v>April</v>
      </c>
      <c r="G819" s="1">
        <v>48</v>
      </c>
      <c r="H819" s="1">
        <v>0</v>
      </c>
      <c r="I819" s="1" t="str">
        <f>IF(Table1[[#This Row],[Temperature_F]]&lt;32,"Yes","No")</f>
        <v>No</v>
      </c>
      <c r="J819" s="1" t="str" cm="1">
        <f t="array" ref="J8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19" s="1" t="str" cm="1">
        <f t="array" ref="K819">_xlfn.IFS(
H819=0,"No Rain",
H819&lt;10,"Light",
H819&lt;50,"Moderate",
TRUE,"Heavy")</f>
        <v>No Rain</v>
      </c>
      <c r="L819" s="1" t="str">
        <f>IF(Table1[[#This Row],[Precipitation_mm]]&lt;&gt;0,"Wet","Dry")</f>
        <v>Dry</v>
      </c>
      <c r="M819" t="b">
        <f>OR(ISBLANK(Table1[[#This Row],[Temperature_F]]),ISERROR(Table1[[#This Row],[Temperature_F]]))</f>
        <v>0</v>
      </c>
    </row>
    <row r="820" spans="1:13" x14ac:dyDescent="0.25">
      <c r="A820" s="1" t="s">
        <v>1</v>
      </c>
      <c r="B820" s="1" t="s">
        <v>2</v>
      </c>
      <c r="C820" s="1">
        <v>42.360599999999998</v>
      </c>
      <c r="D820" s="1">
        <v>-71.010599999999997</v>
      </c>
      <c r="E820" s="5">
        <v>41006</v>
      </c>
      <c r="F820" s="1" t="str">
        <f t="shared" si="12"/>
        <v>April</v>
      </c>
      <c r="G820" s="1">
        <v>43</v>
      </c>
      <c r="H820" s="1">
        <v>0</v>
      </c>
      <c r="I820" s="1" t="str">
        <f>IF(Table1[[#This Row],[Temperature_F]]&lt;32,"Yes","No")</f>
        <v>No</v>
      </c>
      <c r="J820" s="1" t="str" cm="1">
        <f t="array" ref="J8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20" s="1" t="str" cm="1">
        <f t="array" ref="K820">_xlfn.IFS(
H820=0,"No Rain",
H820&lt;10,"Light",
H820&lt;50,"Moderate",
TRUE,"Heavy")</f>
        <v>No Rain</v>
      </c>
      <c r="L820" s="1" t="str">
        <f>IF(Table1[[#This Row],[Precipitation_mm]]&lt;&gt;0,"Wet","Dry")</f>
        <v>Dry</v>
      </c>
      <c r="M820" t="b">
        <f>OR(ISBLANK(Table1[[#This Row],[Temperature_F]]),ISERROR(Table1[[#This Row],[Temperature_F]]))</f>
        <v>0</v>
      </c>
    </row>
    <row r="821" spans="1:13" hidden="1" x14ac:dyDescent="0.25">
      <c r="A821" s="1" t="s">
        <v>1</v>
      </c>
      <c r="B821" s="1" t="s">
        <v>2</v>
      </c>
      <c r="C821" s="1">
        <v>42.360599999999998</v>
      </c>
      <c r="D821" s="1">
        <v>-71.010599999999997</v>
      </c>
      <c r="E821" s="5">
        <v>41007</v>
      </c>
      <c r="F821" s="1" t="str">
        <f t="shared" si="12"/>
        <v>April</v>
      </c>
      <c r="G821" s="1">
        <v>55</v>
      </c>
      <c r="H821" s="1">
        <v>0</v>
      </c>
      <c r="I821" s="1" t="str">
        <f>IF(Table1[[#This Row],[Temperature_F]]&lt;32,"Yes","No")</f>
        <v>No</v>
      </c>
      <c r="J821" s="1" t="str" cm="1">
        <f t="array" ref="J8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21" s="1" t="str" cm="1">
        <f t="array" ref="K821">_xlfn.IFS(
H821=0,"No Rain",
H821&lt;10,"Light",
H821&lt;50,"Moderate",
TRUE,"Heavy")</f>
        <v>No Rain</v>
      </c>
      <c r="L821" s="1" t="str">
        <f>IF(Table1[[#This Row],[Precipitation_mm]]&lt;&gt;0,"Wet","Dry")</f>
        <v>Dry</v>
      </c>
      <c r="M821" t="b">
        <f>OR(ISBLANK(Table1[[#This Row],[Temperature_F]]),ISERROR(Table1[[#This Row],[Temperature_F]]))</f>
        <v>0</v>
      </c>
    </row>
    <row r="822" spans="1:13" x14ac:dyDescent="0.25">
      <c r="A822" s="1" t="s">
        <v>1</v>
      </c>
      <c r="B822" s="1" t="s">
        <v>2</v>
      </c>
      <c r="C822" s="1">
        <v>42.360599999999998</v>
      </c>
      <c r="D822" s="1">
        <v>-71.010599999999997</v>
      </c>
      <c r="E822" s="5">
        <v>41008</v>
      </c>
      <c r="F822" s="1" t="str">
        <f t="shared" si="12"/>
        <v>April</v>
      </c>
      <c r="G822" s="1">
        <v>48</v>
      </c>
      <c r="H822" s="1">
        <v>0</v>
      </c>
      <c r="I822" s="1" t="str">
        <f>IF(Table1[[#This Row],[Temperature_F]]&lt;32,"Yes","No")</f>
        <v>No</v>
      </c>
      <c r="J822" s="1" t="str" cm="1">
        <f t="array" ref="J8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22" s="1" t="str" cm="1">
        <f t="array" ref="K822">_xlfn.IFS(
H822=0,"No Rain",
H822&lt;10,"Light",
H822&lt;50,"Moderate",
TRUE,"Heavy")</f>
        <v>No Rain</v>
      </c>
      <c r="L822" s="1" t="str">
        <f>IF(Table1[[#This Row],[Precipitation_mm]]&lt;&gt;0,"Wet","Dry")</f>
        <v>Dry</v>
      </c>
      <c r="M822" t="b">
        <f>OR(ISBLANK(Table1[[#This Row],[Temperature_F]]),ISERROR(Table1[[#This Row],[Temperature_F]]))</f>
        <v>0</v>
      </c>
    </row>
    <row r="823" spans="1:13" hidden="1" x14ac:dyDescent="0.25">
      <c r="A823" s="1" t="s">
        <v>1</v>
      </c>
      <c r="B823" s="1" t="s">
        <v>2</v>
      </c>
      <c r="C823" s="1">
        <v>42.360599999999998</v>
      </c>
      <c r="D823" s="1">
        <v>-71.010599999999997</v>
      </c>
      <c r="E823" s="5">
        <v>41009</v>
      </c>
      <c r="F823" s="1" t="str">
        <f t="shared" si="12"/>
        <v>April</v>
      </c>
      <c r="G823" s="1">
        <v>58</v>
      </c>
      <c r="H823" s="1">
        <v>0</v>
      </c>
      <c r="I823" s="1" t="str">
        <f>IF(Table1[[#This Row],[Temperature_F]]&lt;32,"Yes","No")</f>
        <v>No</v>
      </c>
      <c r="J823" s="1" t="str" cm="1">
        <f t="array" ref="J8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23" s="1" t="str" cm="1">
        <f t="array" ref="K823">_xlfn.IFS(
H823=0,"No Rain",
H823&lt;10,"Light",
H823&lt;50,"Moderate",
TRUE,"Heavy")</f>
        <v>No Rain</v>
      </c>
      <c r="L823" s="1" t="str">
        <f>IF(Table1[[#This Row],[Precipitation_mm]]&lt;&gt;0,"Wet","Dry")</f>
        <v>Dry</v>
      </c>
      <c r="M823" t="b">
        <f>OR(ISBLANK(Table1[[#This Row],[Temperature_F]]),ISERROR(Table1[[#This Row],[Temperature_F]]))</f>
        <v>0</v>
      </c>
    </row>
    <row r="824" spans="1:13" hidden="1" x14ac:dyDescent="0.25">
      <c r="A824" s="1" t="s">
        <v>1</v>
      </c>
      <c r="B824" s="1" t="s">
        <v>2</v>
      </c>
      <c r="C824" s="1">
        <v>42.360599999999998</v>
      </c>
      <c r="D824" s="1">
        <v>-71.010599999999997</v>
      </c>
      <c r="E824" s="5">
        <v>41010</v>
      </c>
      <c r="F824" s="1" t="str">
        <f t="shared" si="12"/>
        <v>April</v>
      </c>
      <c r="G824" s="1">
        <v>52</v>
      </c>
      <c r="H824" s="1">
        <v>0</v>
      </c>
      <c r="I824" s="1" t="str">
        <f>IF(Table1[[#This Row],[Temperature_F]]&lt;32,"Yes","No")</f>
        <v>No</v>
      </c>
      <c r="J824" s="1" t="str" cm="1">
        <f t="array" ref="J8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24" s="1" t="str" cm="1">
        <f t="array" ref="K824">_xlfn.IFS(
H824=0,"No Rain",
H824&lt;10,"Light",
H824&lt;50,"Moderate",
TRUE,"Heavy")</f>
        <v>No Rain</v>
      </c>
      <c r="L824" s="1" t="str">
        <f>IF(Table1[[#This Row],[Precipitation_mm]]&lt;&gt;0,"Wet","Dry")</f>
        <v>Dry</v>
      </c>
      <c r="M824" t="b">
        <f>OR(ISBLANK(Table1[[#This Row],[Temperature_F]]),ISERROR(Table1[[#This Row],[Temperature_F]]))</f>
        <v>0</v>
      </c>
    </row>
    <row r="825" spans="1:13" x14ac:dyDescent="0.25">
      <c r="A825" s="1" t="s">
        <v>1</v>
      </c>
      <c r="B825" s="1" t="s">
        <v>2</v>
      </c>
      <c r="C825" s="1">
        <v>42.360599999999998</v>
      </c>
      <c r="D825" s="1">
        <v>-71.010599999999997</v>
      </c>
      <c r="E825" s="5">
        <v>41011</v>
      </c>
      <c r="F825" s="1" t="str">
        <f t="shared" si="12"/>
        <v>April</v>
      </c>
      <c r="G825" s="1">
        <v>41</v>
      </c>
      <c r="H825" s="1">
        <v>81</v>
      </c>
      <c r="I825" s="1" t="str">
        <f>IF(Table1[[#This Row],[Temperature_F]]&lt;32,"Yes","No")</f>
        <v>No</v>
      </c>
      <c r="J825" s="1" t="str" cm="1">
        <f t="array" ref="J8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25" s="1" t="str" cm="1">
        <f t="array" ref="K825">_xlfn.IFS(
H825=0,"No Rain",
H825&lt;10,"Light",
H825&lt;50,"Moderate",
TRUE,"Heavy")</f>
        <v>Heavy</v>
      </c>
      <c r="L825" s="1" t="str">
        <f>IF(Table1[[#This Row],[Precipitation_mm]]&lt;&gt;0,"Wet","Dry")</f>
        <v>Wet</v>
      </c>
      <c r="M825" t="b">
        <f>OR(ISBLANK(Table1[[#This Row],[Temperature_F]]),ISERROR(Table1[[#This Row],[Temperature_F]]))</f>
        <v>0</v>
      </c>
    </row>
    <row r="826" spans="1:13" x14ac:dyDescent="0.25">
      <c r="A826" s="1" t="s">
        <v>1</v>
      </c>
      <c r="B826" s="1" t="s">
        <v>2</v>
      </c>
      <c r="C826" s="1">
        <v>42.360599999999998</v>
      </c>
      <c r="D826" s="1">
        <v>-71.010599999999997</v>
      </c>
      <c r="E826" s="5">
        <v>41012</v>
      </c>
      <c r="F826" s="1" t="str">
        <f t="shared" ref="F826:F889" si="13">TEXT(E826,"mmmm")</f>
        <v>April</v>
      </c>
      <c r="G826" s="1">
        <v>44</v>
      </c>
      <c r="H826" s="1">
        <v>0</v>
      </c>
      <c r="I826" s="1" t="str">
        <f>IF(Table1[[#This Row],[Temperature_F]]&lt;32,"Yes","No")</f>
        <v>No</v>
      </c>
      <c r="J826" s="1" t="str" cm="1">
        <f t="array" ref="J8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26" s="1" t="str" cm="1">
        <f t="array" ref="K826">_xlfn.IFS(
H826=0,"No Rain",
H826&lt;10,"Light",
H826&lt;50,"Moderate",
TRUE,"Heavy")</f>
        <v>No Rain</v>
      </c>
      <c r="L826" s="1" t="str">
        <f>IF(Table1[[#This Row],[Precipitation_mm]]&lt;&gt;0,"Wet","Dry")</f>
        <v>Dry</v>
      </c>
      <c r="M826" t="b">
        <f>OR(ISBLANK(Table1[[#This Row],[Temperature_F]]),ISERROR(Table1[[#This Row],[Temperature_F]]))</f>
        <v>0</v>
      </c>
    </row>
    <row r="827" spans="1:13" hidden="1" x14ac:dyDescent="0.25">
      <c r="A827" s="1" t="s">
        <v>1</v>
      </c>
      <c r="B827" s="1" t="s">
        <v>2</v>
      </c>
      <c r="C827" s="1">
        <v>42.360599999999998</v>
      </c>
      <c r="D827" s="1">
        <v>-71.010599999999997</v>
      </c>
      <c r="E827" s="5">
        <v>41013</v>
      </c>
      <c r="F827" s="1" t="str">
        <f t="shared" si="13"/>
        <v>April</v>
      </c>
      <c r="G827" s="1">
        <v>60</v>
      </c>
      <c r="H827" s="1">
        <v>0</v>
      </c>
      <c r="I827" s="1" t="str">
        <f>IF(Table1[[#This Row],[Temperature_F]]&lt;32,"Yes","No")</f>
        <v>No</v>
      </c>
      <c r="J827" s="1" t="str" cm="1">
        <f t="array" ref="J8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27" s="1" t="str" cm="1">
        <f t="array" ref="K827">_xlfn.IFS(
H827=0,"No Rain",
H827&lt;10,"Light",
H827&lt;50,"Moderate",
TRUE,"Heavy")</f>
        <v>No Rain</v>
      </c>
      <c r="L827" s="1" t="str">
        <f>IF(Table1[[#This Row],[Precipitation_mm]]&lt;&gt;0,"Wet","Dry")</f>
        <v>Dry</v>
      </c>
      <c r="M827" t="b">
        <f>OR(ISBLANK(Table1[[#This Row],[Temperature_F]]),ISERROR(Table1[[#This Row],[Temperature_F]]))</f>
        <v>0</v>
      </c>
    </row>
    <row r="828" spans="1:13" hidden="1" x14ac:dyDescent="0.25">
      <c r="A828" s="1" t="s">
        <v>1</v>
      </c>
      <c r="B828" s="1" t="s">
        <v>2</v>
      </c>
      <c r="C828" s="1">
        <v>42.360599999999998</v>
      </c>
      <c r="D828" s="1">
        <v>-71.010599999999997</v>
      </c>
      <c r="E828" s="5">
        <v>41014</v>
      </c>
      <c r="F828" s="1" t="str">
        <f t="shared" si="13"/>
        <v>April</v>
      </c>
      <c r="G828" s="1">
        <v>55</v>
      </c>
      <c r="H828" s="1">
        <v>0</v>
      </c>
      <c r="I828" s="1" t="str">
        <f>IF(Table1[[#This Row],[Temperature_F]]&lt;32,"Yes","No")</f>
        <v>No</v>
      </c>
      <c r="J828" s="1" t="str" cm="1">
        <f t="array" ref="J8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28" s="1" t="str" cm="1">
        <f t="array" ref="K828">_xlfn.IFS(
H828=0,"No Rain",
H828&lt;10,"Light",
H828&lt;50,"Moderate",
TRUE,"Heavy")</f>
        <v>No Rain</v>
      </c>
      <c r="L828" s="1" t="str">
        <f>IF(Table1[[#This Row],[Precipitation_mm]]&lt;&gt;0,"Wet","Dry")</f>
        <v>Dry</v>
      </c>
      <c r="M828" t="b">
        <f>OR(ISBLANK(Table1[[#This Row],[Temperature_F]]),ISERROR(Table1[[#This Row],[Temperature_F]]))</f>
        <v>0</v>
      </c>
    </row>
    <row r="829" spans="1:13" x14ac:dyDescent="0.25">
      <c r="A829" s="1" t="s">
        <v>1</v>
      </c>
      <c r="B829" s="1" t="s">
        <v>2</v>
      </c>
      <c r="C829" s="1">
        <v>42.360599999999998</v>
      </c>
      <c r="D829" s="1">
        <v>-71.010599999999997</v>
      </c>
      <c r="E829" s="5">
        <v>41015</v>
      </c>
      <c r="F829" s="1" t="str">
        <f t="shared" si="13"/>
        <v>April</v>
      </c>
      <c r="G829" s="1">
        <v>40</v>
      </c>
      <c r="H829" s="1">
        <v>0</v>
      </c>
      <c r="I829" s="1" t="str">
        <f>IF(Table1[[#This Row],[Temperature_F]]&lt;32,"Yes","No")</f>
        <v>No</v>
      </c>
      <c r="J829" s="1" t="str" cm="1">
        <f t="array" ref="J8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29" s="1" t="str" cm="1">
        <f t="array" ref="K829">_xlfn.IFS(
H829=0,"No Rain",
H829&lt;10,"Light",
H829&lt;50,"Moderate",
TRUE,"Heavy")</f>
        <v>No Rain</v>
      </c>
      <c r="L829" s="1" t="str">
        <f>IF(Table1[[#This Row],[Precipitation_mm]]&lt;&gt;0,"Wet","Dry")</f>
        <v>Dry</v>
      </c>
      <c r="M829" t="b">
        <f>OR(ISBLANK(Table1[[#This Row],[Temperature_F]]),ISERROR(Table1[[#This Row],[Temperature_F]]))</f>
        <v>0</v>
      </c>
    </row>
    <row r="830" spans="1:13" x14ac:dyDescent="0.25">
      <c r="A830" s="1" t="s">
        <v>1</v>
      </c>
      <c r="B830" s="1" t="s">
        <v>2</v>
      </c>
      <c r="C830" s="1">
        <v>42.360599999999998</v>
      </c>
      <c r="D830" s="1">
        <v>-71.010599999999997</v>
      </c>
      <c r="E830" s="5">
        <v>41016</v>
      </c>
      <c r="F830" s="1" t="str">
        <f t="shared" si="13"/>
        <v>April</v>
      </c>
      <c r="G830" s="1">
        <v>46</v>
      </c>
      <c r="H830" s="1">
        <v>0</v>
      </c>
      <c r="I830" s="1" t="str">
        <f>IF(Table1[[#This Row],[Temperature_F]]&lt;32,"Yes","No")</f>
        <v>No</v>
      </c>
      <c r="J830" s="1" t="str" cm="1">
        <f t="array" ref="J8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30" s="1" t="str" cm="1">
        <f t="array" ref="K830">_xlfn.IFS(
H830=0,"No Rain",
H830&lt;10,"Light",
H830&lt;50,"Moderate",
TRUE,"Heavy")</f>
        <v>No Rain</v>
      </c>
      <c r="L830" s="1" t="str">
        <f>IF(Table1[[#This Row],[Precipitation_mm]]&lt;&gt;0,"Wet","Dry")</f>
        <v>Dry</v>
      </c>
      <c r="M830" t="b">
        <f>OR(ISBLANK(Table1[[#This Row],[Temperature_F]]),ISERROR(Table1[[#This Row],[Temperature_F]]))</f>
        <v>0</v>
      </c>
    </row>
    <row r="831" spans="1:13" x14ac:dyDescent="0.25">
      <c r="A831" s="1" t="s">
        <v>1</v>
      </c>
      <c r="B831" s="1" t="s">
        <v>2</v>
      </c>
      <c r="C831" s="1">
        <v>42.360599999999998</v>
      </c>
      <c r="D831" s="1">
        <v>-71.010599999999997</v>
      </c>
      <c r="E831" s="5">
        <v>41017</v>
      </c>
      <c r="F831" s="1" t="str">
        <f t="shared" si="13"/>
        <v>April</v>
      </c>
      <c r="G831" s="1">
        <v>48</v>
      </c>
      <c r="H831" s="1">
        <v>0</v>
      </c>
      <c r="I831" s="1" t="str">
        <f>IF(Table1[[#This Row],[Temperature_F]]&lt;32,"Yes","No")</f>
        <v>No</v>
      </c>
      <c r="J831" s="1" t="str" cm="1">
        <f t="array" ref="J8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31" s="1" t="str" cm="1">
        <f t="array" ref="K831">_xlfn.IFS(
H831=0,"No Rain",
H831&lt;10,"Light",
H831&lt;50,"Moderate",
TRUE,"Heavy")</f>
        <v>No Rain</v>
      </c>
      <c r="L831" s="1" t="str">
        <f>IF(Table1[[#This Row],[Precipitation_mm]]&lt;&gt;0,"Wet","Dry")</f>
        <v>Dry</v>
      </c>
      <c r="M831" t="b">
        <f>OR(ISBLANK(Table1[[#This Row],[Temperature_F]]),ISERROR(Table1[[#This Row],[Temperature_F]]))</f>
        <v>0</v>
      </c>
    </row>
    <row r="832" spans="1:13" hidden="1" x14ac:dyDescent="0.25">
      <c r="A832" s="1" t="s">
        <v>1</v>
      </c>
      <c r="B832" s="1" t="s">
        <v>2</v>
      </c>
      <c r="C832" s="1">
        <v>42.360599999999998</v>
      </c>
      <c r="D832" s="1">
        <v>-71.010599999999997</v>
      </c>
      <c r="E832" s="5">
        <v>41018</v>
      </c>
      <c r="F832" s="1" t="str">
        <f t="shared" si="13"/>
        <v>April</v>
      </c>
      <c r="G832" s="1">
        <v>60</v>
      </c>
      <c r="H832" s="1">
        <v>0</v>
      </c>
      <c r="I832" s="1" t="str">
        <f>IF(Table1[[#This Row],[Temperature_F]]&lt;32,"Yes","No")</f>
        <v>No</v>
      </c>
      <c r="J832" s="1" t="str" cm="1">
        <f t="array" ref="J8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32" s="1" t="str" cm="1">
        <f t="array" ref="K832">_xlfn.IFS(
H832=0,"No Rain",
H832&lt;10,"Light",
H832&lt;50,"Moderate",
TRUE,"Heavy")</f>
        <v>No Rain</v>
      </c>
      <c r="L832" s="1" t="str">
        <f>IF(Table1[[#This Row],[Precipitation_mm]]&lt;&gt;0,"Wet","Dry")</f>
        <v>Dry</v>
      </c>
      <c r="M832" t="b">
        <f>OR(ISBLANK(Table1[[#This Row],[Temperature_F]]),ISERROR(Table1[[#This Row],[Temperature_F]]))</f>
        <v>0</v>
      </c>
    </row>
    <row r="833" spans="1:13" x14ac:dyDescent="0.25">
      <c r="A833" s="1" t="s">
        <v>1</v>
      </c>
      <c r="B833" s="1" t="s">
        <v>2</v>
      </c>
      <c r="C833" s="1">
        <v>42.360599999999998</v>
      </c>
      <c r="D833" s="1">
        <v>-71.010599999999997</v>
      </c>
      <c r="E833" s="5">
        <v>41019</v>
      </c>
      <c r="F833" s="1" t="str">
        <f t="shared" si="13"/>
        <v>April</v>
      </c>
      <c r="G833" s="1">
        <v>48</v>
      </c>
      <c r="H833" s="1">
        <v>0</v>
      </c>
      <c r="I833" s="1" t="str">
        <f>IF(Table1[[#This Row],[Temperature_F]]&lt;32,"Yes","No")</f>
        <v>No</v>
      </c>
      <c r="J833" s="1" t="str" cm="1">
        <f t="array" ref="J8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33" s="1" t="str" cm="1">
        <f t="array" ref="K833">_xlfn.IFS(
H833=0,"No Rain",
H833&lt;10,"Light",
H833&lt;50,"Moderate",
TRUE,"Heavy")</f>
        <v>No Rain</v>
      </c>
      <c r="L833" s="1" t="str">
        <f>IF(Table1[[#This Row],[Precipitation_mm]]&lt;&gt;0,"Wet","Dry")</f>
        <v>Dry</v>
      </c>
      <c r="M833" t="b">
        <f>OR(ISBLANK(Table1[[#This Row],[Temperature_F]]),ISERROR(Table1[[#This Row],[Temperature_F]]))</f>
        <v>0</v>
      </c>
    </row>
    <row r="834" spans="1:13" x14ac:dyDescent="0.25">
      <c r="A834" s="1" t="s">
        <v>1</v>
      </c>
      <c r="B834" s="1" t="s">
        <v>2</v>
      </c>
      <c r="C834" s="1">
        <v>42.360599999999998</v>
      </c>
      <c r="D834" s="1">
        <v>-71.010599999999997</v>
      </c>
      <c r="E834" s="5">
        <v>41020</v>
      </c>
      <c r="F834" s="1" t="str">
        <f t="shared" si="13"/>
        <v>April</v>
      </c>
      <c r="G834" s="1">
        <v>43</v>
      </c>
      <c r="H834" s="1">
        <v>3</v>
      </c>
      <c r="I834" s="1" t="str">
        <f>IF(Table1[[#This Row],[Temperature_F]]&lt;32,"Yes","No")</f>
        <v>No</v>
      </c>
      <c r="J834" s="1" t="str" cm="1">
        <f t="array" ref="J8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34" s="1" t="str" cm="1">
        <f t="array" ref="K834">_xlfn.IFS(
H834=0,"No Rain",
H834&lt;10,"Light",
H834&lt;50,"Moderate",
TRUE,"Heavy")</f>
        <v>Light</v>
      </c>
      <c r="L834" s="1" t="str">
        <f>IF(Table1[[#This Row],[Precipitation_mm]]&lt;&gt;0,"Wet","Dry")</f>
        <v>Wet</v>
      </c>
      <c r="M834" t="b">
        <f>OR(ISBLANK(Table1[[#This Row],[Temperature_F]]),ISERROR(Table1[[#This Row],[Temperature_F]]))</f>
        <v>0</v>
      </c>
    </row>
    <row r="835" spans="1:13" hidden="1" x14ac:dyDescent="0.25">
      <c r="A835" s="1" t="s">
        <v>1</v>
      </c>
      <c r="B835" s="1" t="s">
        <v>2</v>
      </c>
      <c r="C835" s="1">
        <v>42.360599999999998</v>
      </c>
      <c r="D835" s="1">
        <v>-71.010599999999997</v>
      </c>
      <c r="E835" s="5">
        <v>41021</v>
      </c>
      <c r="F835" s="1" t="str">
        <f t="shared" si="13"/>
        <v>April</v>
      </c>
      <c r="G835" s="1">
        <v>59</v>
      </c>
      <c r="H835" s="1">
        <v>264</v>
      </c>
      <c r="I835" s="1" t="str">
        <f>IF(Table1[[#This Row],[Temperature_F]]&lt;32,"Yes","No")</f>
        <v>No</v>
      </c>
      <c r="J835" s="1" t="str" cm="1">
        <f t="array" ref="J8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35" s="1" t="str" cm="1">
        <f t="array" ref="K835">_xlfn.IFS(
H835=0,"No Rain",
H835&lt;10,"Light",
H835&lt;50,"Moderate",
TRUE,"Heavy")</f>
        <v>Heavy</v>
      </c>
      <c r="L835" s="1" t="str">
        <f>IF(Table1[[#This Row],[Precipitation_mm]]&lt;&gt;0,"Wet","Dry")</f>
        <v>Wet</v>
      </c>
      <c r="M835" t="b">
        <f>OR(ISBLANK(Table1[[#This Row],[Temperature_F]]),ISERROR(Table1[[#This Row],[Temperature_F]]))</f>
        <v>0</v>
      </c>
    </row>
    <row r="836" spans="1:13" hidden="1" x14ac:dyDescent="0.25">
      <c r="A836" s="1" t="s">
        <v>1</v>
      </c>
      <c r="B836" s="1" t="s">
        <v>2</v>
      </c>
      <c r="C836" s="1">
        <v>42.360599999999998</v>
      </c>
      <c r="D836" s="1">
        <v>-71.010599999999997</v>
      </c>
      <c r="E836" s="5">
        <v>41022</v>
      </c>
      <c r="F836" s="1" t="str">
        <f t="shared" si="13"/>
        <v>April</v>
      </c>
      <c r="G836" s="1">
        <v>51</v>
      </c>
      <c r="H836" s="1">
        <v>376</v>
      </c>
      <c r="I836" s="1" t="str">
        <f>IF(Table1[[#This Row],[Temperature_F]]&lt;32,"Yes","No")</f>
        <v>No</v>
      </c>
      <c r="J836" s="1" t="str" cm="1">
        <f t="array" ref="J8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36" s="1" t="str" cm="1">
        <f t="array" ref="K836">_xlfn.IFS(
H836=0,"No Rain",
H836&lt;10,"Light",
H836&lt;50,"Moderate",
TRUE,"Heavy")</f>
        <v>Heavy</v>
      </c>
      <c r="L836" s="1" t="str">
        <f>IF(Table1[[#This Row],[Precipitation_mm]]&lt;&gt;0,"Wet","Dry")</f>
        <v>Wet</v>
      </c>
      <c r="M836" t="b">
        <f>OR(ISBLANK(Table1[[#This Row],[Temperature_F]]),ISERROR(Table1[[#This Row],[Temperature_F]]))</f>
        <v>0</v>
      </c>
    </row>
    <row r="837" spans="1:13" hidden="1" x14ac:dyDescent="0.25">
      <c r="A837" s="1" t="s">
        <v>1</v>
      </c>
      <c r="B837" s="1" t="s">
        <v>2</v>
      </c>
      <c r="C837" s="1">
        <v>42.360599999999998</v>
      </c>
      <c r="D837" s="1">
        <v>-71.010599999999997</v>
      </c>
      <c r="E837" s="5">
        <v>41023</v>
      </c>
      <c r="F837" s="1" t="str">
        <f t="shared" si="13"/>
        <v>April</v>
      </c>
      <c r="G837" s="1">
        <v>51</v>
      </c>
      <c r="H837" s="1">
        <v>0</v>
      </c>
      <c r="I837" s="1" t="str">
        <f>IF(Table1[[#This Row],[Temperature_F]]&lt;32,"Yes","No")</f>
        <v>No</v>
      </c>
      <c r="J837" s="1" t="str" cm="1">
        <f t="array" ref="J8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37" s="1" t="str" cm="1">
        <f t="array" ref="K837">_xlfn.IFS(
H837=0,"No Rain",
H837&lt;10,"Light",
H837&lt;50,"Moderate",
TRUE,"Heavy")</f>
        <v>No Rain</v>
      </c>
      <c r="L837" s="1" t="str">
        <f>IF(Table1[[#This Row],[Precipitation_mm]]&lt;&gt;0,"Wet","Dry")</f>
        <v>Dry</v>
      </c>
      <c r="M837" t="b">
        <f>OR(ISBLANK(Table1[[#This Row],[Temperature_F]]),ISERROR(Table1[[#This Row],[Temperature_F]]))</f>
        <v>0</v>
      </c>
    </row>
    <row r="838" spans="1:13" x14ac:dyDescent="0.25">
      <c r="A838" s="1" t="s">
        <v>1</v>
      </c>
      <c r="B838" s="1" t="s">
        <v>2</v>
      </c>
      <c r="C838" s="1">
        <v>42.360599999999998</v>
      </c>
      <c r="D838" s="1">
        <v>-71.010599999999997</v>
      </c>
      <c r="E838" s="5">
        <v>41024</v>
      </c>
      <c r="F838" s="1" t="str">
        <f t="shared" si="13"/>
        <v>April</v>
      </c>
      <c r="G838" s="1">
        <v>40</v>
      </c>
      <c r="H838" s="1">
        <v>0</v>
      </c>
      <c r="I838" s="1" t="str">
        <f>IF(Table1[[#This Row],[Temperature_F]]&lt;32,"Yes","No")</f>
        <v>No</v>
      </c>
      <c r="J838" s="1" t="str" cm="1">
        <f t="array" ref="J8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38" s="1" t="str" cm="1">
        <f t="array" ref="K838">_xlfn.IFS(
H838=0,"No Rain",
H838&lt;10,"Light",
H838&lt;50,"Moderate",
TRUE,"Heavy")</f>
        <v>No Rain</v>
      </c>
      <c r="L838" s="1" t="str">
        <f>IF(Table1[[#This Row],[Precipitation_mm]]&lt;&gt;0,"Wet","Dry")</f>
        <v>Dry</v>
      </c>
      <c r="M838" t="b">
        <f>OR(ISBLANK(Table1[[#This Row],[Temperature_F]]),ISERROR(Table1[[#This Row],[Temperature_F]]))</f>
        <v>0</v>
      </c>
    </row>
    <row r="839" spans="1:13" hidden="1" x14ac:dyDescent="0.25">
      <c r="A839" s="1" t="s">
        <v>1</v>
      </c>
      <c r="B839" s="1" t="s">
        <v>2</v>
      </c>
      <c r="C839" s="1">
        <v>42.360599999999998</v>
      </c>
      <c r="D839" s="1">
        <v>-71.010599999999997</v>
      </c>
      <c r="E839" s="5">
        <v>41025</v>
      </c>
      <c r="F839" s="1" t="str">
        <f t="shared" si="13"/>
        <v>April</v>
      </c>
      <c r="G839" s="1">
        <v>51</v>
      </c>
      <c r="H839" s="1">
        <v>0</v>
      </c>
      <c r="I839" s="1" t="str">
        <f>IF(Table1[[#This Row],[Temperature_F]]&lt;32,"Yes","No")</f>
        <v>No</v>
      </c>
      <c r="J839" s="1" t="str" cm="1">
        <f t="array" ref="J8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39" s="1" t="str" cm="1">
        <f t="array" ref="K839">_xlfn.IFS(
H839=0,"No Rain",
H839&lt;10,"Light",
H839&lt;50,"Moderate",
TRUE,"Heavy")</f>
        <v>No Rain</v>
      </c>
      <c r="L839" s="1" t="str">
        <f>IF(Table1[[#This Row],[Precipitation_mm]]&lt;&gt;0,"Wet","Dry")</f>
        <v>Dry</v>
      </c>
      <c r="M839" t="b">
        <f>OR(ISBLANK(Table1[[#This Row],[Temperature_F]]),ISERROR(Table1[[#This Row],[Temperature_F]]))</f>
        <v>0</v>
      </c>
    </row>
    <row r="840" spans="1:13" x14ac:dyDescent="0.25">
      <c r="A840" s="1" t="s">
        <v>1</v>
      </c>
      <c r="B840" s="1" t="s">
        <v>2</v>
      </c>
      <c r="C840" s="1">
        <v>42.360599999999998</v>
      </c>
      <c r="D840" s="1">
        <v>-71.010599999999997</v>
      </c>
      <c r="E840" s="5">
        <v>41026</v>
      </c>
      <c r="F840" s="1" t="str">
        <f t="shared" si="13"/>
        <v>April</v>
      </c>
      <c r="G840" s="1">
        <v>45</v>
      </c>
      <c r="H840" s="1">
        <v>0</v>
      </c>
      <c r="I840" s="1" t="str">
        <f>IF(Table1[[#This Row],[Temperature_F]]&lt;32,"Yes","No")</f>
        <v>No</v>
      </c>
      <c r="J840" s="1" t="str" cm="1">
        <f t="array" ref="J8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40" s="1" t="str" cm="1">
        <f t="array" ref="K840">_xlfn.IFS(
H840=0,"No Rain",
H840&lt;10,"Light",
H840&lt;50,"Moderate",
TRUE,"Heavy")</f>
        <v>No Rain</v>
      </c>
      <c r="L840" s="1" t="str">
        <f>IF(Table1[[#This Row],[Precipitation_mm]]&lt;&gt;0,"Wet","Dry")</f>
        <v>Dry</v>
      </c>
      <c r="M840" t="b">
        <f>OR(ISBLANK(Table1[[#This Row],[Temperature_F]]),ISERROR(Table1[[#This Row],[Temperature_F]]))</f>
        <v>0</v>
      </c>
    </row>
    <row r="841" spans="1:13" x14ac:dyDescent="0.25">
      <c r="A841" s="1" t="s">
        <v>1</v>
      </c>
      <c r="B841" s="1" t="s">
        <v>2</v>
      </c>
      <c r="C841" s="1">
        <v>42.360599999999998</v>
      </c>
      <c r="D841" s="1">
        <v>-71.010599999999997</v>
      </c>
      <c r="E841" s="5">
        <v>41027</v>
      </c>
      <c r="F841" s="1" t="str">
        <f t="shared" si="13"/>
        <v>April</v>
      </c>
      <c r="G841" s="1">
        <v>50</v>
      </c>
      <c r="H841" s="1">
        <v>0</v>
      </c>
      <c r="I841" s="1" t="str">
        <f>IF(Table1[[#This Row],[Temperature_F]]&lt;32,"Yes","No")</f>
        <v>No</v>
      </c>
      <c r="J841" s="1" t="str" cm="1">
        <f t="array" ref="J8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41" s="1" t="str" cm="1">
        <f t="array" ref="K841">_xlfn.IFS(
H841=0,"No Rain",
H841&lt;10,"Light",
H841&lt;50,"Moderate",
TRUE,"Heavy")</f>
        <v>No Rain</v>
      </c>
      <c r="L841" s="1" t="str">
        <f>IF(Table1[[#This Row],[Precipitation_mm]]&lt;&gt;0,"Wet","Dry")</f>
        <v>Dry</v>
      </c>
      <c r="M841" t="b">
        <f>OR(ISBLANK(Table1[[#This Row],[Temperature_F]]),ISERROR(Table1[[#This Row],[Temperature_F]]))</f>
        <v>0</v>
      </c>
    </row>
    <row r="842" spans="1:13" x14ac:dyDescent="0.25">
      <c r="A842" s="1" t="s">
        <v>1</v>
      </c>
      <c r="B842" s="1" t="s">
        <v>2</v>
      </c>
      <c r="C842" s="1">
        <v>42.360599999999998</v>
      </c>
      <c r="D842" s="1">
        <v>-71.010599999999997</v>
      </c>
      <c r="E842" s="5">
        <v>41028</v>
      </c>
      <c r="F842" s="1" t="str">
        <f t="shared" si="13"/>
        <v>April</v>
      </c>
      <c r="G842" s="1">
        <v>50</v>
      </c>
      <c r="H842" s="1">
        <v>0</v>
      </c>
      <c r="I842" s="1" t="str">
        <f>IF(Table1[[#This Row],[Temperature_F]]&lt;32,"Yes","No")</f>
        <v>No</v>
      </c>
      <c r="J842" s="1" t="str" cm="1">
        <f t="array" ref="J8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42" s="1" t="str" cm="1">
        <f t="array" ref="K842">_xlfn.IFS(
H842=0,"No Rain",
H842&lt;10,"Light",
H842&lt;50,"Moderate",
TRUE,"Heavy")</f>
        <v>No Rain</v>
      </c>
      <c r="L842" s="1" t="str">
        <f>IF(Table1[[#This Row],[Precipitation_mm]]&lt;&gt;0,"Wet","Dry")</f>
        <v>Dry</v>
      </c>
      <c r="M842" t="b">
        <f>OR(ISBLANK(Table1[[#This Row],[Temperature_F]]),ISERROR(Table1[[#This Row],[Temperature_F]]))</f>
        <v>0</v>
      </c>
    </row>
    <row r="843" spans="1:13" x14ac:dyDescent="0.25">
      <c r="A843" s="1" t="s">
        <v>1</v>
      </c>
      <c r="B843" s="1" t="s">
        <v>2</v>
      </c>
      <c r="C843" s="1">
        <v>42.360599999999998</v>
      </c>
      <c r="D843" s="1">
        <v>-71.010599999999997</v>
      </c>
      <c r="E843" s="5">
        <v>41029</v>
      </c>
      <c r="F843" s="1" t="str">
        <f t="shared" si="13"/>
        <v>April</v>
      </c>
      <c r="G843" s="1">
        <v>47</v>
      </c>
      <c r="H843" s="1">
        <v>0</v>
      </c>
      <c r="I843" s="1" t="str">
        <f>IF(Table1[[#This Row],[Temperature_F]]&lt;32,"Yes","No")</f>
        <v>No</v>
      </c>
      <c r="J843" s="1" t="str" cm="1">
        <f t="array" ref="J8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43" s="1" t="str" cm="1">
        <f t="array" ref="K843">_xlfn.IFS(
H843=0,"No Rain",
H843&lt;10,"Light",
H843&lt;50,"Moderate",
TRUE,"Heavy")</f>
        <v>No Rain</v>
      </c>
      <c r="L843" s="1" t="str">
        <f>IF(Table1[[#This Row],[Precipitation_mm]]&lt;&gt;0,"Wet","Dry")</f>
        <v>Dry</v>
      </c>
      <c r="M843" t="b">
        <f>OR(ISBLANK(Table1[[#This Row],[Temperature_F]]),ISERROR(Table1[[#This Row],[Temperature_F]]))</f>
        <v>0</v>
      </c>
    </row>
    <row r="844" spans="1:13" hidden="1" x14ac:dyDescent="0.25">
      <c r="A844" s="1" t="s">
        <v>1</v>
      </c>
      <c r="B844" s="1" t="s">
        <v>2</v>
      </c>
      <c r="C844" s="1">
        <v>42.360599999999998</v>
      </c>
      <c r="D844" s="1">
        <v>-71.010599999999997</v>
      </c>
      <c r="E844" s="5">
        <v>41030</v>
      </c>
      <c r="F844" s="1" t="str">
        <f t="shared" si="13"/>
        <v>May</v>
      </c>
      <c r="G844" s="1">
        <v>58</v>
      </c>
      <c r="H844" s="1">
        <v>152</v>
      </c>
      <c r="I844" s="1" t="str">
        <f>IF(Table1[[#This Row],[Temperature_F]]&lt;32,"Yes","No")</f>
        <v>No</v>
      </c>
      <c r="J844" s="1" t="str" cm="1">
        <f t="array" ref="J8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44" s="1" t="str" cm="1">
        <f t="array" ref="K844">_xlfn.IFS(
H844=0,"No Rain",
H844&lt;10,"Light",
H844&lt;50,"Moderate",
TRUE,"Heavy")</f>
        <v>Heavy</v>
      </c>
      <c r="L844" s="1" t="str">
        <f>IF(Table1[[#This Row],[Precipitation_mm]]&lt;&gt;0,"Wet","Dry")</f>
        <v>Wet</v>
      </c>
      <c r="M844" t="b">
        <f>OR(ISBLANK(Table1[[#This Row],[Temperature_F]]),ISERROR(Table1[[#This Row],[Temperature_F]]))</f>
        <v>0</v>
      </c>
    </row>
    <row r="845" spans="1:13" hidden="1" x14ac:dyDescent="0.25">
      <c r="A845" s="1" t="s">
        <v>1</v>
      </c>
      <c r="B845" s="1" t="s">
        <v>2</v>
      </c>
      <c r="C845" s="1">
        <v>42.360599999999998</v>
      </c>
      <c r="D845" s="1">
        <v>-71.010599999999997</v>
      </c>
      <c r="E845" s="5">
        <v>41031</v>
      </c>
      <c r="F845" s="1" t="str">
        <f t="shared" si="13"/>
        <v>May</v>
      </c>
      <c r="G845" s="1">
        <v>57</v>
      </c>
      <c r="H845" s="1">
        <v>0</v>
      </c>
      <c r="I845" s="1" t="str">
        <f>IF(Table1[[#This Row],[Temperature_F]]&lt;32,"Yes","No")</f>
        <v>No</v>
      </c>
      <c r="J845" s="1" t="str" cm="1">
        <f t="array" ref="J8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45" s="1" t="str" cm="1">
        <f t="array" ref="K845">_xlfn.IFS(
H845=0,"No Rain",
H845&lt;10,"Light",
H845&lt;50,"Moderate",
TRUE,"Heavy")</f>
        <v>No Rain</v>
      </c>
      <c r="L845" s="1" t="str">
        <f>IF(Table1[[#This Row],[Precipitation_mm]]&lt;&gt;0,"Wet","Dry")</f>
        <v>Dry</v>
      </c>
      <c r="M845" t="b">
        <f>OR(ISBLANK(Table1[[#This Row],[Temperature_F]]),ISERROR(Table1[[#This Row],[Temperature_F]]))</f>
        <v>0</v>
      </c>
    </row>
    <row r="846" spans="1:13" hidden="1" x14ac:dyDescent="0.25">
      <c r="A846" s="1" t="s">
        <v>1</v>
      </c>
      <c r="B846" s="1" t="s">
        <v>2</v>
      </c>
      <c r="C846" s="1">
        <v>42.360599999999998</v>
      </c>
      <c r="D846" s="1">
        <v>-71.010599999999997</v>
      </c>
      <c r="E846" s="5">
        <v>41032</v>
      </c>
      <c r="F846" s="1" t="str">
        <f t="shared" si="13"/>
        <v>May</v>
      </c>
      <c r="G846" s="1">
        <v>59</v>
      </c>
      <c r="H846" s="1">
        <v>10</v>
      </c>
      <c r="I846" s="1" t="str">
        <f>IF(Table1[[#This Row],[Temperature_F]]&lt;32,"Yes","No")</f>
        <v>No</v>
      </c>
      <c r="J846" s="1" t="str" cm="1">
        <f t="array" ref="J8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46" s="1" t="str" cm="1">
        <f t="array" ref="K846">_xlfn.IFS(
H846=0,"No Rain",
H846&lt;10,"Light",
H846&lt;50,"Moderate",
TRUE,"Heavy")</f>
        <v>Moderate</v>
      </c>
      <c r="L846" s="1" t="str">
        <f>IF(Table1[[#This Row],[Precipitation_mm]]&lt;&gt;0,"Wet","Dry")</f>
        <v>Wet</v>
      </c>
      <c r="M846" t="b">
        <f>OR(ISBLANK(Table1[[#This Row],[Temperature_F]]),ISERROR(Table1[[#This Row],[Temperature_F]]))</f>
        <v>0</v>
      </c>
    </row>
    <row r="847" spans="1:13" hidden="1" x14ac:dyDescent="0.25">
      <c r="A847" s="1" t="s">
        <v>1</v>
      </c>
      <c r="B847" s="1" t="s">
        <v>2</v>
      </c>
      <c r="C847" s="1">
        <v>42.360599999999998</v>
      </c>
      <c r="D847" s="1">
        <v>-71.010599999999997</v>
      </c>
      <c r="E847" s="5">
        <v>41033</v>
      </c>
      <c r="F847" s="1" t="str">
        <f t="shared" si="13"/>
        <v>May</v>
      </c>
      <c r="G847" s="1">
        <v>54</v>
      </c>
      <c r="H847" s="1">
        <v>3</v>
      </c>
      <c r="I847" s="1" t="str">
        <f>IF(Table1[[#This Row],[Temperature_F]]&lt;32,"Yes","No")</f>
        <v>No</v>
      </c>
      <c r="J847" s="1" t="str" cm="1">
        <f t="array" ref="J8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47" s="1" t="str" cm="1">
        <f t="array" ref="K847">_xlfn.IFS(
H847=0,"No Rain",
H847&lt;10,"Light",
H847&lt;50,"Moderate",
TRUE,"Heavy")</f>
        <v>Light</v>
      </c>
      <c r="L847" s="1" t="str">
        <f>IF(Table1[[#This Row],[Precipitation_mm]]&lt;&gt;0,"Wet","Dry")</f>
        <v>Wet</v>
      </c>
      <c r="M847" t="b">
        <f>OR(ISBLANK(Table1[[#This Row],[Temperature_F]]),ISERROR(Table1[[#This Row],[Temperature_F]]))</f>
        <v>0</v>
      </c>
    </row>
    <row r="848" spans="1:13" x14ac:dyDescent="0.25">
      <c r="A848" s="1" t="s">
        <v>1</v>
      </c>
      <c r="B848" s="1" t="s">
        <v>2</v>
      </c>
      <c r="C848" s="1">
        <v>42.360599999999998</v>
      </c>
      <c r="D848" s="1">
        <v>-71.010599999999997</v>
      </c>
      <c r="E848" s="5">
        <v>41034</v>
      </c>
      <c r="F848" s="1" t="str">
        <f t="shared" si="13"/>
        <v>May</v>
      </c>
      <c r="G848" s="1">
        <v>41</v>
      </c>
      <c r="H848" s="1">
        <v>23</v>
      </c>
      <c r="I848" s="1" t="str">
        <f>IF(Table1[[#This Row],[Temperature_F]]&lt;32,"Yes","No")</f>
        <v>No</v>
      </c>
      <c r="J848" s="1" t="str" cm="1">
        <f t="array" ref="J8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48" s="1" t="str" cm="1">
        <f t="array" ref="K848">_xlfn.IFS(
H848=0,"No Rain",
H848&lt;10,"Light",
H848&lt;50,"Moderate",
TRUE,"Heavy")</f>
        <v>Moderate</v>
      </c>
      <c r="L848" s="1" t="str">
        <f>IF(Table1[[#This Row],[Precipitation_mm]]&lt;&gt;0,"Wet","Dry")</f>
        <v>Wet</v>
      </c>
      <c r="M848" t="b">
        <f>OR(ISBLANK(Table1[[#This Row],[Temperature_F]]),ISERROR(Table1[[#This Row],[Temperature_F]]))</f>
        <v>0</v>
      </c>
    </row>
    <row r="849" spans="1:13" hidden="1" x14ac:dyDescent="0.25">
      <c r="A849" s="1" t="s">
        <v>1</v>
      </c>
      <c r="B849" s="1" t="s">
        <v>2</v>
      </c>
      <c r="C849" s="1">
        <v>42.360599999999998</v>
      </c>
      <c r="D849" s="1">
        <v>-71.010599999999997</v>
      </c>
      <c r="E849" s="5">
        <v>41035</v>
      </c>
      <c r="F849" s="1" t="str">
        <f t="shared" si="13"/>
        <v>May</v>
      </c>
      <c r="G849" s="1">
        <v>60</v>
      </c>
      <c r="H849" s="1">
        <v>0</v>
      </c>
      <c r="I849" s="1" t="str">
        <f>IF(Table1[[#This Row],[Temperature_F]]&lt;32,"Yes","No")</f>
        <v>No</v>
      </c>
      <c r="J849" s="1" t="str" cm="1">
        <f t="array" ref="J8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49" s="1" t="str" cm="1">
        <f t="array" ref="K849">_xlfn.IFS(
H849=0,"No Rain",
H849&lt;10,"Light",
H849&lt;50,"Moderate",
TRUE,"Heavy")</f>
        <v>No Rain</v>
      </c>
      <c r="L849" s="1" t="str">
        <f>IF(Table1[[#This Row],[Precipitation_mm]]&lt;&gt;0,"Wet","Dry")</f>
        <v>Dry</v>
      </c>
      <c r="M849" t="b">
        <f>OR(ISBLANK(Table1[[#This Row],[Temperature_F]]),ISERROR(Table1[[#This Row],[Temperature_F]]))</f>
        <v>0</v>
      </c>
    </row>
    <row r="850" spans="1:13" x14ac:dyDescent="0.25">
      <c r="A850" s="1" t="s">
        <v>1</v>
      </c>
      <c r="B850" s="1" t="s">
        <v>2</v>
      </c>
      <c r="C850" s="1">
        <v>42.360599999999998</v>
      </c>
      <c r="D850" s="1">
        <v>-71.010599999999997</v>
      </c>
      <c r="E850" s="5">
        <v>41036</v>
      </c>
      <c r="F850" s="1" t="str">
        <f t="shared" si="13"/>
        <v>May</v>
      </c>
      <c r="G850" s="1">
        <v>44</v>
      </c>
      <c r="H850" s="1">
        <v>0</v>
      </c>
      <c r="I850" s="1" t="str">
        <f>IF(Table1[[#This Row],[Temperature_F]]&lt;32,"Yes","No")</f>
        <v>No</v>
      </c>
      <c r="J850" s="1" t="str" cm="1">
        <f t="array" ref="J8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50" s="1" t="str" cm="1">
        <f t="array" ref="K850">_xlfn.IFS(
H850=0,"No Rain",
H850&lt;10,"Light",
H850&lt;50,"Moderate",
TRUE,"Heavy")</f>
        <v>No Rain</v>
      </c>
      <c r="L850" s="1" t="str">
        <f>IF(Table1[[#This Row],[Precipitation_mm]]&lt;&gt;0,"Wet","Dry")</f>
        <v>Dry</v>
      </c>
      <c r="M850" t="b">
        <f>OR(ISBLANK(Table1[[#This Row],[Temperature_F]]),ISERROR(Table1[[#This Row],[Temperature_F]]))</f>
        <v>0</v>
      </c>
    </row>
    <row r="851" spans="1:13" hidden="1" x14ac:dyDescent="0.25">
      <c r="A851" s="1" t="s">
        <v>1</v>
      </c>
      <c r="B851" s="1" t="s">
        <v>2</v>
      </c>
      <c r="C851" s="1">
        <v>42.360599999999998</v>
      </c>
      <c r="D851" s="1">
        <v>-71.010599999999997</v>
      </c>
      <c r="E851" s="5">
        <v>41037</v>
      </c>
      <c r="F851" s="1" t="str">
        <f t="shared" si="13"/>
        <v>May</v>
      </c>
      <c r="G851" s="1">
        <v>54</v>
      </c>
      <c r="H851" s="1">
        <v>41</v>
      </c>
      <c r="I851" s="1" t="str">
        <f>IF(Table1[[#This Row],[Temperature_F]]&lt;32,"Yes","No")</f>
        <v>No</v>
      </c>
      <c r="J851" s="1" t="str" cm="1">
        <f t="array" ref="J8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51" s="1" t="str" cm="1">
        <f t="array" ref="K851">_xlfn.IFS(
H851=0,"No Rain",
H851&lt;10,"Light",
H851&lt;50,"Moderate",
TRUE,"Heavy")</f>
        <v>Moderate</v>
      </c>
      <c r="L851" s="1" t="str">
        <f>IF(Table1[[#This Row],[Precipitation_mm]]&lt;&gt;0,"Wet","Dry")</f>
        <v>Wet</v>
      </c>
      <c r="M851" t="b">
        <f>OR(ISBLANK(Table1[[#This Row],[Temperature_F]]),ISERROR(Table1[[#This Row],[Temperature_F]]))</f>
        <v>0</v>
      </c>
    </row>
    <row r="852" spans="1:13" x14ac:dyDescent="0.25">
      <c r="A852" s="1" t="s">
        <v>1</v>
      </c>
      <c r="B852" s="1" t="s">
        <v>2</v>
      </c>
      <c r="C852" s="1">
        <v>42.360599999999998</v>
      </c>
      <c r="D852" s="1">
        <v>-71.010599999999997</v>
      </c>
      <c r="E852" s="5">
        <v>41038</v>
      </c>
      <c r="F852" s="1" t="str">
        <f t="shared" si="13"/>
        <v>May</v>
      </c>
      <c r="G852" s="1">
        <v>44</v>
      </c>
      <c r="H852" s="1">
        <v>66</v>
      </c>
      <c r="I852" s="1" t="str">
        <f>IF(Table1[[#This Row],[Temperature_F]]&lt;32,"Yes","No")</f>
        <v>No</v>
      </c>
      <c r="J852" s="1" t="str" cm="1">
        <f t="array" ref="J8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52" s="1" t="str" cm="1">
        <f t="array" ref="K852">_xlfn.IFS(
H852=0,"No Rain",
H852&lt;10,"Light",
H852&lt;50,"Moderate",
TRUE,"Heavy")</f>
        <v>Heavy</v>
      </c>
      <c r="L852" s="1" t="str">
        <f>IF(Table1[[#This Row],[Precipitation_mm]]&lt;&gt;0,"Wet","Dry")</f>
        <v>Wet</v>
      </c>
      <c r="M852" t="b">
        <f>OR(ISBLANK(Table1[[#This Row],[Temperature_F]]),ISERROR(Table1[[#This Row],[Temperature_F]]))</f>
        <v>0</v>
      </c>
    </row>
    <row r="853" spans="1:13" hidden="1" x14ac:dyDescent="0.25">
      <c r="A853" s="1" t="s">
        <v>1</v>
      </c>
      <c r="B853" s="1" t="s">
        <v>2</v>
      </c>
      <c r="C853" s="1">
        <v>42.360599999999998</v>
      </c>
      <c r="D853" s="1">
        <v>-71.010599999999997</v>
      </c>
      <c r="E853" s="5">
        <v>41039</v>
      </c>
      <c r="F853" s="1" t="str">
        <f t="shared" si="13"/>
        <v>May</v>
      </c>
      <c r="G853" s="1">
        <v>54</v>
      </c>
      <c r="H853" s="1">
        <v>216</v>
      </c>
      <c r="I853" s="1" t="str">
        <f>IF(Table1[[#This Row],[Temperature_F]]&lt;32,"Yes","No")</f>
        <v>No</v>
      </c>
      <c r="J853" s="1" t="str" cm="1">
        <f t="array" ref="J8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53" s="1" t="str" cm="1">
        <f t="array" ref="K853">_xlfn.IFS(
H853=0,"No Rain",
H853&lt;10,"Light",
H853&lt;50,"Moderate",
TRUE,"Heavy")</f>
        <v>Heavy</v>
      </c>
      <c r="L853" s="1" t="str">
        <f>IF(Table1[[#This Row],[Precipitation_mm]]&lt;&gt;0,"Wet","Dry")</f>
        <v>Wet</v>
      </c>
      <c r="M853" t="b">
        <f>OR(ISBLANK(Table1[[#This Row],[Temperature_F]]),ISERROR(Table1[[#This Row],[Temperature_F]]))</f>
        <v>0</v>
      </c>
    </row>
    <row r="854" spans="1:13" hidden="1" x14ac:dyDescent="0.25">
      <c r="A854" s="1" t="s">
        <v>1</v>
      </c>
      <c r="B854" s="1" t="s">
        <v>2</v>
      </c>
      <c r="C854" s="1">
        <v>42.360599999999998</v>
      </c>
      <c r="D854" s="1">
        <v>-71.010599999999997</v>
      </c>
      <c r="E854" s="5">
        <v>41040</v>
      </c>
      <c r="F854" s="1" t="str">
        <f t="shared" si="13"/>
        <v>May</v>
      </c>
      <c r="G854" s="1">
        <v>56</v>
      </c>
      <c r="H854" s="1">
        <v>0</v>
      </c>
      <c r="I854" s="1" t="str">
        <f>IF(Table1[[#This Row],[Temperature_F]]&lt;32,"Yes","No")</f>
        <v>No</v>
      </c>
      <c r="J854" s="1" t="str" cm="1">
        <f t="array" ref="J8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54" s="1" t="str" cm="1">
        <f t="array" ref="K854">_xlfn.IFS(
H854=0,"No Rain",
H854&lt;10,"Light",
H854&lt;50,"Moderate",
TRUE,"Heavy")</f>
        <v>No Rain</v>
      </c>
      <c r="L854" s="1" t="str">
        <f>IF(Table1[[#This Row],[Precipitation_mm]]&lt;&gt;0,"Wet","Dry")</f>
        <v>Dry</v>
      </c>
      <c r="M854" t="b">
        <f>OR(ISBLANK(Table1[[#This Row],[Temperature_F]]),ISERROR(Table1[[#This Row],[Temperature_F]]))</f>
        <v>0</v>
      </c>
    </row>
    <row r="855" spans="1:13" x14ac:dyDescent="0.25">
      <c r="A855" s="1" t="s">
        <v>1</v>
      </c>
      <c r="B855" s="1" t="s">
        <v>2</v>
      </c>
      <c r="C855" s="1">
        <v>42.360599999999998</v>
      </c>
      <c r="D855" s="1">
        <v>-71.010599999999997</v>
      </c>
      <c r="E855" s="5">
        <v>41041</v>
      </c>
      <c r="F855" s="1" t="str">
        <f t="shared" si="13"/>
        <v>May</v>
      </c>
      <c r="G855" s="1">
        <v>45</v>
      </c>
      <c r="H855" s="1">
        <v>0</v>
      </c>
      <c r="I855" s="1" t="str">
        <f>IF(Table1[[#This Row],[Temperature_F]]&lt;32,"Yes","No")</f>
        <v>No</v>
      </c>
      <c r="J855" s="1" t="str" cm="1">
        <f t="array" ref="J8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55" s="1" t="str" cm="1">
        <f t="array" ref="K855">_xlfn.IFS(
H855=0,"No Rain",
H855&lt;10,"Light",
H855&lt;50,"Moderate",
TRUE,"Heavy")</f>
        <v>No Rain</v>
      </c>
      <c r="L855" s="1" t="str">
        <f>IF(Table1[[#This Row],[Precipitation_mm]]&lt;&gt;0,"Wet","Dry")</f>
        <v>Dry</v>
      </c>
      <c r="M855" t="b">
        <f>OR(ISBLANK(Table1[[#This Row],[Temperature_F]]),ISERROR(Table1[[#This Row],[Temperature_F]]))</f>
        <v>0</v>
      </c>
    </row>
    <row r="856" spans="1:13" hidden="1" x14ac:dyDescent="0.25">
      <c r="A856" s="1" t="s">
        <v>1</v>
      </c>
      <c r="B856" s="1" t="s">
        <v>2</v>
      </c>
      <c r="C856" s="1">
        <v>42.360599999999998</v>
      </c>
      <c r="D856" s="1">
        <v>-71.010599999999997</v>
      </c>
      <c r="E856" s="5">
        <v>41042</v>
      </c>
      <c r="F856" s="1" t="str">
        <f t="shared" si="13"/>
        <v>May</v>
      </c>
      <c r="G856" s="1">
        <v>60</v>
      </c>
      <c r="H856" s="1">
        <v>0</v>
      </c>
      <c r="I856" s="1" t="str">
        <f>IF(Table1[[#This Row],[Temperature_F]]&lt;32,"Yes","No")</f>
        <v>No</v>
      </c>
      <c r="J856" s="1" t="str" cm="1">
        <f t="array" ref="J8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56" s="1" t="str" cm="1">
        <f t="array" ref="K856">_xlfn.IFS(
H856=0,"No Rain",
H856&lt;10,"Light",
H856&lt;50,"Moderate",
TRUE,"Heavy")</f>
        <v>No Rain</v>
      </c>
      <c r="L856" s="1" t="str">
        <f>IF(Table1[[#This Row],[Precipitation_mm]]&lt;&gt;0,"Wet","Dry")</f>
        <v>Dry</v>
      </c>
      <c r="M856" t="b">
        <f>OR(ISBLANK(Table1[[#This Row],[Temperature_F]]),ISERROR(Table1[[#This Row],[Temperature_F]]))</f>
        <v>0</v>
      </c>
    </row>
    <row r="857" spans="1:13" hidden="1" x14ac:dyDescent="0.25">
      <c r="A857" s="1" t="s">
        <v>1</v>
      </c>
      <c r="B857" s="1" t="s">
        <v>2</v>
      </c>
      <c r="C857" s="1">
        <v>42.360599999999998</v>
      </c>
      <c r="D857" s="1">
        <v>-71.010599999999997</v>
      </c>
      <c r="E857" s="5">
        <v>41043</v>
      </c>
      <c r="F857" s="1" t="str">
        <f t="shared" si="13"/>
        <v>May</v>
      </c>
      <c r="G857" s="1">
        <v>52</v>
      </c>
      <c r="H857" s="1">
        <v>23</v>
      </c>
      <c r="I857" s="1" t="str">
        <f>IF(Table1[[#This Row],[Temperature_F]]&lt;32,"Yes","No")</f>
        <v>No</v>
      </c>
      <c r="J857" s="1" t="str" cm="1">
        <f t="array" ref="J8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57" s="1" t="str" cm="1">
        <f t="array" ref="K857">_xlfn.IFS(
H857=0,"No Rain",
H857&lt;10,"Light",
H857&lt;50,"Moderate",
TRUE,"Heavy")</f>
        <v>Moderate</v>
      </c>
      <c r="L857" s="1" t="str">
        <f>IF(Table1[[#This Row],[Precipitation_mm]]&lt;&gt;0,"Wet","Dry")</f>
        <v>Wet</v>
      </c>
      <c r="M857" t="b">
        <f>OR(ISBLANK(Table1[[#This Row],[Temperature_F]]),ISERROR(Table1[[#This Row],[Temperature_F]]))</f>
        <v>0</v>
      </c>
    </row>
    <row r="858" spans="1:13" hidden="1" x14ac:dyDescent="0.25">
      <c r="A858" s="1" t="s">
        <v>1</v>
      </c>
      <c r="B858" s="1" t="s">
        <v>2</v>
      </c>
      <c r="C858" s="1">
        <v>42.360599999999998</v>
      </c>
      <c r="D858" s="1">
        <v>-71.010599999999997</v>
      </c>
      <c r="E858" s="5">
        <v>41044</v>
      </c>
      <c r="F858" s="1" t="str">
        <f t="shared" si="13"/>
        <v>May</v>
      </c>
      <c r="G858" s="1">
        <v>60</v>
      </c>
      <c r="H858" s="1">
        <v>127</v>
      </c>
      <c r="I858" s="1" t="str">
        <f>IF(Table1[[#This Row],[Temperature_F]]&lt;32,"Yes","No")</f>
        <v>No</v>
      </c>
      <c r="J858" s="1" t="str" cm="1">
        <f t="array" ref="J8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58" s="1" t="str" cm="1">
        <f t="array" ref="K858">_xlfn.IFS(
H858=0,"No Rain",
H858&lt;10,"Light",
H858&lt;50,"Moderate",
TRUE,"Heavy")</f>
        <v>Heavy</v>
      </c>
      <c r="L858" s="1" t="str">
        <f>IF(Table1[[#This Row],[Precipitation_mm]]&lt;&gt;0,"Wet","Dry")</f>
        <v>Wet</v>
      </c>
      <c r="M858" t="b">
        <f>OR(ISBLANK(Table1[[#This Row],[Temperature_F]]),ISERROR(Table1[[#This Row],[Temperature_F]]))</f>
        <v>0</v>
      </c>
    </row>
    <row r="859" spans="1:13" x14ac:dyDescent="0.25">
      <c r="A859" s="1" t="s">
        <v>1</v>
      </c>
      <c r="B859" s="1" t="s">
        <v>2</v>
      </c>
      <c r="C859" s="1">
        <v>42.360599999999998</v>
      </c>
      <c r="D859" s="1">
        <v>-71.010599999999997</v>
      </c>
      <c r="E859" s="5">
        <v>41045</v>
      </c>
      <c r="F859" s="1" t="str">
        <f t="shared" si="13"/>
        <v>May</v>
      </c>
      <c r="G859" s="1">
        <v>47</v>
      </c>
      <c r="H859" s="1">
        <v>15</v>
      </c>
      <c r="I859" s="1" t="str">
        <f>IF(Table1[[#This Row],[Temperature_F]]&lt;32,"Yes","No")</f>
        <v>No</v>
      </c>
      <c r="J859" s="1" t="str" cm="1">
        <f t="array" ref="J8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59" s="1" t="str" cm="1">
        <f t="array" ref="K859">_xlfn.IFS(
H859=0,"No Rain",
H859&lt;10,"Light",
H859&lt;50,"Moderate",
TRUE,"Heavy")</f>
        <v>Moderate</v>
      </c>
      <c r="L859" s="1" t="str">
        <f>IF(Table1[[#This Row],[Precipitation_mm]]&lt;&gt;0,"Wet","Dry")</f>
        <v>Wet</v>
      </c>
      <c r="M859" t="b">
        <f>OR(ISBLANK(Table1[[#This Row],[Temperature_F]]),ISERROR(Table1[[#This Row],[Temperature_F]]))</f>
        <v>0</v>
      </c>
    </row>
    <row r="860" spans="1:13" hidden="1" x14ac:dyDescent="0.25">
      <c r="A860" s="1" t="s">
        <v>1</v>
      </c>
      <c r="B860" s="1" t="s">
        <v>2</v>
      </c>
      <c r="C860" s="1">
        <v>42.360599999999998</v>
      </c>
      <c r="D860" s="1">
        <v>-71.010599999999997</v>
      </c>
      <c r="E860" s="5">
        <v>41046</v>
      </c>
      <c r="F860" s="1" t="str">
        <f t="shared" si="13"/>
        <v>May</v>
      </c>
      <c r="G860" s="1">
        <v>52</v>
      </c>
      <c r="H860" s="1">
        <v>0</v>
      </c>
      <c r="I860" s="1" t="str">
        <f>IF(Table1[[#This Row],[Temperature_F]]&lt;32,"Yes","No")</f>
        <v>No</v>
      </c>
      <c r="J860" s="1" t="str" cm="1">
        <f t="array" ref="J8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60" s="1" t="str" cm="1">
        <f t="array" ref="K860">_xlfn.IFS(
H860=0,"No Rain",
H860&lt;10,"Light",
H860&lt;50,"Moderate",
TRUE,"Heavy")</f>
        <v>No Rain</v>
      </c>
      <c r="L860" s="1" t="str">
        <f>IF(Table1[[#This Row],[Precipitation_mm]]&lt;&gt;0,"Wet","Dry")</f>
        <v>Dry</v>
      </c>
      <c r="M860" t="b">
        <f>OR(ISBLANK(Table1[[#This Row],[Temperature_F]]),ISERROR(Table1[[#This Row],[Temperature_F]]))</f>
        <v>0</v>
      </c>
    </row>
    <row r="861" spans="1:13" x14ac:dyDescent="0.25">
      <c r="A861" s="1" t="s">
        <v>1</v>
      </c>
      <c r="B861" s="1" t="s">
        <v>2</v>
      </c>
      <c r="C861" s="1">
        <v>42.360599999999998</v>
      </c>
      <c r="D861" s="1">
        <v>-71.010599999999997</v>
      </c>
      <c r="E861" s="5">
        <v>41047</v>
      </c>
      <c r="F861" s="1" t="str">
        <f t="shared" si="13"/>
        <v>May</v>
      </c>
      <c r="G861" s="1">
        <v>48</v>
      </c>
      <c r="H861" s="1">
        <v>0</v>
      </c>
      <c r="I861" s="1" t="str">
        <f>IF(Table1[[#This Row],[Temperature_F]]&lt;32,"Yes","No")</f>
        <v>No</v>
      </c>
      <c r="J861" s="1" t="str" cm="1">
        <f t="array" ref="J8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61" s="1" t="str" cm="1">
        <f t="array" ref="K861">_xlfn.IFS(
H861=0,"No Rain",
H861&lt;10,"Light",
H861&lt;50,"Moderate",
TRUE,"Heavy")</f>
        <v>No Rain</v>
      </c>
      <c r="L861" s="1" t="str">
        <f>IF(Table1[[#This Row],[Precipitation_mm]]&lt;&gt;0,"Wet","Dry")</f>
        <v>Dry</v>
      </c>
      <c r="M861" t="b">
        <f>OR(ISBLANK(Table1[[#This Row],[Temperature_F]]),ISERROR(Table1[[#This Row],[Temperature_F]]))</f>
        <v>0</v>
      </c>
    </row>
    <row r="862" spans="1:13" hidden="1" x14ac:dyDescent="0.25">
      <c r="A862" s="1" t="s">
        <v>1</v>
      </c>
      <c r="B862" s="1" t="s">
        <v>2</v>
      </c>
      <c r="C862" s="1">
        <v>42.360599999999998</v>
      </c>
      <c r="D862" s="1">
        <v>-71.010599999999997</v>
      </c>
      <c r="E862" s="5">
        <v>41048</v>
      </c>
      <c r="F862" s="1" t="str">
        <f t="shared" si="13"/>
        <v>May</v>
      </c>
      <c r="G862" s="1">
        <v>56</v>
      </c>
      <c r="H862" s="1">
        <v>0</v>
      </c>
      <c r="I862" s="1" t="str">
        <f>IF(Table1[[#This Row],[Temperature_F]]&lt;32,"Yes","No")</f>
        <v>No</v>
      </c>
      <c r="J862" s="1" t="str" cm="1">
        <f t="array" ref="J8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62" s="1" t="str" cm="1">
        <f t="array" ref="K862">_xlfn.IFS(
H862=0,"No Rain",
H862&lt;10,"Light",
H862&lt;50,"Moderate",
TRUE,"Heavy")</f>
        <v>No Rain</v>
      </c>
      <c r="L862" s="1" t="str">
        <f>IF(Table1[[#This Row],[Precipitation_mm]]&lt;&gt;0,"Wet","Dry")</f>
        <v>Dry</v>
      </c>
      <c r="M862" t="b">
        <f>OR(ISBLANK(Table1[[#This Row],[Temperature_F]]),ISERROR(Table1[[#This Row],[Temperature_F]]))</f>
        <v>0</v>
      </c>
    </row>
    <row r="863" spans="1:13" hidden="1" x14ac:dyDescent="0.25">
      <c r="A863" s="1" t="s">
        <v>1</v>
      </c>
      <c r="B863" s="1" t="s">
        <v>2</v>
      </c>
      <c r="C863" s="1">
        <v>42.360599999999998</v>
      </c>
      <c r="D863" s="1">
        <v>-71.010599999999997</v>
      </c>
      <c r="E863" s="5">
        <v>41049</v>
      </c>
      <c r="F863" s="1" t="str">
        <f t="shared" si="13"/>
        <v>May</v>
      </c>
      <c r="G863" s="1">
        <v>54</v>
      </c>
      <c r="H863" s="1">
        <v>0</v>
      </c>
      <c r="I863" s="1" t="str">
        <f>IF(Table1[[#This Row],[Temperature_F]]&lt;32,"Yes","No")</f>
        <v>No</v>
      </c>
      <c r="J863" s="1" t="str" cm="1">
        <f t="array" ref="J8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63" s="1" t="str" cm="1">
        <f t="array" ref="K863">_xlfn.IFS(
H863=0,"No Rain",
H863&lt;10,"Light",
H863&lt;50,"Moderate",
TRUE,"Heavy")</f>
        <v>No Rain</v>
      </c>
      <c r="L863" s="1" t="str">
        <f>IF(Table1[[#This Row],[Precipitation_mm]]&lt;&gt;0,"Wet","Dry")</f>
        <v>Dry</v>
      </c>
      <c r="M863" t="b">
        <f>OR(ISBLANK(Table1[[#This Row],[Temperature_F]]),ISERROR(Table1[[#This Row],[Temperature_F]]))</f>
        <v>0</v>
      </c>
    </row>
    <row r="864" spans="1:13" x14ac:dyDescent="0.25">
      <c r="A864" s="1" t="s">
        <v>1</v>
      </c>
      <c r="B864" s="1" t="s">
        <v>2</v>
      </c>
      <c r="C864" s="1">
        <v>42.360599999999998</v>
      </c>
      <c r="D864" s="1">
        <v>-71.010599999999997</v>
      </c>
      <c r="E864" s="5">
        <v>41050</v>
      </c>
      <c r="F864" s="1" t="str">
        <f t="shared" si="13"/>
        <v>May</v>
      </c>
      <c r="G864" s="1">
        <v>50</v>
      </c>
      <c r="H864" s="1">
        <v>5</v>
      </c>
      <c r="I864" s="1" t="str">
        <f>IF(Table1[[#This Row],[Temperature_F]]&lt;32,"Yes","No")</f>
        <v>No</v>
      </c>
      <c r="J864" s="1" t="str" cm="1">
        <f t="array" ref="J8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64" s="1" t="str" cm="1">
        <f t="array" ref="K864">_xlfn.IFS(
H864=0,"No Rain",
H864&lt;10,"Light",
H864&lt;50,"Moderate",
TRUE,"Heavy")</f>
        <v>Light</v>
      </c>
      <c r="L864" s="1" t="str">
        <f>IF(Table1[[#This Row],[Precipitation_mm]]&lt;&gt;0,"Wet","Dry")</f>
        <v>Wet</v>
      </c>
      <c r="M864" t="b">
        <f>OR(ISBLANK(Table1[[#This Row],[Temperature_F]]),ISERROR(Table1[[#This Row],[Temperature_F]]))</f>
        <v>0</v>
      </c>
    </row>
    <row r="865" spans="1:13" x14ac:dyDescent="0.25">
      <c r="A865" s="1" t="s">
        <v>1</v>
      </c>
      <c r="B865" s="1" t="s">
        <v>2</v>
      </c>
      <c r="C865" s="1">
        <v>42.360599999999998</v>
      </c>
      <c r="D865" s="1">
        <v>-71.010599999999997</v>
      </c>
      <c r="E865" s="5">
        <v>41051</v>
      </c>
      <c r="F865" s="1" t="str">
        <f t="shared" si="13"/>
        <v>May</v>
      </c>
      <c r="G865" s="1">
        <v>46</v>
      </c>
      <c r="H865" s="1">
        <v>147</v>
      </c>
      <c r="I865" s="1" t="str">
        <f>IF(Table1[[#This Row],[Temperature_F]]&lt;32,"Yes","No")</f>
        <v>No</v>
      </c>
      <c r="J865" s="1" t="str" cm="1">
        <f t="array" ref="J8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65" s="1" t="str" cm="1">
        <f t="array" ref="K865">_xlfn.IFS(
H865=0,"No Rain",
H865&lt;10,"Light",
H865&lt;50,"Moderate",
TRUE,"Heavy")</f>
        <v>Heavy</v>
      </c>
      <c r="L865" s="1" t="str">
        <f>IF(Table1[[#This Row],[Precipitation_mm]]&lt;&gt;0,"Wet","Dry")</f>
        <v>Wet</v>
      </c>
      <c r="M865" t="b">
        <f>OR(ISBLANK(Table1[[#This Row],[Temperature_F]]),ISERROR(Table1[[#This Row],[Temperature_F]]))</f>
        <v>0</v>
      </c>
    </row>
    <row r="866" spans="1:13" hidden="1" x14ac:dyDescent="0.25">
      <c r="A866" s="1" t="s">
        <v>1</v>
      </c>
      <c r="B866" s="1" t="s">
        <v>2</v>
      </c>
      <c r="C866" s="1">
        <v>42.360599999999998</v>
      </c>
      <c r="D866" s="1">
        <v>-71.010599999999997</v>
      </c>
      <c r="E866" s="5">
        <v>41052</v>
      </c>
      <c r="F866" s="1" t="str">
        <f t="shared" si="13"/>
        <v>May</v>
      </c>
      <c r="G866" s="1">
        <v>53</v>
      </c>
      <c r="H866" s="1">
        <v>0</v>
      </c>
      <c r="I866" s="1" t="str">
        <f>IF(Table1[[#This Row],[Temperature_F]]&lt;32,"Yes","No")</f>
        <v>No</v>
      </c>
      <c r="J866" s="1" t="str" cm="1">
        <f t="array" ref="J8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66" s="1" t="str" cm="1">
        <f t="array" ref="K866">_xlfn.IFS(
H866=0,"No Rain",
H866&lt;10,"Light",
H866&lt;50,"Moderate",
TRUE,"Heavy")</f>
        <v>No Rain</v>
      </c>
      <c r="L866" s="1" t="str">
        <f>IF(Table1[[#This Row],[Precipitation_mm]]&lt;&gt;0,"Wet","Dry")</f>
        <v>Dry</v>
      </c>
      <c r="M866" t="b">
        <f>OR(ISBLANK(Table1[[#This Row],[Temperature_F]]),ISERROR(Table1[[#This Row],[Temperature_F]]))</f>
        <v>0</v>
      </c>
    </row>
    <row r="867" spans="1:13" hidden="1" x14ac:dyDescent="0.25">
      <c r="A867" s="1" t="s">
        <v>1</v>
      </c>
      <c r="B867" s="1" t="s">
        <v>2</v>
      </c>
      <c r="C867" s="1">
        <v>42.360599999999998</v>
      </c>
      <c r="D867" s="1">
        <v>-71.010599999999997</v>
      </c>
      <c r="E867" s="5">
        <v>41053</v>
      </c>
      <c r="F867" s="1" t="str">
        <f t="shared" si="13"/>
        <v>May</v>
      </c>
      <c r="G867" s="1">
        <v>59</v>
      </c>
      <c r="H867" s="1">
        <v>0</v>
      </c>
      <c r="I867" s="1" t="str">
        <f>IF(Table1[[#This Row],[Temperature_F]]&lt;32,"Yes","No")</f>
        <v>No</v>
      </c>
      <c r="J867" s="1" t="str" cm="1">
        <f t="array" ref="J8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67" s="1" t="str" cm="1">
        <f t="array" ref="K867">_xlfn.IFS(
H867=0,"No Rain",
H867&lt;10,"Light",
H867&lt;50,"Moderate",
TRUE,"Heavy")</f>
        <v>No Rain</v>
      </c>
      <c r="L867" s="1" t="str">
        <f>IF(Table1[[#This Row],[Precipitation_mm]]&lt;&gt;0,"Wet","Dry")</f>
        <v>Dry</v>
      </c>
      <c r="M867" t="b">
        <f>OR(ISBLANK(Table1[[#This Row],[Temperature_F]]),ISERROR(Table1[[#This Row],[Temperature_F]]))</f>
        <v>0</v>
      </c>
    </row>
    <row r="868" spans="1:13" hidden="1" x14ac:dyDescent="0.25">
      <c r="A868" s="1" t="s">
        <v>1</v>
      </c>
      <c r="B868" s="1" t="s">
        <v>2</v>
      </c>
      <c r="C868" s="1">
        <v>42.360599999999998</v>
      </c>
      <c r="D868" s="1">
        <v>-71.010599999999997</v>
      </c>
      <c r="E868" s="5">
        <v>41054</v>
      </c>
      <c r="F868" s="1" t="str">
        <f t="shared" si="13"/>
        <v>May</v>
      </c>
      <c r="G868" s="1">
        <v>56</v>
      </c>
      <c r="H868" s="1">
        <v>0</v>
      </c>
      <c r="I868" s="1" t="str">
        <f>IF(Table1[[#This Row],[Temperature_F]]&lt;32,"Yes","No")</f>
        <v>No</v>
      </c>
      <c r="J868" s="1" t="str" cm="1">
        <f t="array" ref="J8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68" s="1" t="str" cm="1">
        <f t="array" ref="K868">_xlfn.IFS(
H868=0,"No Rain",
H868&lt;10,"Light",
H868&lt;50,"Moderate",
TRUE,"Heavy")</f>
        <v>No Rain</v>
      </c>
      <c r="L868" s="1" t="str">
        <f>IF(Table1[[#This Row],[Precipitation_mm]]&lt;&gt;0,"Wet","Dry")</f>
        <v>Dry</v>
      </c>
      <c r="M868" t="b">
        <f>OR(ISBLANK(Table1[[#This Row],[Temperature_F]]),ISERROR(Table1[[#This Row],[Temperature_F]]))</f>
        <v>0</v>
      </c>
    </row>
    <row r="869" spans="1:13" x14ac:dyDescent="0.25">
      <c r="A869" s="1" t="s">
        <v>1</v>
      </c>
      <c r="B869" s="1" t="s">
        <v>2</v>
      </c>
      <c r="C869" s="1">
        <v>42.360599999999998</v>
      </c>
      <c r="D869" s="1">
        <v>-71.010599999999997</v>
      </c>
      <c r="E869" s="5">
        <v>41055</v>
      </c>
      <c r="F869" s="1" t="str">
        <f t="shared" si="13"/>
        <v>May</v>
      </c>
      <c r="G869" s="1">
        <v>46</v>
      </c>
      <c r="H869" s="1">
        <v>0</v>
      </c>
      <c r="I869" s="1" t="str">
        <f>IF(Table1[[#This Row],[Temperature_F]]&lt;32,"Yes","No")</f>
        <v>No</v>
      </c>
      <c r="J869" s="1" t="str" cm="1">
        <f t="array" ref="J8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69" s="1" t="str" cm="1">
        <f t="array" ref="K869">_xlfn.IFS(
H869=0,"No Rain",
H869&lt;10,"Light",
H869&lt;50,"Moderate",
TRUE,"Heavy")</f>
        <v>No Rain</v>
      </c>
      <c r="L869" s="1" t="str">
        <f>IF(Table1[[#This Row],[Precipitation_mm]]&lt;&gt;0,"Wet","Dry")</f>
        <v>Dry</v>
      </c>
      <c r="M869" t="b">
        <f>OR(ISBLANK(Table1[[#This Row],[Temperature_F]]),ISERROR(Table1[[#This Row],[Temperature_F]]))</f>
        <v>0</v>
      </c>
    </row>
    <row r="870" spans="1:13" x14ac:dyDescent="0.25">
      <c r="A870" s="1" t="s">
        <v>1</v>
      </c>
      <c r="B870" s="1" t="s">
        <v>2</v>
      </c>
      <c r="C870" s="1">
        <v>42.360599999999998</v>
      </c>
      <c r="D870" s="1">
        <v>-71.010599999999997</v>
      </c>
      <c r="E870" s="5">
        <v>41056</v>
      </c>
      <c r="F870" s="1" t="str">
        <f t="shared" si="13"/>
        <v>May</v>
      </c>
      <c r="G870" s="1">
        <v>43</v>
      </c>
      <c r="H870" s="1">
        <v>0</v>
      </c>
      <c r="I870" s="1" t="str">
        <f>IF(Table1[[#This Row],[Temperature_F]]&lt;32,"Yes","No")</f>
        <v>No</v>
      </c>
      <c r="J870" s="1" t="str" cm="1">
        <f t="array" ref="J8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70" s="1" t="str" cm="1">
        <f t="array" ref="K870">_xlfn.IFS(
H870=0,"No Rain",
H870&lt;10,"Light",
H870&lt;50,"Moderate",
TRUE,"Heavy")</f>
        <v>No Rain</v>
      </c>
      <c r="L870" s="1" t="str">
        <f>IF(Table1[[#This Row],[Precipitation_mm]]&lt;&gt;0,"Wet","Dry")</f>
        <v>Dry</v>
      </c>
      <c r="M870" t="b">
        <f>OR(ISBLANK(Table1[[#This Row],[Temperature_F]]),ISERROR(Table1[[#This Row],[Temperature_F]]))</f>
        <v>0</v>
      </c>
    </row>
    <row r="871" spans="1:13" x14ac:dyDescent="0.25">
      <c r="A871" s="1" t="s">
        <v>1</v>
      </c>
      <c r="B871" s="1" t="s">
        <v>2</v>
      </c>
      <c r="C871" s="1">
        <v>42.360599999999998</v>
      </c>
      <c r="D871" s="1">
        <v>-71.010599999999997</v>
      </c>
      <c r="E871" s="5">
        <v>41057</v>
      </c>
      <c r="F871" s="1" t="str">
        <f t="shared" si="13"/>
        <v>May</v>
      </c>
      <c r="G871" s="1">
        <v>44</v>
      </c>
      <c r="H871" s="1">
        <v>0</v>
      </c>
      <c r="I871" s="1" t="str">
        <f>IF(Table1[[#This Row],[Temperature_F]]&lt;32,"Yes","No")</f>
        <v>No</v>
      </c>
      <c r="J871" s="1" t="str" cm="1">
        <f t="array" ref="J8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71" s="1" t="str" cm="1">
        <f t="array" ref="K871">_xlfn.IFS(
H871=0,"No Rain",
H871&lt;10,"Light",
H871&lt;50,"Moderate",
TRUE,"Heavy")</f>
        <v>No Rain</v>
      </c>
      <c r="L871" s="1" t="str">
        <f>IF(Table1[[#This Row],[Precipitation_mm]]&lt;&gt;0,"Wet","Dry")</f>
        <v>Dry</v>
      </c>
      <c r="M871" t="b">
        <f>OR(ISBLANK(Table1[[#This Row],[Temperature_F]]),ISERROR(Table1[[#This Row],[Temperature_F]]))</f>
        <v>0</v>
      </c>
    </row>
    <row r="872" spans="1:13" hidden="1" x14ac:dyDescent="0.25">
      <c r="A872" s="1" t="s">
        <v>1</v>
      </c>
      <c r="B872" s="1" t="s">
        <v>2</v>
      </c>
      <c r="C872" s="1">
        <v>42.360599999999998</v>
      </c>
      <c r="D872" s="1">
        <v>-71.010599999999997</v>
      </c>
      <c r="E872" s="5">
        <v>41058</v>
      </c>
      <c r="F872" s="1" t="str">
        <f t="shared" si="13"/>
        <v>May</v>
      </c>
      <c r="G872" s="1">
        <v>60</v>
      </c>
      <c r="H872" s="1">
        <v>43</v>
      </c>
      <c r="I872" s="1" t="str">
        <f>IF(Table1[[#This Row],[Temperature_F]]&lt;32,"Yes","No")</f>
        <v>No</v>
      </c>
      <c r="J872" s="1" t="str" cm="1">
        <f t="array" ref="J8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72" s="1" t="str" cm="1">
        <f t="array" ref="K872">_xlfn.IFS(
H872=0,"No Rain",
H872&lt;10,"Light",
H872&lt;50,"Moderate",
TRUE,"Heavy")</f>
        <v>Moderate</v>
      </c>
      <c r="L872" s="1" t="str">
        <f>IF(Table1[[#This Row],[Precipitation_mm]]&lt;&gt;0,"Wet","Dry")</f>
        <v>Wet</v>
      </c>
      <c r="M872" t="b">
        <f>OR(ISBLANK(Table1[[#This Row],[Temperature_F]]),ISERROR(Table1[[#This Row],[Temperature_F]]))</f>
        <v>0</v>
      </c>
    </row>
    <row r="873" spans="1:13" x14ac:dyDescent="0.25">
      <c r="A873" s="1" t="s">
        <v>1</v>
      </c>
      <c r="B873" s="1" t="s">
        <v>2</v>
      </c>
      <c r="C873" s="1">
        <v>42.360599999999998</v>
      </c>
      <c r="D873" s="1">
        <v>-71.010599999999997</v>
      </c>
      <c r="E873" s="5">
        <v>41059</v>
      </c>
      <c r="F873" s="1" t="str">
        <f t="shared" si="13"/>
        <v>May</v>
      </c>
      <c r="G873" s="1">
        <v>42</v>
      </c>
      <c r="H873" s="1">
        <v>0</v>
      </c>
      <c r="I873" s="1" t="str">
        <f>IF(Table1[[#This Row],[Temperature_F]]&lt;32,"Yes","No")</f>
        <v>No</v>
      </c>
      <c r="J873" s="1" t="str" cm="1">
        <f t="array" ref="J8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73" s="1" t="str" cm="1">
        <f t="array" ref="K873">_xlfn.IFS(
H873=0,"No Rain",
H873&lt;10,"Light",
H873&lt;50,"Moderate",
TRUE,"Heavy")</f>
        <v>No Rain</v>
      </c>
      <c r="L873" s="1" t="str">
        <f>IF(Table1[[#This Row],[Precipitation_mm]]&lt;&gt;0,"Wet","Dry")</f>
        <v>Dry</v>
      </c>
      <c r="M873" t="b">
        <f>OR(ISBLANK(Table1[[#This Row],[Temperature_F]]),ISERROR(Table1[[#This Row],[Temperature_F]]))</f>
        <v>0</v>
      </c>
    </row>
    <row r="874" spans="1:13" x14ac:dyDescent="0.25">
      <c r="A874" s="1" t="s">
        <v>1</v>
      </c>
      <c r="B874" s="1" t="s">
        <v>2</v>
      </c>
      <c r="C874" s="1">
        <v>42.360599999999998</v>
      </c>
      <c r="D874" s="1">
        <v>-71.010599999999997</v>
      </c>
      <c r="E874" s="5">
        <v>41060</v>
      </c>
      <c r="F874" s="1" t="str">
        <f t="shared" si="13"/>
        <v>May</v>
      </c>
      <c r="G874" s="1">
        <v>45</v>
      </c>
      <c r="H874" s="1">
        <v>0</v>
      </c>
      <c r="I874" s="1" t="str">
        <f>IF(Table1[[#This Row],[Temperature_F]]&lt;32,"Yes","No")</f>
        <v>No</v>
      </c>
      <c r="J874" s="1" t="str" cm="1">
        <f t="array" ref="J8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874" s="1" t="str" cm="1">
        <f t="array" ref="K874">_xlfn.IFS(
H874=0,"No Rain",
H874&lt;10,"Light",
H874&lt;50,"Moderate",
TRUE,"Heavy")</f>
        <v>No Rain</v>
      </c>
      <c r="L874" s="1" t="str">
        <f>IF(Table1[[#This Row],[Precipitation_mm]]&lt;&gt;0,"Wet","Dry")</f>
        <v>Dry</v>
      </c>
      <c r="M874" t="b">
        <f>OR(ISBLANK(Table1[[#This Row],[Temperature_F]]),ISERROR(Table1[[#This Row],[Temperature_F]]))</f>
        <v>0</v>
      </c>
    </row>
    <row r="875" spans="1:13" hidden="1" x14ac:dyDescent="0.25">
      <c r="A875" s="1" t="s">
        <v>1</v>
      </c>
      <c r="B875" s="1" t="s">
        <v>2</v>
      </c>
      <c r="C875" s="1">
        <v>42.360599999999998</v>
      </c>
      <c r="D875" s="1">
        <v>-71.010599999999997</v>
      </c>
      <c r="E875" s="5">
        <v>41061</v>
      </c>
      <c r="F875" s="1" t="str">
        <f t="shared" si="13"/>
        <v>June</v>
      </c>
      <c r="G875" s="1">
        <v>82</v>
      </c>
      <c r="H875" s="1">
        <v>0</v>
      </c>
      <c r="I875" s="1" t="str">
        <f>IF(Table1[[#This Row],[Temperature_F]]&lt;32,"Yes","No")</f>
        <v>No</v>
      </c>
      <c r="J875" s="1" t="str" cm="1">
        <f t="array" ref="J8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75" s="1" t="str" cm="1">
        <f t="array" ref="K875">_xlfn.IFS(
H875=0,"No Rain",
H875&lt;10,"Light",
H875&lt;50,"Moderate",
TRUE,"Heavy")</f>
        <v>No Rain</v>
      </c>
      <c r="L875" s="1" t="str">
        <f>IF(Table1[[#This Row],[Precipitation_mm]]&lt;&gt;0,"Wet","Dry")</f>
        <v>Dry</v>
      </c>
      <c r="M875" t="b">
        <f>OR(ISBLANK(Table1[[#This Row],[Temperature_F]]),ISERROR(Table1[[#This Row],[Temperature_F]]))</f>
        <v>0</v>
      </c>
    </row>
    <row r="876" spans="1:13" hidden="1" x14ac:dyDescent="0.25">
      <c r="A876" s="1" t="s">
        <v>1</v>
      </c>
      <c r="B876" s="1" t="s">
        <v>2</v>
      </c>
      <c r="C876" s="1">
        <v>42.360599999999998</v>
      </c>
      <c r="D876" s="1">
        <v>-71.010599999999997</v>
      </c>
      <c r="E876" s="5">
        <v>41062</v>
      </c>
      <c r="F876" s="1" t="str">
        <f t="shared" si="13"/>
        <v>June</v>
      </c>
      <c r="G876" s="1">
        <v>85</v>
      </c>
      <c r="H876" s="1">
        <v>287</v>
      </c>
      <c r="I876" s="1" t="str">
        <f>IF(Table1[[#This Row],[Temperature_F]]&lt;32,"Yes","No")</f>
        <v>No</v>
      </c>
      <c r="J876" s="1" t="str" cm="1">
        <f t="array" ref="J8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76" s="1" t="str" cm="1">
        <f t="array" ref="K876">_xlfn.IFS(
H876=0,"No Rain",
H876&lt;10,"Light",
H876&lt;50,"Moderate",
TRUE,"Heavy")</f>
        <v>Heavy</v>
      </c>
      <c r="L876" s="1" t="str">
        <f>IF(Table1[[#This Row],[Precipitation_mm]]&lt;&gt;0,"Wet","Dry")</f>
        <v>Wet</v>
      </c>
      <c r="M876" t="b">
        <f>OR(ISBLANK(Table1[[#This Row],[Temperature_F]]),ISERROR(Table1[[#This Row],[Temperature_F]]))</f>
        <v>0</v>
      </c>
    </row>
    <row r="877" spans="1:13" hidden="1" x14ac:dyDescent="0.25">
      <c r="A877" s="1" t="s">
        <v>1</v>
      </c>
      <c r="B877" s="1" t="s">
        <v>2</v>
      </c>
      <c r="C877" s="1">
        <v>42.360599999999998</v>
      </c>
      <c r="D877" s="1">
        <v>-71.010599999999997</v>
      </c>
      <c r="E877" s="5">
        <v>41063</v>
      </c>
      <c r="F877" s="1" t="str">
        <f t="shared" si="13"/>
        <v>June</v>
      </c>
      <c r="G877" s="1">
        <v>68</v>
      </c>
      <c r="H877" s="1">
        <v>3</v>
      </c>
      <c r="I877" s="1" t="str">
        <f>IF(Table1[[#This Row],[Temperature_F]]&lt;32,"Yes","No")</f>
        <v>No</v>
      </c>
      <c r="J877" s="1" t="str" cm="1">
        <f t="array" ref="J8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77" s="1" t="str" cm="1">
        <f t="array" ref="K877">_xlfn.IFS(
H877=0,"No Rain",
H877&lt;10,"Light",
H877&lt;50,"Moderate",
TRUE,"Heavy")</f>
        <v>Light</v>
      </c>
      <c r="L877" s="1" t="str">
        <f>IF(Table1[[#This Row],[Precipitation_mm]]&lt;&gt;0,"Wet","Dry")</f>
        <v>Wet</v>
      </c>
      <c r="M877" t="b">
        <f>OR(ISBLANK(Table1[[#This Row],[Temperature_F]]),ISERROR(Table1[[#This Row],[Temperature_F]]))</f>
        <v>0</v>
      </c>
    </row>
    <row r="878" spans="1:13" hidden="1" x14ac:dyDescent="0.25">
      <c r="A878" s="1" t="s">
        <v>1</v>
      </c>
      <c r="B878" s="1" t="s">
        <v>2</v>
      </c>
      <c r="C878" s="1">
        <v>42.360599999999998</v>
      </c>
      <c r="D878" s="1">
        <v>-71.010599999999997</v>
      </c>
      <c r="E878" s="5">
        <v>41064</v>
      </c>
      <c r="F878" s="1" t="str">
        <f t="shared" si="13"/>
        <v>June</v>
      </c>
      <c r="G878" s="1">
        <v>65</v>
      </c>
      <c r="H878" s="1">
        <v>33</v>
      </c>
      <c r="I878" s="1" t="str">
        <f>IF(Table1[[#This Row],[Temperature_F]]&lt;32,"Yes","No")</f>
        <v>No</v>
      </c>
      <c r="J878" s="1" t="str" cm="1">
        <f t="array" ref="J8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78" s="1" t="str" cm="1">
        <f t="array" ref="K878">_xlfn.IFS(
H878=0,"No Rain",
H878&lt;10,"Light",
H878&lt;50,"Moderate",
TRUE,"Heavy")</f>
        <v>Moderate</v>
      </c>
      <c r="L878" s="1" t="str">
        <f>IF(Table1[[#This Row],[Precipitation_mm]]&lt;&gt;0,"Wet","Dry")</f>
        <v>Wet</v>
      </c>
      <c r="M878" t="b">
        <f>OR(ISBLANK(Table1[[#This Row],[Temperature_F]]),ISERROR(Table1[[#This Row],[Temperature_F]]))</f>
        <v>0</v>
      </c>
    </row>
    <row r="879" spans="1:13" hidden="1" x14ac:dyDescent="0.25">
      <c r="A879" s="1" t="s">
        <v>1</v>
      </c>
      <c r="B879" s="1" t="s">
        <v>2</v>
      </c>
      <c r="C879" s="1">
        <v>42.360599999999998</v>
      </c>
      <c r="D879" s="1">
        <v>-71.010599999999997</v>
      </c>
      <c r="E879" s="5">
        <v>41065</v>
      </c>
      <c r="F879" s="1" t="str">
        <f t="shared" si="13"/>
        <v>June</v>
      </c>
      <c r="G879" s="1">
        <v>84</v>
      </c>
      <c r="H879" s="1">
        <v>33</v>
      </c>
      <c r="I879" s="1" t="str">
        <f>IF(Table1[[#This Row],[Temperature_F]]&lt;32,"Yes","No")</f>
        <v>No</v>
      </c>
      <c r="J879" s="1" t="str" cm="1">
        <f t="array" ref="J8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79" s="1" t="str" cm="1">
        <f t="array" ref="K879">_xlfn.IFS(
H879=0,"No Rain",
H879&lt;10,"Light",
H879&lt;50,"Moderate",
TRUE,"Heavy")</f>
        <v>Moderate</v>
      </c>
      <c r="L879" s="1" t="str">
        <f>IF(Table1[[#This Row],[Precipitation_mm]]&lt;&gt;0,"Wet","Dry")</f>
        <v>Wet</v>
      </c>
      <c r="M879" t="b">
        <f>OR(ISBLANK(Table1[[#This Row],[Temperature_F]]),ISERROR(Table1[[#This Row],[Temperature_F]]))</f>
        <v>0</v>
      </c>
    </row>
    <row r="880" spans="1:13" hidden="1" x14ac:dyDescent="0.25">
      <c r="A880" s="1" t="s">
        <v>1</v>
      </c>
      <c r="B880" s="1" t="s">
        <v>2</v>
      </c>
      <c r="C880" s="1">
        <v>42.360599999999998</v>
      </c>
      <c r="D880" s="1">
        <v>-71.010599999999997</v>
      </c>
      <c r="E880" s="5">
        <v>41066</v>
      </c>
      <c r="F880" s="1" t="str">
        <f t="shared" si="13"/>
        <v>June</v>
      </c>
      <c r="G880" s="1">
        <v>83</v>
      </c>
      <c r="H880" s="1">
        <v>0</v>
      </c>
      <c r="I880" s="1" t="str">
        <f>IF(Table1[[#This Row],[Temperature_F]]&lt;32,"Yes","No")</f>
        <v>No</v>
      </c>
      <c r="J880" s="1" t="str" cm="1">
        <f t="array" ref="J8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0" s="1" t="str" cm="1">
        <f t="array" ref="K880">_xlfn.IFS(
H880=0,"No Rain",
H880&lt;10,"Light",
H880&lt;50,"Moderate",
TRUE,"Heavy")</f>
        <v>No Rain</v>
      </c>
      <c r="L880" s="1" t="str">
        <f>IF(Table1[[#This Row],[Precipitation_mm]]&lt;&gt;0,"Wet","Dry")</f>
        <v>Dry</v>
      </c>
      <c r="M880" t="b">
        <f>OR(ISBLANK(Table1[[#This Row],[Temperature_F]]),ISERROR(Table1[[#This Row],[Temperature_F]]))</f>
        <v>0</v>
      </c>
    </row>
    <row r="881" spans="1:13" hidden="1" x14ac:dyDescent="0.25">
      <c r="A881" s="1" t="s">
        <v>1</v>
      </c>
      <c r="B881" s="1" t="s">
        <v>2</v>
      </c>
      <c r="C881" s="1">
        <v>42.360599999999998</v>
      </c>
      <c r="D881" s="1">
        <v>-71.010599999999997</v>
      </c>
      <c r="E881" s="5">
        <v>41067</v>
      </c>
      <c r="F881" s="1" t="str">
        <f t="shared" si="13"/>
        <v>June</v>
      </c>
      <c r="G881" s="1">
        <v>67</v>
      </c>
      <c r="H881" s="1">
        <v>10</v>
      </c>
      <c r="I881" s="1" t="str">
        <f>IF(Table1[[#This Row],[Temperature_F]]&lt;32,"Yes","No")</f>
        <v>No</v>
      </c>
      <c r="J881" s="1" t="str" cm="1">
        <f t="array" ref="J8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81" s="1" t="str" cm="1">
        <f t="array" ref="K881">_xlfn.IFS(
H881=0,"No Rain",
H881&lt;10,"Light",
H881&lt;50,"Moderate",
TRUE,"Heavy")</f>
        <v>Moderate</v>
      </c>
      <c r="L881" s="1" t="str">
        <f>IF(Table1[[#This Row],[Precipitation_mm]]&lt;&gt;0,"Wet","Dry")</f>
        <v>Wet</v>
      </c>
      <c r="M881" t="b">
        <f>OR(ISBLANK(Table1[[#This Row],[Temperature_F]]),ISERROR(Table1[[#This Row],[Temperature_F]]))</f>
        <v>0</v>
      </c>
    </row>
    <row r="882" spans="1:13" hidden="1" x14ac:dyDescent="0.25">
      <c r="A882" s="1" t="s">
        <v>1</v>
      </c>
      <c r="B882" s="1" t="s">
        <v>2</v>
      </c>
      <c r="C882" s="1">
        <v>42.360599999999998</v>
      </c>
      <c r="D882" s="1">
        <v>-71.010599999999997</v>
      </c>
      <c r="E882" s="5">
        <v>41068</v>
      </c>
      <c r="F882" s="1" t="str">
        <f t="shared" si="13"/>
        <v>June</v>
      </c>
      <c r="G882" s="1">
        <v>88</v>
      </c>
      <c r="H882" s="1">
        <v>79</v>
      </c>
      <c r="I882" s="1" t="str">
        <f>IF(Table1[[#This Row],[Temperature_F]]&lt;32,"Yes","No")</f>
        <v>No</v>
      </c>
      <c r="J882" s="1" t="str" cm="1">
        <f t="array" ref="J8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882" s="1" t="str" cm="1">
        <f t="array" ref="K882">_xlfn.IFS(
H882=0,"No Rain",
H882&lt;10,"Light",
H882&lt;50,"Moderate",
TRUE,"Heavy")</f>
        <v>Heavy</v>
      </c>
      <c r="L882" s="1" t="str">
        <f>IF(Table1[[#This Row],[Precipitation_mm]]&lt;&gt;0,"Wet","Dry")</f>
        <v>Wet</v>
      </c>
      <c r="M882" t="b">
        <f>OR(ISBLANK(Table1[[#This Row],[Temperature_F]]),ISERROR(Table1[[#This Row],[Temperature_F]]))</f>
        <v>0</v>
      </c>
    </row>
    <row r="883" spans="1:13" hidden="1" x14ac:dyDescent="0.25">
      <c r="A883" s="1" t="s">
        <v>1</v>
      </c>
      <c r="B883" s="1" t="s">
        <v>2</v>
      </c>
      <c r="C883" s="1">
        <v>42.360599999999998</v>
      </c>
      <c r="D883" s="1">
        <v>-71.010599999999997</v>
      </c>
      <c r="E883" s="5">
        <v>41069</v>
      </c>
      <c r="F883" s="1" t="str">
        <f t="shared" si="13"/>
        <v>June</v>
      </c>
      <c r="G883" s="1">
        <v>69</v>
      </c>
      <c r="H883" s="1">
        <v>0</v>
      </c>
      <c r="I883" s="1" t="str">
        <f>IF(Table1[[#This Row],[Temperature_F]]&lt;32,"Yes","No")</f>
        <v>No</v>
      </c>
      <c r="J883" s="1" t="str" cm="1">
        <f t="array" ref="J8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3" s="1" t="str" cm="1">
        <f t="array" ref="K883">_xlfn.IFS(
H883=0,"No Rain",
H883&lt;10,"Light",
H883&lt;50,"Moderate",
TRUE,"Heavy")</f>
        <v>No Rain</v>
      </c>
      <c r="L883" s="1" t="str">
        <f>IF(Table1[[#This Row],[Precipitation_mm]]&lt;&gt;0,"Wet","Dry")</f>
        <v>Dry</v>
      </c>
      <c r="M883" t="b">
        <f>OR(ISBLANK(Table1[[#This Row],[Temperature_F]]),ISERROR(Table1[[#This Row],[Temperature_F]]))</f>
        <v>0</v>
      </c>
    </row>
    <row r="884" spans="1:13" hidden="1" x14ac:dyDescent="0.25">
      <c r="A884" s="1" t="s">
        <v>1</v>
      </c>
      <c r="B884" s="1" t="s">
        <v>2</v>
      </c>
      <c r="C884" s="1">
        <v>42.360599999999998</v>
      </c>
      <c r="D884" s="1">
        <v>-71.010599999999997</v>
      </c>
      <c r="E884" s="5">
        <v>41070</v>
      </c>
      <c r="F884" s="1" t="str">
        <f t="shared" si="13"/>
        <v>June</v>
      </c>
      <c r="G884" s="1">
        <v>88</v>
      </c>
      <c r="H884" s="1">
        <v>0</v>
      </c>
      <c r="I884" s="1" t="str">
        <f>IF(Table1[[#This Row],[Temperature_F]]&lt;32,"Yes","No")</f>
        <v>No</v>
      </c>
      <c r="J884" s="1" t="str" cm="1">
        <f t="array" ref="J8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884" s="1" t="str" cm="1">
        <f t="array" ref="K884">_xlfn.IFS(
H884=0,"No Rain",
H884&lt;10,"Light",
H884&lt;50,"Moderate",
TRUE,"Heavy")</f>
        <v>No Rain</v>
      </c>
      <c r="L884" s="1" t="str">
        <f>IF(Table1[[#This Row],[Precipitation_mm]]&lt;&gt;0,"Wet","Dry")</f>
        <v>Dry</v>
      </c>
      <c r="M884" t="b">
        <f>OR(ISBLANK(Table1[[#This Row],[Temperature_F]]),ISERROR(Table1[[#This Row],[Temperature_F]]))</f>
        <v>0</v>
      </c>
    </row>
    <row r="885" spans="1:13" hidden="1" x14ac:dyDescent="0.25">
      <c r="A885" s="1" t="s">
        <v>1</v>
      </c>
      <c r="B885" s="1" t="s">
        <v>2</v>
      </c>
      <c r="C885" s="1">
        <v>42.360599999999998</v>
      </c>
      <c r="D885" s="1">
        <v>-71.010599999999997</v>
      </c>
      <c r="E885" s="5">
        <v>41071</v>
      </c>
      <c r="F885" s="1" t="str">
        <f t="shared" si="13"/>
        <v>June</v>
      </c>
      <c r="G885" s="1">
        <v>82</v>
      </c>
      <c r="H885" s="1">
        <v>0</v>
      </c>
      <c r="I885" s="1" t="str">
        <f>IF(Table1[[#This Row],[Temperature_F]]&lt;32,"Yes","No")</f>
        <v>No</v>
      </c>
      <c r="J885" s="1" t="str" cm="1">
        <f t="array" ref="J8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5" s="1" t="str" cm="1">
        <f t="array" ref="K885">_xlfn.IFS(
H885=0,"No Rain",
H885&lt;10,"Light",
H885&lt;50,"Moderate",
TRUE,"Heavy")</f>
        <v>No Rain</v>
      </c>
      <c r="L885" s="1" t="str">
        <f>IF(Table1[[#This Row],[Precipitation_mm]]&lt;&gt;0,"Wet","Dry")</f>
        <v>Dry</v>
      </c>
      <c r="M885" t="b">
        <f>OR(ISBLANK(Table1[[#This Row],[Temperature_F]]),ISERROR(Table1[[#This Row],[Temperature_F]]))</f>
        <v>0</v>
      </c>
    </row>
    <row r="886" spans="1:13" hidden="1" x14ac:dyDescent="0.25">
      <c r="A886" s="1" t="s">
        <v>1</v>
      </c>
      <c r="B886" s="1" t="s">
        <v>2</v>
      </c>
      <c r="C886" s="1">
        <v>42.360599999999998</v>
      </c>
      <c r="D886" s="1">
        <v>-71.010599999999997</v>
      </c>
      <c r="E886" s="5">
        <v>41072</v>
      </c>
      <c r="F886" s="1" t="str">
        <f t="shared" si="13"/>
        <v>June</v>
      </c>
      <c r="G886" s="1">
        <v>74</v>
      </c>
      <c r="H886" s="1">
        <v>3</v>
      </c>
      <c r="I886" s="1" t="str">
        <f>IF(Table1[[#This Row],[Temperature_F]]&lt;32,"Yes","No")</f>
        <v>No</v>
      </c>
      <c r="J886" s="1" t="str" cm="1">
        <f t="array" ref="J8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6" s="1" t="str" cm="1">
        <f t="array" ref="K886">_xlfn.IFS(
H886=0,"No Rain",
H886&lt;10,"Light",
H886&lt;50,"Moderate",
TRUE,"Heavy")</f>
        <v>Light</v>
      </c>
      <c r="L886" s="1" t="str">
        <f>IF(Table1[[#This Row],[Precipitation_mm]]&lt;&gt;0,"Wet","Dry")</f>
        <v>Wet</v>
      </c>
      <c r="M886" t="b">
        <f>OR(ISBLANK(Table1[[#This Row],[Temperature_F]]),ISERROR(Table1[[#This Row],[Temperature_F]]))</f>
        <v>0</v>
      </c>
    </row>
    <row r="887" spans="1:13" hidden="1" x14ac:dyDescent="0.25">
      <c r="A887" s="1" t="s">
        <v>1</v>
      </c>
      <c r="B887" s="1" t="s">
        <v>2</v>
      </c>
      <c r="C887" s="1">
        <v>42.360599999999998</v>
      </c>
      <c r="D887" s="1">
        <v>-71.010599999999997</v>
      </c>
      <c r="E887" s="5">
        <v>41073</v>
      </c>
      <c r="F887" s="1" t="str">
        <f t="shared" si="13"/>
        <v>June</v>
      </c>
      <c r="G887" s="1">
        <v>71</v>
      </c>
      <c r="H887" s="1">
        <v>178</v>
      </c>
      <c r="I887" s="1" t="str">
        <f>IF(Table1[[#This Row],[Temperature_F]]&lt;32,"Yes","No")</f>
        <v>No</v>
      </c>
      <c r="J887" s="1" t="str" cm="1">
        <f t="array" ref="J8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7" s="1" t="str" cm="1">
        <f t="array" ref="K887">_xlfn.IFS(
H887=0,"No Rain",
H887&lt;10,"Light",
H887&lt;50,"Moderate",
TRUE,"Heavy")</f>
        <v>Heavy</v>
      </c>
      <c r="L887" s="1" t="str">
        <f>IF(Table1[[#This Row],[Precipitation_mm]]&lt;&gt;0,"Wet","Dry")</f>
        <v>Wet</v>
      </c>
      <c r="M887" t="b">
        <f>OR(ISBLANK(Table1[[#This Row],[Temperature_F]]),ISERROR(Table1[[#This Row],[Temperature_F]]))</f>
        <v>0</v>
      </c>
    </row>
    <row r="888" spans="1:13" hidden="1" x14ac:dyDescent="0.25">
      <c r="A888" s="1" t="s">
        <v>1</v>
      </c>
      <c r="B888" s="1" t="s">
        <v>2</v>
      </c>
      <c r="C888" s="1">
        <v>42.360599999999998</v>
      </c>
      <c r="D888" s="1">
        <v>-71.010599999999997</v>
      </c>
      <c r="E888" s="5">
        <v>41074</v>
      </c>
      <c r="F888" s="1" t="str">
        <f t="shared" si="13"/>
        <v>June</v>
      </c>
      <c r="G888" s="1">
        <v>75</v>
      </c>
      <c r="H888" s="1">
        <v>0</v>
      </c>
      <c r="I888" s="1" t="str">
        <f>IF(Table1[[#This Row],[Temperature_F]]&lt;32,"Yes","No")</f>
        <v>No</v>
      </c>
      <c r="J888" s="1" t="str" cm="1">
        <f t="array" ref="J8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8" s="1" t="str" cm="1">
        <f t="array" ref="K888">_xlfn.IFS(
H888=0,"No Rain",
H888&lt;10,"Light",
H888&lt;50,"Moderate",
TRUE,"Heavy")</f>
        <v>No Rain</v>
      </c>
      <c r="L888" s="1" t="str">
        <f>IF(Table1[[#This Row],[Precipitation_mm]]&lt;&gt;0,"Wet","Dry")</f>
        <v>Dry</v>
      </c>
      <c r="M888" t="b">
        <f>OR(ISBLANK(Table1[[#This Row],[Temperature_F]]),ISERROR(Table1[[#This Row],[Temperature_F]]))</f>
        <v>0</v>
      </c>
    </row>
    <row r="889" spans="1:13" hidden="1" x14ac:dyDescent="0.25">
      <c r="A889" s="1" t="s">
        <v>1</v>
      </c>
      <c r="B889" s="1" t="s">
        <v>2</v>
      </c>
      <c r="C889" s="1">
        <v>42.360599999999998</v>
      </c>
      <c r="D889" s="1">
        <v>-71.010599999999997</v>
      </c>
      <c r="E889" s="5">
        <v>41075</v>
      </c>
      <c r="F889" s="1" t="str">
        <f t="shared" si="13"/>
        <v>June</v>
      </c>
      <c r="G889" s="1">
        <v>78</v>
      </c>
      <c r="H889" s="1">
        <v>0</v>
      </c>
      <c r="I889" s="1" t="str">
        <f>IF(Table1[[#This Row],[Temperature_F]]&lt;32,"Yes","No")</f>
        <v>No</v>
      </c>
      <c r="J889" s="1" t="str" cm="1">
        <f t="array" ref="J8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89" s="1" t="str" cm="1">
        <f t="array" ref="K889">_xlfn.IFS(
H889=0,"No Rain",
H889&lt;10,"Light",
H889&lt;50,"Moderate",
TRUE,"Heavy")</f>
        <v>No Rain</v>
      </c>
      <c r="L889" s="1" t="str">
        <f>IF(Table1[[#This Row],[Precipitation_mm]]&lt;&gt;0,"Wet","Dry")</f>
        <v>Dry</v>
      </c>
      <c r="M889" t="b">
        <f>OR(ISBLANK(Table1[[#This Row],[Temperature_F]]),ISERROR(Table1[[#This Row],[Temperature_F]]))</f>
        <v>0</v>
      </c>
    </row>
    <row r="890" spans="1:13" hidden="1" x14ac:dyDescent="0.25">
      <c r="A890" s="1" t="s">
        <v>1</v>
      </c>
      <c r="B890" s="1" t="s">
        <v>2</v>
      </c>
      <c r="C890" s="1">
        <v>42.360599999999998</v>
      </c>
      <c r="D890" s="1">
        <v>-71.010599999999997</v>
      </c>
      <c r="E890" s="5">
        <v>41076</v>
      </c>
      <c r="F890" s="1" t="str">
        <f t="shared" ref="F890:F953" si="14">TEXT(E890,"mmmm")</f>
        <v>June</v>
      </c>
      <c r="G890" s="1">
        <v>86</v>
      </c>
      <c r="H890" s="1">
        <v>0</v>
      </c>
      <c r="I890" s="1" t="str">
        <f>IF(Table1[[#This Row],[Temperature_F]]&lt;32,"Yes","No")</f>
        <v>No</v>
      </c>
      <c r="J890" s="1" t="str" cm="1">
        <f t="array" ref="J8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90" s="1" t="str" cm="1">
        <f t="array" ref="K890">_xlfn.IFS(
H890=0,"No Rain",
H890&lt;10,"Light",
H890&lt;50,"Moderate",
TRUE,"Heavy")</f>
        <v>No Rain</v>
      </c>
      <c r="L890" s="1" t="str">
        <f>IF(Table1[[#This Row],[Precipitation_mm]]&lt;&gt;0,"Wet","Dry")</f>
        <v>Dry</v>
      </c>
      <c r="M890" t="b">
        <f>OR(ISBLANK(Table1[[#This Row],[Temperature_F]]),ISERROR(Table1[[#This Row],[Temperature_F]]))</f>
        <v>0</v>
      </c>
    </row>
    <row r="891" spans="1:13" hidden="1" x14ac:dyDescent="0.25">
      <c r="A891" s="1" t="s">
        <v>1</v>
      </c>
      <c r="B891" s="1" t="s">
        <v>2</v>
      </c>
      <c r="C891" s="1">
        <v>42.360599999999998</v>
      </c>
      <c r="D891" s="1">
        <v>-71.010599999999997</v>
      </c>
      <c r="E891" s="5">
        <v>41077</v>
      </c>
      <c r="F891" s="1" t="str">
        <f t="shared" si="14"/>
        <v>June</v>
      </c>
      <c r="G891" s="1">
        <v>88</v>
      </c>
      <c r="H891" s="1">
        <v>0</v>
      </c>
      <c r="I891" s="1" t="str">
        <f>IF(Table1[[#This Row],[Temperature_F]]&lt;32,"Yes","No")</f>
        <v>No</v>
      </c>
      <c r="J891" s="1" t="str" cm="1">
        <f t="array" ref="J8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891" s="1" t="str" cm="1">
        <f t="array" ref="K891">_xlfn.IFS(
H891=0,"No Rain",
H891&lt;10,"Light",
H891&lt;50,"Moderate",
TRUE,"Heavy")</f>
        <v>No Rain</v>
      </c>
      <c r="L891" s="1" t="str">
        <f>IF(Table1[[#This Row],[Precipitation_mm]]&lt;&gt;0,"Wet","Dry")</f>
        <v>Dry</v>
      </c>
      <c r="M891" t="b">
        <f>OR(ISBLANK(Table1[[#This Row],[Temperature_F]]),ISERROR(Table1[[#This Row],[Temperature_F]]))</f>
        <v>0</v>
      </c>
    </row>
    <row r="892" spans="1:13" hidden="1" x14ac:dyDescent="0.25">
      <c r="A892" s="1" t="s">
        <v>1</v>
      </c>
      <c r="B892" s="1" t="s">
        <v>2</v>
      </c>
      <c r="C892" s="1">
        <v>42.360599999999998</v>
      </c>
      <c r="D892" s="1">
        <v>-71.010599999999997</v>
      </c>
      <c r="E892" s="5">
        <v>41078</v>
      </c>
      <c r="F892" s="1" t="str">
        <f t="shared" si="14"/>
        <v>June</v>
      </c>
      <c r="G892" s="1">
        <v>68</v>
      </c>
      <c r="H892" s="1">
        <v>0</v>
      </c>
      <c r="I892" s="1" t="str">
        <f>IF(Table1[[#This Row],[Temperature_F]]&lt;32,"Yes","No")</f>
        <v>No</v>
      </c>
      <c r="J892" s="1" t="str" cm="1">
        <f t="array" ref="J8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92" s="1" t="str" cm="1">
        <f t="array" ref="K892">_xlfn.IFS(
H892=0,"No Rain",
H892&lt;10,"Light",
H892&lt;50,"Moderate",
TRUE,"Heavy")</f>
        <v>No Rain</v>
      </c>
      <c r="L892" s="1" t="str">
        <f>IF(Table1[[#This Row],[Precipitation_mm]]&lt;&gt;0,"Wet","Dry")</f>
        <v>Dry</v>
      </c>
      <c r="M892" t="b">
        <f>OR(ISBLANK(Table1[[#This Row],[Temperature_F]]),ISERROR(Table1[[#This Row],[Temperature_F]]))</f>
        <v>0</v>
      </c>
    </row>
    <row r="893" spans="1:13" hidden="1" x14ac:dyDescent="0.25">
      <c r="A893" s="1" t="s">
        <v>1</v>
      </c>
      <c r="B893" s="1" t="s">
        <v>2</v>
      </c>
      <c r="C893" s="1">
        <v>42.360599999999998</v>
      </c>
      <c r="D893" s="1">
        <v>-71.010599999999997</v>
      </c>
      <c r="E893" s="5">
        <v>41079</v>
      </c>
      <c r="F893" s="1" t="str">
        <f t="shared" si="14"/>
        <v>June</v>
      </c>
      <c r="G893" s="1">
        <v>67</v>
      </c>
      <c r="H893" s="1">
        <v>0</v>
      </c>
      <c r="I893" s="1" t="str">
        <f>IF(Table1[[#This Row],[Temperature_F]]&lt;32,"Yes","No")</f>
        <v>No</v>
      </c>
      <c r="J893" s="1" t="str" cm="1">
        <f t="array" ref="J8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93" s="1" t="str" cm="1">
        <f t="array" ref="K893">_xlfn.IFS(
H893=0,"No Rain",
H893&lt;10,"Light",
H893&lt;50,"Moderate",
TRUE,"Heavy")</f>
        <v>No Rain</v>
      </c>
      <c r="L893" s="1" t="str">
        <f>IF(Table1[[#This Row],[Precipitation_mm]]&lt;&gt;0,"Wet","Dry")</f>
        <v>Dry</v>
      </c>
      <c r="M893" t="b">
        <f>OR(ISBLANK(Table1[[#This Row],[Temperature_F]]),ISERROR(Table1[[#This Row],[Temperature_F]]))</f>
        <v>0</v>
      </c>
    </row>
    <row r="894" spans="1:13" hidden="1" x14ac:dyDescent="0.25">
      <c r="A894" s="1" t="s">
        <v>1</v>
      </c>
      <c r="B894" s="1" t="s">
        <v>2</v>
      </c>
      <c r="C894" s="1">
        <v>42.360599999999998</v>
      </c>
      <c r="D894" s="1">
        <v>-71.010599999999997</v>
      </c>
      <c r="E894" s="5">
        <v>41080</v>
      </c>
      <c r="F894" s="1" t="str">
        <f t="shared" si="14"/>
        <v>June</v>
      </c>
      <c r="G894" s="1">
        <v>80</v>
      </c>
      <c r="H894" s="1">
        <v>0</v>
      </c>
      <c r="I894" s="1" t="str">
        <f>IF(Table1[[#This Row],[Temperature_F]]&lt;32,"Yes","No")</f>
        <v>No</v>
      </c>
      <c r="J894" s="1" t="str" cm="1">
        <f t="array" ref="J8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94" s="1" t="str" cm="1">
        <f t="array" ref="K894">_xlfn.IFS(
H894=0,"No Rain",
H894&lt;10,"Light",
H894&lt;50,"Moderate",
TRUE,"Heavy")</f>
        <v>No Rain</v>
      </c>
      <c r="L894" s="1" t="str">
        <f>IF(Table1[[#This Row],[Precipitation_mm]]&lt;&gt;0,"Wet","Dry")</f>
        <v>Dry</v>
      </c>
      <c r="M894" t="b">
        <f>OR(ISBLANK(Table1[[#This Row],[Temperature_F]]),ISERROR(Table1[[#This Row],[Temperature_F]]))</f>
        <v>0</v>
      </c>
    </row>
    <row r="895" spans="1:13" hidden="1" x14ac:dyDescent="0.25">
      <c r="A895" s="1" t="s">
        <v>1</v>
      </c>
      <c r="B895" s="1" t="s">
        <v>2</v>
      </c>
      <c r="C895" s="1">
        <v>42.360599999999998</v>
      </c>
      <c r="D895" s="1">
        <v>-71.010599999999997</v>
      </c>
      <c r="E895" s="5">
        <v>41081</v>
      </c>
      <c r="F895" s="1" t="str">
        <f t="shared" si="14"/>
        <v>June</v>
      </c>
      <c r="G895" s="1">
        <v>67</v>
      </c>
      <c r="H895" s="1">
        <v>0</v>
      </c>
      <c r="I895" s="1" t="str">
        <f>IF(Table1[[#This Row],[Temperature_F]]&lt;32,"Yes","No")</f>
        <v>No</v>
      </c>
      <c r="J895" s="1" t="str" cm="1">
        <f t="array" ref="J8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95" s="1" t="str" cm="1">
        <f t="array" ref="K895">_xlfn.IFS(
H895=0,"No Rain",
H895&lt;10,"Light",
H895&lt;50,"Moderate",
TRUE,"Heavy")</f>
        <v>No Rain</v>
      </c>
      <c r="L895" s="1" t="str">
        <f>IF(Table1[[#This Row],[Precipitation_mm]]&lt;&gt;0,"Wet","Dry")</f>
        <v>Dry</v>
      </c>
      <c r="M895" t="b">
        <f>OR(ISBLANK(Table1[[#This Row],[Temperature_F]]),ISERROR(Table1[[#This Row],[Temperature_F]]))</f>
        <v>0</v>
      </c>
    </row>
    <row r="896" spans="1:13" hidden="1" x14ac:dyDescent="0.25">
      <c r="A896" s="1" t="s">
        <v>1</v>
      </c>
      <c r="B896" s="1" t="s">
        <v>2</v>
      </c>
      <c r="C896" s="1">
        <v>42.360599999999998</v>
      </c>
      <c r="D896" s="1">
        <v>-71.010599999999997</v>
      </c>
      <c r="E896" s="5">
        <v>41082</v>
      </c>
      <c r="F896" s="1" t="str">
        <f t="shared" si="14"/>
        <v>June</v>
      </c>
      <c r="G896" s="1">
        <v>86</v>
      </c>
      <c r="H896" s="1">
        <v>5</v>
      </c>
      <c r="I896" s="1" t="str">
        <f>IF(Table1[[#This Row],[Temperature_F]]&lt;32,"Yes","No")</f>
        <v>No</v>
      </c>
      <c r="J896" s="1" t="str" cm="1">
        <f t="array" ref="J8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96" s="1" t="str" cm="1">
        <f t="array" ref="K896">_xlfn.IFS(
H896=0,"No Rain",
H896&lt;10,"Light",
H896&lt;50,"Moderate",
TRUE,"Heavy")</f>
        <v>Light</v>
      </c>
      <c r="L896" s="1" t="str">
        <f>IF(Table1[[#This Row],[Precipitation_mm]]&lt;&gt;0,"Wet","Dry")</f>
        <v>Wet</v>
      </c>
      <c r="M896" t="b">
        <f>OR(ISBLANK(Table1[[#This Row],[Temperature_F]]),ISERROR(Table1[[#This Row],[Temperature_F]]))</f>
        <v>0</v>
      </c>
    </row>
    <row r="897" spans="1:13" hidden="1" x14ac:dyDescent="0.25">
      <c r="A897" s="1" t="s">
        <v>1</v>
      </c>
      <c r="B897" s="1" t="s">
        <v>2</v>
      </c>
      <c r="C897" s="1">
        <v>42.360599999999998</v>
      </c>
      <c r="D897" s="1">
        <v>-71.010599999999997</v>
      </c>
      <c r="E897" s="5">
        <v>41083</v>
      </c>
      <c r="F897" s="1" t="str">
        <f t="shared" si="14"/>
        <v>June</v>
      </c>
      <c r="G897" s="1">
        <v>85</v>
      </c>
      <c r="H897" s="1">
        <v>302</v>
      </c>
      <c r="I897" s="1" t="str">
        <f>IF(Table1[[#This Row],[Temperature_F]]&lt;32,"Yes","No")</f>
        <v>No</v>
      </c>
      <c r="J897" s="1" t="str" cm="1">
        <f t="array" ref="J8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97" s="1" t="str" cm="1">
        <f t="array" ref="K897">_xlfn.IFS(
H897=0,"No Rain",
H897&lt;10,"Light",
H897&lt;50,"Moderate",
TRUE,"Heavy")</f>
        <v>Heavy</v>
      </c>
      <c r="L897" s="1" t="str">
        <f>IF(Table1[[#This Row],[Precipitation_mm]]&lt;&gt;0,"Wet","Dry")</f>
        <v>Wet</v>
      </c>
      <c r="M897" t="b">
        <f>OR(ISBLANK(Table1[[#This Row],[Temperature_F]]),ISERROR(Table1[[#This Row],[Temperature_F]]))</f>
        <v>0</v>
      </c>
    </row>
    <row r="898" spans="1:13" hidden="1" x14ac:dyDescent="0.25">
      <c r="A898" s="1" t="s">
        <v>1</v>
      </c>
      <c r="B898" s="1" t="s">
        <v>2</v>
      </c>
      <c r="C898" s="1">
        <v>42.360599999999998</v>
      </c>
      <c r="D898" s="1">
        <v>-71.010599999999997</v>
      </c>
      <c r="E898" s="5">
        <v>41084</v>
      </c>
      <c r="F898" s="1" t="str">
        <f t="shared" si="14"/>
        <v>June</v>
      </c>
      <c r="G898" s="1">
        <v>67</v>
      </c>
      <c r="H898" s="1">
        <v>0</v>
      </c>
      <c r="I898" s="1" t="str">
        <f>IF(Table1[[#This Row],[Temperature_F]]&lt;32,"Yes","No")</f>
        <v>No</v>
      </c>
      <c r="J898" s="1" t="str" cm="1">
        <f t="array" ref="J8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898" s="1" t="str" cm="1">
        <f t="array" ref="K898">_xlfn.IFS(
H898=0,"No Rain",
H898&lt;10,"Light",
H898&lt;50,"Moderate",
TRUE,"Heavy")</f>
        <v>No Rain</v>
      </c>
      <c r="L898" s="1" t="str">
        <f>IF(Table1[[#This Row],[Precipitation_mm]]&lt;&gt;0,"Wet","Dry")</f>
        <v>Dry</v>
      </c>
      <c r="M898" t="b">
        <f>OR(ISBLANK(Table1[[#This Row],[Temperature_F]]),ISERROR(Table1[[#This Row],[Temperature_F]]))</f>
        <v>0</v>
      </c>
    </row>
    <row r="899" spans="1:13" hidden="1" x14ac:dyDescent="0.25">
      <c r="A899" s="1" t="s">
        <v>1</v>
      </c>
      <c r="B899" s="1" t="s">
        <v>2</v>
      </c>
      <c r="C899" s="1">
        <v>42.360599999999998</v>
      </c>
      <c r="D899" s="1">
        <v>-71.010599999999997</v>
      </c>
      <c r="E899" s="5">
        <v>41085</v>
      </c>
      <c r="F899" s="1" t="str">
        <f t="shared" si="14"/>
        <v>June</v>
      </c>
      <c r="G899" s="1">
        <v>70</v>
      </c>
      <c r="H899" s="1">
        <v>236</v>
      </c>
      <c r="I899" s="1" t="str">
        <f>IF(Table1[[#This Row],[Temperature_F]]&lt;32,"Yes","No")</f>
        <v>No</v>
      </c>
      <c r="J899" s="1" t="str" cm="1">
        <f t="array" ref="J8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899" s="1" t="str" cm="1">
        <f t="array" ref="K899">_xlfn.IFS(
H899=0,"No Rain",
H899&lt;10,"Light",
H899&lt;50,"Moderate",
TRUE,"Heavy")</f>
        <v>Heavy</v>
      </c>
      <c r="L899" s="1" t="str">
        <f>IF(Table1[[#This Row],[Precipitation_mm]]&lt;&gt;0,"Wet","Dry")</f>
        <v>Wet</v>
      </c>
      <c r="M899" t="b">
        <f>OR(ISBLANK(Table1[[#This Row],[Temperature_F]]),ISERROR(Table1[[#This Row],[Temperature_F]]))</f>
        <v>0</v>
      </c>
    </row>
    <row r="900" spans="1:13" hidden="1" x14ac:dyDescent="0.25">
      <c r="A900" s="1" t="s">
        <v>1</v>
      </c>
      <c r="B900" s="1" t="s">
        <v>2</v>
      </c>
      <c r="C900" s="1">
        <v>42.360599999999998</v>
      </c>
      <c r="D900" s="1">
        <v>-71.010599999999997</v>
      </c>
      <c r="E900" s="5">
        <v>41086</v>
      </c>
      <c r="F900" s="1" t="str">
        <f t="shared" si="14"/>
        <v>June</v>
      </c>
      <c r="G900" s="1">
        <v>86</v>
      </c>
      <c r="H900" s="1">
        <v>15</v>
      </c>
      <c r="I900" s="1" t="str">
        <f>IF(Table1[[#This Row],[Temperature_F]]&lt;32,"Yes","No")</f>
        <v>No</v>
      </c>
      <c r="J900" s="1" t="str" cm="1">
        <f t="array" ref="J9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00" s="1" t="str" cm="1">
        <f t="array" ref="K900">_xlfn.IFS(
H900=0,"No Rain",
H900&lt;10,"Light",
H900&lt;50,"Moderate",
TRUE,"Heavy")</f>
        <v>Moderate</v>
      </c>
      <c r="L900" s="1" t="str">
        <f>IF(Table1[[#This Row],[Precipitation_mm]]&lt;&gt;0,"Wet","Dry")</f>
        <v>Wet</v>
      </c>
      <c r="M900" t="b">
        <f>OR(ISBLANK(Table1[[#This Row],[Temperature_F]]),ISERROR(Table1[[#This Row],[Temperature_F]]))</f>
        <v>0</v>
      </c>
    </row>
    <row r="901" spans="1:13" hidden="1" x14ac:dyDescent="0.25">
      <c r="A901" s="1" t="s">
        <v>1</v>
      </c>
      <c r="B901" s="1" t="s">
        <v>2</v>
      </c>
      <c r="C901" s="1">
        <v>42.360599999999998</v>
      </c>
      <c r="D901" s="1">
        <v>-71.010599999999997</v>
      </c>
      <c r="E901" s="5">
        <v>41087</v>
      </c>
      <c r="F901" s="1" t="str">
        <f t="shared" si="14"/>
        <v>June</v>
      </c>
      <c r="G901" s="1">
        <v>68</v>
      </c>
      <c r="H901" s="1">
        <v>0</v>
      </c>
      <c r="I901" s="1" t="str">
        <f>IF(Table1[[#This Row],[Temperature_F]]&lt;32,"Yes","No")</f>
        <v>No</v>
      </c>
      <c r="J901" s="1" t="str" cm="1">
        <f t="array" ref="J9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01" s="1" t="str" cm="1">
        <f t="array" ref="K901">_xlfn.IFS(
H901=0,"No Rain",
H901&lt;10,"Light",
H901&lt;50,"Moderate",
TRUE,"Heavy")</f>
        <v>No Rain</v>
      </c>
      <c r="L901" s="1" t="str">
        <f>IF(Table1[[#This Row],[Precipitation_mm]]&lt;&gt;0,"Wet","Dry")</f>
        <v>Dry</v>
      </c>
      <c r="M901" t="b">
        <f>OR(ISBLANK(Table1[[#This Row],[Temperature_F]]),ISERROR(Table1[[#This Row],[Temperature_F]]))</f>
        <v>0</v>
      </c>
    </row>
    <row r="902" spans="1:13" hidden="1" x14ac:dyDescent="0.25">
      <c r="A902" s="1" t="s">
        <v>1</v>
      </c>
      <c r="B902" s="1" t="s">
        <v>2</v>
      </c>
      <c r="C902" s="1">
        <v>42.360599999999998</v>
      </c>
      <c r="D902" s="1">
        <v>-71.010599999999997</v>
      </c>
      <c r="E902" s="5">
        <v>41088</v>
      </c>
      <c r="F902" s="1" t="str">
        <f t="shared" si="14"/>
        <v>June</v>
      </c>
      <c r="G902" s="1">
        <v>73</v>
      </c>
      <c r="H902" s="1">
        <v>0</v>
      </c>
      <c r="I902" s="1" t="str">
        <f>IF(Table1[[#This Row],[Temperature_F]]&lt;32,"Yes","No")</f>
        <v>No</v>
      </c>
      <c r="J902" s="1" t="str" cm="1">
        <f t="array" ref="J9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02" s="1" t="str" cm="1">
        <f t="array" ref="K902">_xlfn.IFS(
H902=0,"No Rain",
H902&lt;10,"Light",
H902&lt;50,"Moderate",
TRUE,"Heavy")</f>
        <v>No Rain</v>
      </c>
      <c r="L902" s="1" t="str">
        <f>IF(Table1[[#This Row],[Precipitation_mm]]&lt;&gt;0,"Wet","Dry")</f>
        <v>Dry</v>
      </c>
      <c r="M902" t="b">
        <f>OR(ISBLANK(Table1[[#This Row],[Temperature_F]]),ISERROR(Table1[[#This Row],[Temperature_F]]))</f>
        <v>0</v>
      </c>
    </row>
    <row r="903" spans="1:13" hidden="1" x14ac:dyDescent="0.25">
      <c r="A903" s="1" t="s">
        <v>1</v>
      </c>
      <c r="B903" s="1" t="s">
        <v>2</v>
      </c>
      <c r="C903" s="1">
        <v>42.360599999999998</v>
      </c>
      <c r="D903" s="1">
        <v>-71.010599999999997</v>
      </c>
      <c r="E903" s="5">
        <v>41089</v>
      </c>
      <c r="F903" s="1" t="str">
        <f t="shared" si="14"/>
        <v>June</v>
      </c>
      <c r="G903" s="1">
        <v>67</v>
      </c>
      <c r="H903" s="1">
        <v>13</v>
      </c>
      <c r="I903" s="1" t="str">
        <f>IF(Table1[[#This Row],[Temperature_F]]&lt;32,"Yes","No")</f>
        <v>No</v>
      </c>
      <c r="J903" s="1" t="str" cm="1">
        <f t="array" ref="J9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03" s="1" t="str" cm="1">
        <f t="array" ref="K903">_xlfn.IFS(
H903=0,"No Rain",
H903&lt;10,"Light",
H903&lt;50,"Moderate",
TRUE,"Heavy")</f>
        <v>Moderate</v>
      </c>
      <c r="L903" s="1" t="str">
        <f>IF(Table1[[#This Row],[Precipitation_mm]]&lt;&gt;0,"Wet","Dry")</f>
        <v>Wet</v>
      </c>
      <c r="M903" t="b">
        <f>OR(ISBLANK(Table1[[#This Row],[Temperature_F]]),ISERROR(Table1[[#This Row],[Temperature_F]]))</f>
        <v>0</v>
      </c>
    </row>
    <row r="904" spans="1:13" hidden="1" x14ac:dyDescent="0.25">
      <c r="A904" s="1" t="s">
        <v>1</v>
      </c>
      <c r="B904" s="1" t="s">
        <v>2</v>
      </c>
      <c r="C904" s="1">
        <v>42.360599999999998</v>
      </c>
      <c r="D904" s="1">
        <v>-71.010599999999997</v>
      </c>
      <c r="E904" s="5">
        <v>41090</v>
      </c>
      <c r="F904" s="1" t="str">
        <f t="shared" si="14"/>
        <v>June</v>
      </c>
      <c r="G904" s="1">
        <v>75</v>
      </c>
      <c r="H904" s="1">
        <v>0</v>
      </c>
      <c r="I904" s="1" t="str">
        <f>IF(Table1[[#This Row],[Temperature_F]]&lt;32,"Yes","No")</f>
        <v>No</v>
      </c>
      <c r="J904" s="1" t="str" cm="1">
        <f t="array" ref="J9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04" s="1" t="str" cm="1">
        <f t="array" ref="K904">_xlfn.IFS(
H904=0,"No Rain",
H904&lt;10,"Light",
H904&lt;50,"Moderate",
TRUE,"Heavy")</f>
        <v>No Rain</v>
      </c>
      <c r="L904" s="1" t="str">
        <f>IF(Table1[[#This Row],[Precipitation_mm]]&lt;&gt;0,"Wet","Dry")</f>
        <v>Dry</v>
      </c>
      <c r="M904" t="b">
        <f>OR(ISBLANK(Table1[[#This Row],[Temperature_F]]),ISERROR(Table1[[#This Row],[Temperature_F]]))</f>
        <v>0</v>
      </c>
    </row>
    <row r="905" spans="1:13" hidden="1" x14ac:dyDescent="0.25">
      <c r="A905" s="1" t="s">
        <v>1</v>
      </c>
      <c r="B905" s="1" t="s">
        <v>2</v>
      </c>
      <c r="C905" s="1">
        <v>42.360599999999998</v>
      </c>
      <c r="D905" s="1">
        <v>-71.010599999999997</v>
      </c>
      <c r="E905" s="5">
        <v>41091</v>
      </c>
      <c r="F905" s="1" t="str">
        <f t="shared" si="14"/>
        <v>July</v>
      </c>
      <c r="G905" s="1">
        <v>88</v>
      </c>
      <c r="H905" s="1">
        <v>0</v>
      </c>
      <c r="I905" s="1" t="str">
        <f>IF(Table1[[#This Row],[Temperature_F]]&lt;32,"Yes","No")</f>
        <v>No</v>
      </c>
      <c r="J905" s="1" t="str" cm="1">
        <f t="array" ref="J9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05" s="1" t="str" cm="1">
        <f t="array" ref="K905">_xlfn.IFS(
H905=0,"No Rain",
H905&lt;10,"Light",
H905&lt;50,"Moderate",
TRUE,"Heavy")</f>
        <v>No Rain</v>
      </c>
      <c r="L905" s="1" t="str">
        <f>IF(Table1[[#This Row],[Precipitation_mm]]&lt;&gt;0,"Wet","Dry")</f>
        <v>Dry</v>
      </c>
      <c r="M905" t="b">
        <f>OR(ISBLANK(Table1[[#This Row],[Temperature_F]]),ISERROR(Table1[[#This Row],[Temperature_F]]))</f>
        <v>0</v>
      </c>
    </row>
    <row r="906" spans="1:13" hidden="1" x14ac:dyDescent="0.25">
      <c r="A906" s="1" t="s">
        <v>1</v>
      </c>
      <c r="B906" s="1" t="s">
        <v>2</v>
      </c>
      <c r="C906" s="1">
        <v>42.360599999999998</v>
      </c>
      <c r="D906" s="1">
        <v>-71.010599999999997</v>
      </c>
      <c r="E906" s="5">
        <v>41092</v>
      </c>
      <c r="F906" s="1" t="str">
        <f t="shared" si="14"/>
        <v>July</v>
      </c>
      <c r="G906" s="1">
        <v>87</v>
      </c>
      <c r="H906" s="1">
        <v>0</v>
      </c>
      <c r="I906" s="1" t="str">
        <f>IF(Table1[[#This Row],[Temperature_F]]&lt;32,"Yes","No")</f>
        <v>No</v>
      </c>
      <c r="J906" s="1" t="str" cm="1">
        <f t="array" ref="J9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06" s="1" t="str" cm="1">
        <f t="array" ref="K906">_xlfn.IFS(
H906=0,"No Rain",
H906&lt;10,"Light",
H906&lt;50,"Moderate",
TRUE,"Heavy")</f>
        <v>No Rain</v>
      </c>
      <c r="L906" s="1" t="str">
        <f>IF(Table1[[#This Row],[Precipitation_mm]]&lt;&gt;0,"Wet","Dry")</f>
        <v>Dry</v>
      </c>
      <c r="M906" t="b">
        <f>OR(ISBLANK(Table1[[#This Row],[Temperature_F]]),ISERROR(Table1[[#This Row],[Temperature_F]]))</f>
        <v>0</v>
      </c>
    </row>
    <row r="907" spans="1:13" hidden="1" x14ac:dyDescent="0.25">
      <c r="A907" s="1" t="s">
        <v>1</v>
      </c>
      <c r="B907" s="1" t="s">
        <v>2</v>
      </c>
      <c r="C907" s="1">
        <v>42.360599999999998</v>
      </c>
      <c r="D907" s="1">
        <v>-71.010599999999997</v>
      </c>
      <c r="E907" s="5">
        <v>41093</v>
      </c>
      <c r="F907" s="1" t="str">
        <f t="shared" si="14"/>
        <v>July</v>
      </c>
      <c r="G907" s="1">
        <v>84</v>
      </c>
      <c r="H907" s="1">
        <v>0</v>
      </c>
      <c r="I907" s="1" t="str">
        <f>IF(Table1[[#This Row],[Temperature_F]]&lt;32,"Yes","No")</f>
        <v>No</v>
      </c>
      <c r="J907" s="1" t="str" cm="1">
        <f t="array" ref="J9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07" s="1" t="str" cm="1">
        <f t="array" ref="K907">_xlfn.IFS(
H907=0,"No Rain",
H907&lt;10,"Light",
H907&lt;50,"Moderate",
TRUE,"Heavy")</f>
        <v>No Rain</v>
      </c>
      <c r="L907" s="1" t="str">
        <f>IF(Table1[[#This Row],[Precipitation_mm]]&lt;&gt;0,"Wet","Dry")</f>
        <v>Dry</v>
      </c>
      <c r="M907" t="b">
        <f>OR(ISBLANK(Table1[[#This Row],[Temperature_F]]),ISERROR(Table1[[#This Row],[Temperature_F]]))</f>
        <v>0</v>
      </c>
    </row>
    <row r="908" spans="1:13" hidden="1" x14ac:dyDescent="0.25">
      <c r="A908" s="1" t="s">
        <v>1</v>
      </c>
      <c r="B908" s="1" t="s">
        <v>2</v>
      </c>
      <c r="C908" s="1">
        <v>42.360599999999998</v>
      </c>
      <c r="D908" s="1">
        <v>-71.010599999999997</v>
      </c>
      <c r="E908" s="5">
        <v>41094</v>
      </c>
      <c r="F908" s="1" t="str">
        <f t="shared" si="14"/>
        <v>July</v>
      </c>
      <c r="G908" s="1">
        <v>83</v>
      </c>
      <c r="H908" s="1">
        <v>36</v>
      </c>
      <c r="I908" s="1" t="str">
        <f>IF(Table1[[#This Row],[Temperature_F]]&lt;32,"Yes","No")</f>
        <v>No</v>
      </c>
      <c r="J908" s="1" t="str" cm="1">
        <f t="array" ref="J9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08" s="1" t="str" cm="1">
        <f t="array" ref="K908">_xlfn.IFS(
H908=0,"No Rain",
H908&lt;10,"Light",
H908&lt;50,"Moderate",
TRUE,"Heavy")</f>
        <v>Moderate</v>
      </c>
      <c r="L908" s="1" t="str">
        <f>IF(Table1[[#This Row],[Precipitation_mm]]&lt;&gt;0,"Wet","Dry")</f>
        <v>Wet</v>
      </c>
      <c r="M908" t="b">
        <f>OR(ISBLANK(Table1[[#This Row],[Temperature_F]]),ISERROR(Table1[[#This Row],[Temperature_F]]))</f>
        <v>0</v>
      </c>
    </row>
    <row r="909" spans="1:13" hidden="1" x14ac:dyDescent="0.25">
      <c r="A909" s="1" t="s">
        <v>1</v>
      </c>
      <c r="B909" s="1" t="s">
        <v>2</v>
      </c>
      <c r="C909" s="1">
        <v>42.360599999999998</v>
      </c>
      <c r="D909" s="1">
        <v>-71.010599999999997</v>
      </c>
      <c r="E909" s="5">
        <v>41095</v>
      </c>
      <c r="F909" s="1" t="str">
        <f t="shared" si="14"/>
        <v>July</v>
      </c>
      <c r="G909" s="1">
        <v>87</v>
      </c>
      <c r="H909" s="1">
        <v>0</v>
      </c>
      <c r="I909" s="1" t="str">
        <f>IF(Table1[[#This Row],[Temperature_F]]&lt;32,"Yes","No")</f>
        <v>No</v>
      </c>
      <c r="J909" s="1" t="str" cm="1">
        <f t="array" ref="J9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09" s="1" t="str" cm="1">
        <f t="array" ref="K909">_xlfn.IFS(
H909=0,"No Rain",
H909&lt;10,"Light",
H909&lt;50,"Moderate",
TRUE,"Heavy")</f>
        <v>No Rain</v>
      </c>
      <c r="L909" s="1" t="str">
        <f>IF(Table1[[#This Row],[Precipitation_mm]]&lt;&gt;0,"Wet","Dry")</f>
        <v>Dry</v>
      </c>
      <c r="M909" t="b">
        <f>OR(ISBLANK(Table1[[#This Row],[Temperature_F]]),ISERROR(Table1[[#This Row],[Temperature_F]]))</f>
        <v>0</v>
      </c>
    </row>
    <row r="910" spans="1:13" hidden="1" x14ac:dyDescent="0.25">
      <c r="A910" s="1" t="s">
        <v>1</v>
      </c>
      <c r="B910" s="1" t="s">
        <v>2</v>
      </c>
      <c r="C910" s="1">
        <v>42.360599999999998</v>
      </c>
      <c r="D910" s="1">
        <v>-71.010599999999997</v>
      </c>
      <c r="E910" s="5">
        <v>41096</v>
      </c>
      <c r="F910" s="1" t="str">
        <f t="shared" si="14"/>
        <v>July</v>
      </c>
      <c r="G910" s="1">
        <v>70</v>
      </c>
      <c r="H910" s="1">
        <v>0</v>
      </c>
      <c r="I910" s="1" t="str">
        <f>IF(Table1[[#This Row],[Temperature_F]]&lt;32,"Yes","No")</f>
        <v>No</v>
      </c>
      <c r="J910" s="1" t="str" cm="1">
        <f t="array" ref="J9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0" s="1" t="str" cm="1">
        <f t="array" ref="K910">_xlfn.IFS(
H910=0,"No Rain",
H910&lt;10,"Light",
H910&lt;50,"Moderate",
TRUE,"Heavy")</f>
        <v>No Rain</v>
      </c>
      <c r="L910" s="1" t="str">
        <f>IF(Table1[[#This Row],[Precipitation_mm]]&lt;&gt;0,"Wet","Dry")</f>
        <v>Dry</v>
      </c>
      <c r="M910" t="b">
        <f>OR(ISBLANK(Table1[[#This Row],[Temperature_F]]),ISERROR(Table1[[#This Row],[Temperature_F]]))</f>
        <v>0</v>
      </c>
    </row>
    <row r="911" spans="1:13" hidden="1" x14ac:dyDescent="0.25">
      <c r="A911" s="1" t="s">
        <v>1</v>
      </c>
      <c r="B911" s="1" t="s">
        <v>2</v>
      </c>
      <c r="C911" s="1">
        <v>42.360599999999998</v>
      </c>
      <c r="D911" s="1">
        <v>-71.010599999999997</v>
      </c>
      <c r="E911" s="5">
        <v>41097</v>
      </c>
      <c r="F911" s="1" t="str">
        <f t="shared" si="14"/>
        <v>July</v>
      </c>
      <c r="G911" s="1">
        <v>87</v>
      </c>
      <c r="H911" s="1">
        <v>0</v>
      </c>
      <c r="I911" s="1" t="str">
        <f>IF(Table1[[#This Row],[Temperature_F]]&lt;32,"Yes","No")</f>
        <v>No</v>
      </c>
      <c r="J911" s="1" t="str" cm="1">
        <f t="array" ref="J9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11" s="1" t="str" cm="1">
        <f t="array" ref="K911">_xlfn.IFS(
H911=0,"No Rain",
H911&lt;10,"Light",
H911&lt;50,"Moderate",
TRUE,"Heavy")</f>
        <v>No Rain</v>
      </c>
      <c r="L911" s="1" t="str">
        <f>IF(Table1[[#This Row],[Precipitation_mm]]&lt;&gt;0,"Wet","Dry")</f>
        <v>Dry</v>
      </c>
      <c r="M911" t="b">
        <f>OR(ISBLANK(Table1[[#This Row],[Temperature_F]]),ISERROR(Table1[[#This Row],[Temperature_F]]))</f>
        <v>0</v>
      </c>
    </row>
    <row r="912" spans="1:13" hidden="1" x14ac:dyDescent="0.25">
      <c r="A912" s="1" t="s">
        <v>1</v>
      </c>
      <c r="B912" s="1" t="s">
        <v>2</v>
      </c>
      <c r="C912" s="1">
        <v>42.360599999999998</v>
      </c>
      <c r="D912" s="1">
        <v>-71.010599999999997</v>
      </c>
      <c r="E912" s="5">
        <v>41098</v>
      </c>
      <c r="F912" s="1" t="str">
        <f t="shared" si="14"/>
        <v>July</v>
      </c>
      <c r="G912" s="1">
        <v>79</v>
      </c>
      <c r="H912" s="1">
        <v>0</v>
      </c>
      <c r="I912" s="1" t="str">
        <f>IF(Table1[[#This Row],[Temperature_F]]&lt;32,"Yes","No")</f>
        <v>No</v>
      </c>
      <c r="J912" s="1" t="str" cm="1">
        <f t="array" ref="J9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2" s="1" t="str" cm="1">
        <f t="array" ref="K912">_xlfn.IFS(
H912=0,"No Rain",
H912&lt;10,"Light",
H912&lt;50,"Moderate",
TRUE,"Heavy")</f>
        <v>No Rain</v>
      </c>
      <c r="L912" s="1" t="str">
        <f>IF(Table1[[#This Row],[Precipitation_mm]]&lt;&gt;0,"Wet","Dry")</f>
        <v>Dry</v>
      </c>
      <c r="M912" t="b">
        <f>OR(ISBLANK(Table1[[#This Row],[Temperature_F]]),ISERROR(Table1[[#This Row],[Temperature_F]]))</f>
        <v>0</v>
      </c>
    </row>
    <row r="913" spans="1:13" hidden="1" x14ac:dyDescent="0.25">
      <c r="A913" s="1" t="s">
        <v>1</v>
      </c>
      <c r="B913" s="1" t="s">
        <v>2</v>
      </c>
      <c r="C913" s="1">
        <v>42.360599999999998</v>
      </c>
      <c r="D913" s="1">
        <v>-71.010599999999997</v>
      </c>
      <c r="E913" s="5">
        <v>41099</v>
      </c>
      <c r="F913" s="1" t="str">
        <f t="shared" si="14"/>
        <v>July</v>
      </c>
      <c r="G913" s="1">
        <v>65</v>
      </c>
      <c r="H913" s="1">
        <v>0</v>
      </c>
      <c r="I913" s="1" t="str">
        <f>IF(Table1[[#This Row],[Temperature_F]]&lt;32,"Yes","No")</f>
        <v>No</v>
      </c>
      <c r="J913" s="1" t="str" cm="1">
        <f t="array" ref="J9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13" s="1" t="str" cm="1">
        <f t="array" ref="K913">_xlfn.IFS(
H913=0,"No Rain",
H913&lt;10,"Light",
H913&lt;50,"Moderate",
TRUE,"Heavy")</f>
        <v>No Rain</v>
      </c>
      <c r="L913" s="1" t="str">
        <f>IF(Table1[[#This Row],[Precipitation_mm]]&lt;&gt;0,"Wet","Dry")</f>
        <v>Dry</v>
      </c>
      <c r="M913" t="b">
        <f>OR(ISBLANK(Table1[[#This Row],[Temperature_F]]),ISERROR(Table1[[#This Row],[Temperature_F]]))</f>
        <v>0</v>
      </c>
    </row>
    <row r="914" spans="1:13" hidden="1" x14ac:dyDescent="0.25">
      <c r="A914" s="1" t="s">
        <v>1</v>
      </c>
      <c r="B914" s="1" t="s">
        <v>2</v>
      </c>
      <c r="C914" s="1">
        <v>42.360599999999998</v>
      </c>
      <c r="D914" s="1">
        <v>-71.010599999999997</v>
      </c>
      <c r="E914" s="5">
        <v>41100</v>
      </c>
      <c r="F914" s="1" t="str">
        <f t="shared" si="14"/>
        <v>July</v>
      </c>
      <c r="G914" s="1">
        <v>86</v>
      </c>
      <c r="H914" s="1">
        <v>0</v>
      </c>
      <c r="I914" s="1" t="str">
        <f>IF(Table1[[#This Row],[Temperature_F]]&lt;32,"Yes","No")</f>
        <v>No</v>
      </c>
      <c r="J914" s="1" t="str" cm="1">
        <f t="array" ref="J9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4" s="1" t="str" cm="1">
        <f t="array" ref="K914">_xlfn.IFS(
H914=0,"No Rain",
H914&lt;10,"Light",
H914&lt;50,"Moderate",
TRUE,"Heavy")</f>
        <v>No Rain</v>
      </c>
      <c r="L914" s="1" t="str">
        <f>IF(Table1[[#This Row],[Precipitation_mm]]&lt;&gt;0,"Wet","Dry")</f>
        <v>Dry</v>
      </c>
      <c r="M914" t="b">
        <f>OR(ISBLANK(Table1[[#This Row],[Temperature_F]]),ISERROR(Table1[[#This Row],[Temperature_F]]))</f>
        <v>0</v>
      </c>
    </row>
    <row r="915" spans="1:13" hidden="1" x14ac:dyDescent="0.25">
      <c r="A915" s="1" t="s">
        <v>1</v>
      </c>
      <c r="B915" s="1" t="s">
        <v>2</v>
      </c>
      <c r="C915" s="1">
        <v>42.360599999999998</v>
      </c>
      <c r="D915" s="1">
        <v>-71.010599999999997</v>
      </c>
      <c r="E915" s="5">
        <v>41101</v>
      </c>
      <c r="F915" s="1" t="str">
        <f t="shared" si="14"/>
        <v>July</v>
      </c>
      <c r="G915" s="1">
        <v>80</v>
      </c>
      <c r="H915" s="1">
        <v>0</v>
      </c>
      <c r="I915" s="1" t="str">
        <f>IF(Table1[[#This Row],[Temperature_F]]&lt;32,"Yes","No")</f>
        <v>No</v>
      </c>
      <c r="J915" s="1" t="str" cm="1">
        <f t="array" ref="J9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5" s="1" t="str" cm="1">
        <f t="array" ref="K915">_xlfn.IFS(
H915=0,"No Rain",
H915&lt;10,"Light",
H915&lt;50,"Moderate",
TRUE,"Heavy")</f>
        <v>No Rain</v>
      </c>
      <c r="L915" s="1" t="str">
        <f>IF(Table1[[#This Row],[Precipitation_mm]]&lt;&gt;0,"Wet","Dry")</f>
        <v>Dry</v>
      </c>
      <c r="M915" t="b">
        <f>OR(ISBLANK(Table1[[#This Row],[Temperature_F]]),ISERROR(Table1[[#This Row],[Temperature_F]]))</f>
        <v>0</v>
      </c>
    </row>
    <row r="916" spans="1:13" hidden="1" x14ac:dyDescent="0.25">
      <c r="A916" s="1" t="s">
        <v>1</v>
      </c>
      <c r="B916" s="1" t="s">
        <v>2</v>
      </c>
      <c r="C916" s="1">
        <v>42.360599999999998</v>
      </c>
      <c r="D916" s="1">
        <v>-71.010599999999997</v>
      </c>
      <c r="E916" s="5">
        <v>41102</v>
      </c>
      <c r="F916" s="1" t="str">
        <f t="shared" si="14"/>
        <v>July</v>
      </c>
      <c r="G916" s="1">
        <v>77</v>
      </c>
      <c r="H916" s="1">
        <v>0</v>
      </c>
      <c r="I916" s="1" t="str">
        <f>IF(Table1[[#This Row],[Temperature_F]]&lt;32,"Yes","No")</f>
        <v>No</v>
      </c>
      <c r="J916" s="1" t="str" cm="1">
        <f t="array" ref="J9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6" s="1" t="str" cm="1">
        <f t="array" ref="K916">_xlfn.IFS(
H916=0,"No Rain",
H916&lt;10,"Light",
H916&lt;50,"Moderate",
TRUE,"Heavy")</f>
        <v>No Rain</v>
      </c>
      <c r="L916" s="1" t="str">
        <f>IF(Table1[[#This Row],[Precipitation_mm]]&lt;&gt;0,"Wet","Dry")</f>
        <v>Dry</v>
      </c>
      <c r="M916" t="b">
        <f>OR(ISBLANK(Table1[[#This Row],[Temperature_F]]),ISERROR(Table1[[#This Row],[Temperature_F]]))</f>
        <v>0</v>
      </c>
    </row>
    <row r="917" spans="1:13" hidden="1" x14ac:dyDescent="0.25">
      <c r="A917" s="1" t="s">
        <v>1</v>
      </c>
      <c r="B917" s="1" t="s">
        <v>2</v>
      </c>
      <c r="C917" s="1">
        <v>42.360599999999998</v>
      </c>
      <c r="D917" s="1">
        <v>-71.010599999999997</v>
      </c>
      <c r="E917" s="5">
        <v>41103</v>
      </c>
      <c r="F917" s="1" t="str">
        <f t="shared" si="14"/>
        <v>July</v>
      </c>
      <c r="G917" s="1">
        <v>65</v>
      </c>
      <c r="H917" s="1">
        <v>0</v>
      </c>
      <c r="I917" s="1" t="str">
        <f>IF(Table1[[#This Row],[Temperature_F]]&lt;32,"Yes","No")</f>
        <v>No</v>
      </c>
      <c r="J917" s="1" t="str" cm="1">
        <f t="array" ref="J9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17" s="1" t="str" cm="1">
        <f t="array" ref="K917">_xlfn.IFS(
H917=0,"No Rain",
H917&lt;10,"Light",
H917&lt;50,"Moderate",
TRUE,"Heavy")</f>
        <v>No Rain</v>
      </c>
      <c r="L917" s="1" t="str">
        <f>IF(Table1[[#This Row],[Precipitation_mm]]&lt;&gt;0,"Wet","Dry")</f>
        <v>Dry</v>
      </c>
      <c r="M917" t="b">
        <f>OR(ISBLANK(Table1[[#This Row],[Temperature_F]]),ISERROR(Table1[[#This Row],[Temperature_F]]))</f>
        <v>0</v>
      </c>
    </row>
    <row r="918" spans="1:13" hidden="1" x14ac:dyDescent="0.25">
      <c r="A918" s="1" t="s">
        <v>1</v>
      </c>
      <c r="B918" s="1" t="s">
        <v>2</v>
      </c>
      <c r="C918" s="1">
        <v>42.360599999999998</v>
      </c>
      <c r="D918" s="1">
        <v>-71.010599999999997</v>
      </c>
      <c r="E918" s="5">
        <v>41104</v>
      </c>
      <c r="F918" s="1" t="str">
        <f t="shared" si="14"/>
        <v>July</v>
      </c>
      <c r="G918" s="1">
        <v>70</v>
      </c>
      <c r="H918" s="1">
        <v>0</v>
      </c>
      <c r="I918" s="1" t="str">
        <f>IF(Table1[[#This Row],[Temperature_F]]&lt;32,"Yes","No")</f>
        <v>No</v>
      </c>
      <c r="J918" s="1" t="str" cm="1">
        <f t="array" ref="J9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8" s="1" t="str" cm="1">
        <f t="array" ref="K918">_xlfn.IFS(
H918=0,"No Rain",
H918&lt;10,"Light",
H918&lt;50,"Moderate",
TRUE,"Heavy")</f>
        <v>No Rain</v>
      </c>
      <c r="L918" s="1" t="str">
        <f>IF(Table1[[#This Row],[Precipitation_mm]]&lt;&gt;0,"Wet","Dry")</f>
        <v>Dry</v>
      </c>
      <c r="M918" t="b">
        <f>OR(ISBLANK(Table1[[#This Row],[Temperature_F]]),ISERROR(Table1[[#This Row],[Temperature_F]]))</f>
        <v>0</v>
      </c>
    </row>
    <row r="919" spans="1:13" hidden="1" x14ac:dyDescent="0.25">
      <c r="A919" s="1" t="s">
        <v>1</v>
      </c>
      <c r="B919" s="1" t="s">
        <v>2</v>
      </c>
      <c r="C919" s="1">
        <v>42.360599999999998</v>
      </c>
      <c r="D919" s="1">
        <v>-71.010599999999997</v>
      </c>
      <c r="E919" s="5">
        <v>41105</v>
      </c>
      <c r="F919" s="1" t="str">
        <f t="shared" si="14"/>
        <v>July</v>
      </c>
      <c r="G919" s="1">
        <v>71</v>
      </c>
      <c r="H919" s="1">
        <v>0</v>
      </c>
      <c r="I919" s="1" t="str">
        <f>IF(Table1[[#This Row],[Temperature_F]]&lt;32,"Yes","No")</f>
        <v>No</v>
      </c>
      <c r="J919" s="1" t="str" cm="1">
        <f t="array" ref="J9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19" s="1" t="str" cm="1">
        <f t="array" ref="K919">_xlfn.IFS(
H919=0,"No Rain",
H919&lt;10,"Light",
H919&lt;50,"Moderate",
TRUE,"Heavy")</f>
        <v>No Rain</v>
      </c>
      <c r="L919" s="1" t="str">
        <f>IF(Table1[[#This Row],[Precipitation_mm]]&lt;&gt;0,"Wet","Dry")</f>
        <v>Dry</v>
      </c>
      <c r="M919" t="b">
        <f>OR(ISBLANK(Table1[[#This Row],[Temperature_F]]),ISERROR(Table1[[#This Row],[Temperature_F]]))</f>
        <v>0</v>
      </c>
    </row>
    <row r="920" spans="1:13" hidden="1" x14ac:dyDescent="0.25">
      <c r="A920" s="1" t="s">
        <v>1</v>
      </c>
      <c r="B920" s="1" t="s">
        <v>2</v>
      </c>
      <c r="C920" s="1">
        <v>42.360599999999998</v>
      </c>
      <c r="D920" s="1">
        <v>-71.010599999999997</v>
      </c>
      <c r="E920" s="5">
        <v>41106</v>
      </c>
      <c r="F920" s="1" t="str">
        <f t="shared" si="14"/>
        <v>July</v>
      </c>
      <c r="G920" s="1">
        <v>74</v>
      </c>
      <c r="H920" s="1">
        <v>0</v>
      </c>
      <c r="I920" s="1" t="str">
        <f>IF(Table1[[#This Row],[Temperature_F]]&lt;32,"Yes","No")</f>
        <v>No</v>
      </c>
      <c r="J920" s="1" t="str" cm="1">
        <f t="array" ref="J9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0" s="1" t="str" cm="1">
        <f t="array" ref="K920">_xlfn.IFS(
H920=0,"No Rain",
H920&lt;10,"Light",
H920&lt;50,"Moderate",
TRUE,"Heavy")</f>
        <v>No Rain</v>
      </c>
      <c r="L920" s="1" t="str">
        <f>IF(Table1[[#This Row],[Precipitation_mm]]&lt;&gt;0,"Wet","Dry")</f>
        <v>Dry</v>
      </c>
      <c r="M920" t="b">
        <f>OR(ISBLANK(Table1[[#This Row],[Temperature_F]]),ISERROR(Table1[[#This Row],[Temperature_F]]))</f>
        <v>0</v>
      </c>
    </row>
    <row r="921" spans="1:13" hidden="1" x14ac:dyDescent="0.25">
      <c r="A921" s="1" t="s">
        <v>1</v>
      </c>
      <c r="B921" s="1" t="s">
        <v>2</v>
      </c>
      <c r="C921" s="1">
        <v>42.360599999999998</v>
      </c>
      <c r="D921" s="1">
        <v>-71.010599999999997</v>
      </c>
      <c r="E921" s="5">
        <v>41107</v>
      </c>
      <c r="F921" s="1" t="str">
        <f t="shared" si="14"/>
        <v>July</v>
      </c>
      <c r="G921" s="1">
        <v>83</v>
      </c>
      <c r="H921" s="1">
        <v>0</v>
      </c>
      <c r="I921" s="1" t="str">
        <f>IF(Table1[[#This Row],[Temperature_F]]&lt;32,"Yes","No")</f>
        <v>No</v>
      </c>
      <c r="J921" s="1" t="str" cm="1">
        <f t="array" ref="J9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1" s="1" t="str" cm="1">
        <f t="array" ref="K921">_xlfn.IFS(
H921=0,"No Rain",
H921&lt;10,"Light",
H921&lt;50,"Moderate",
TRUE,"Heavy")</f>
        <v>No Rain</v>
      </c>
      <c r="L921" s="1" t="str">
        <f>IF(Table1[[#This Row],[Precipitation_mm]]&lt;&gt;0,"Wet","Dry")</f>
        <v>Dry</v>
      </c>
      <c r="M921" t="b">
        <f>OR(ISBLANK(Table1[[#This Row],[Temperature_F]]),ISERROR(Table1[[#This Row],[Temperature_F]]))</f>
        <v>0</v>
      </c>
    </row>
    <row r="922" spans="1:13" hidden="1" x14ac:dyDescent="0.25">
      <c r="A922" s="1" t="s">
        <v>1</v>
      </c>
      <c r="B922" s="1" t="s">
        <v>2</v>
      </c>
      <c r="C922" s="1">
        <v>42.360599999999998</v>
      </c>
      <c r="D922" s="1">
        <v>-71.010599999999997</v>
      </c>
      <c r="E922" s="5">
        <v>41108</v>
      </c>
      <c r="F922" s="1" t="str">
        <f t="shared" si="14"/>
        <v>July</v>
      </c>
      <c r="G922" s="1">
        <v>66</v>
      </c>
      <c r="H922" s="1">
        <v>442</v>
      </c>
      <c r="I922" s="1" t="str">
        <f>IF(Table1[[#This Row],[Temperature_F]]&lt;32,"Yes","No")</f>
        <v>No</v>
      </c>
      <c r="J922" s="1" t="str" cm="1">
        <f t="array" ref="J9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22" s="1" t="str" cm="1">
        <f t="array" ref="K922">_xlfn.IFS(
H922=0,"No Rain",
H922&lt;10,"Light",
H922&lt;50,"Moderate",
TRUE,"Heavy")</f>
        <v>Heavy</v>
      </c>
      <c r="L922" s="1" t="str">
        <f>IF(Table1[[#This Row],[Precipitation_mm]]&lt;&gt;0,"Wet","Dry")</f>
        <v>Wet</v>
      </c>
      <c r="M922" t="b">
        <f>OR(ISBLANK(Table1[[#This Row],[Temperature_F]]),ISERROR(Table1[[#This Row],[Temperature_F]]))</f>
        <v>0</v>
      </c>
    </row>
    <row r="923" spans="1:13" hidden="1" x14ac:dyDescent="0.25">
      <c r="A923" s="1" t="s">
        <v>1</v>
      </c>
      <c r="B923" s="1" t="s">
        <v>2</v>
      </c>
      <c r="C923" s="1">
        <v>42.360599999999998</v>
      </c>
      <c r="D923" s="1">
        <v>-71.010599999999997</v>
      </c>
      <c r="E923" s="5">
        <v>41109</v>
      </c>
      <c r="F923" s="1" t="str">
        <f t="shared" si="14"/>
        <v>July</v>
      </c>
      <c r="G923" s="1">
        <v>90</v>
      </c>
      <c r="H923" s="1">
        <v>15</v>
      </c>
      <c r="I923" s="1" t="str">
        <f>IF(Table1[[#This Row],[Temperature_F]]&lt;32,"Yes","No")</f>
        <v>No</v>
      </c>
      <c r="J923" s="1" t="str" cm="1">
        <f t="array" ref="J9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23" s="1" t="str" cm="1">
        <f t="array" ref="K923">_xlfn.IFS(
H923=0,"No Rain",
H923&lt;10,"Light",
H923&lt;50,"Moderate",
TRUE,"Heavy")</f>
        <v>Moderate</v>
      </c>
      <c r="L923" s="1" t="str">
        <f>IF(Table1[[#This Row],[Precipitation_mm]]&lt;&gt;0,"Wet","Dry")</f>
        <v>Wet</v>
      </c>
      <c r="M923" t="b">
        <f>OR(ISBLANK(Table1[[#This Row],[Temperature_F]]),ISERROR(Table1[[#This Row],[Temperature_F]]))</f>
        <v>0</v>
      </c>
    </row>
    <row r="924" spans="1:13" hidden="1" x14ac:dyDescent="0.25">
      <c r="A924" s="1" t="s">
        <v>1</v>
      </c>
      <c r="B924" s="1" t="s">
        <v>2</v>
      </c>
      <c r="C924" s="1">
        <v>42.360599999999998</v>
      </c>
      <c r="D924" s="1">
        <v>-71.010599999999997</v>
      </c>
      <c r="E924" s="5">
        <v>41110</v>
      </c>
      <c r="F924" s="1" t="str">
        <f t="shared" si="14"/>
        <v>July</v>
      </c>
      <c r="G924" s="1">
        <v>82</v>
      </c>
      <c r="H924" s="1">
        <v>0</v>
      </c>
      <c r="I924" s="1" t="str">
        <f>IF(Table1[[#This Row],[Temperature_F]]&lt;32,"Yes","No")</f>
        <v>No</v>
      </c>
      <c r="J924" s="1" t="str" cm="1">
        <f t="array" ref="J9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4" s="1" t="str" cm="1">
        <f t="array" ref="K924">_xlfn.IFS(
H924=0,"No Rain",
H924&lt;10,"Light",
H924&lt;50,"Moderate",
TRUE,"Heavy")</f>
        <v>No Rain</v>
      </c>
      <c r="L924" s="1" t="str">
        <f>IF(Table1[[#This Row],[Precipitation_mm]]&lt;&gt;0,"Wet","Dry")</f>
        <v>Dry</v>
      </c>
      <c r="M924" t="b">
        <f>OR(ISBLANK(Table1[[#This Row],[Temperature_F]]),ISERROR(Table1[[#This Row],[Temperature_F]]))</f>
        <v>0</v>
      </c>
    </row>
    <row r="925" spans="1:13" hidden="1" x14ac:dyDescent="0.25">
      <c r="A925" s="1" t="s">
        <v>1</v>
      </c>
      <c r="B925" s="1" t="s">
        <v>2</v>
      </c>
      <c r="C925" s="1">
        <v>42.360599999999998</v>
      </c>
      <c r="D925" s="1">
        <v>-71.010599999999997</v>
      </c>
      <c r="E925" s="5">
        <v>41111</v>
      </c>
      <c r="F925" s="1" t="str">
        <f t="shared" si="14"/>
        <v>July</v>
      </c>
      <c r="G925" s="1">
        <v>77</v>
      </c>
      <c r="H925" s="1">
        <v>0</v>
      </c>
      <c r="I925" s="1" t="str">
        <f>IF(Table1[[#This Row],[Temperature_F]]&lt;32,"Yes","No")</f>
        <v>No</v>
      </c>
      <c r="J925" s="1" t="str" cm="1">
        <f t="array" ref="J9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5" s="1" t="str" cm="1">
        <f t="array" ref="K925">_xlfn.IFS(
H925=0,"No Rain",
H925&lt;10,"Light",
H925&lt;50,"Moderate",
TRUE,"Heavy")</f>
        <v>No Rain</v>
      </c>
      <c r="L925" s="1" t="str">
        <f>IF(Table1[[#This Row],[Precipitation_mm]]&lt;&gt;0,"Wet","Dry")</f>
        <v>Dry</v>
      </c>
      <c r="M925" t="b">
        <f>OR(ISBLANK(Table1[[#This Row],[Temperature_F]]),ISERROR(Table1[[#This Row],[Temperature_F]]))</f>
        <v>0</v>
      </c>
    </row>
    <row r="926" spans="1:13" hidden="1" x14ac:dyDescent="0.25">
      <c r="A926" s="1" t="s">
        <v>1</v>
      </c>
      <c r="B926" s="1" t="s">
        <v>2</v>
      </c>
      <c r="C926" s="1">
        <v>42.360599999999998</v>
      </c>
      <c r="D926" s="1">
        <v>-71.010599999999997</v>
      </c>
      <c r="E926" s="5">
        <v>41112</v>
      </c>
      <c r="F926" s="1" t="str">
        <f t="shared" si="14"/>
        <v>July</v>
      </c>
      <c r="G926" s="1">
        <v>83</v>
      </c>
      <c r="H926" s="1">
        <v>0</v>
      </c>
      <c r="I926" s="1" t="str">
        <f>IF(Table1[[#This Row],[Temperature_F]]&lt;32,"Yes","No")</f>
        <v>No</v>
      </c>
      <c r="J926" s="1" t="str" cm="1">
        <f t="array" ref="J9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6" s="1" t="str" cm="1">
        <f t="array" ref="K926">_xlfn.IFS(
H926=0,"No Rain",
H926&lt;10,"Light",
H926&lt;50,"Moderate",
TRUE,"Heavy")</f>
        <v>No Rain</v>
      </c>
      <c r="L926" s="1" t="str">
        <f>IF(Table1[[#This Row],[Precipitation_mm]]&lt;&gt;0,"Wet","Dry")</f>
        <v>Dry</v>
      </c>
      <c r="M926" t="b">
        <f>OR(ISBLANK(Table1[[#This Row],[Temperature_F]]),ISERROR(Table1[[#This Row],[Temperature_F]]))</f>
        <v>0</v>
      </c>
    </row>
    <row r="927" spans="1:13" hidden="1" x14ac:dyDescent="0.25">
      <c r="A927" s="1" t="s">
        <v>1</v>
      </c>
      <c r="B927" s="1" t="s">
        <v>2</v>
      </c>
      <c r="C927" s="1">
        <v>42.360599999999998</v>
      </c>
      <c r="D927" s="1">
        <v>-71.010599999999997</v>
      </c>
      <c r="E927" s="5">
        <v>41113</v>
      </c>
      <c r="F927" s="1" t="str">
        <f t="shared" si="14"/>
        <v>July</v>
      </c>
      <c r="G927" s="1">
        <v>78</v>
      </c>
      <c r="H927" s="1">
        <v>5</v>
      </c>
      <c r="I927" s="1" t="str">
        <f>IF(Table1[[#This Row],[Temperature_F]]&lt;32,"Yes","No")</f>
        <v>No</v>
      </c>
      <c r="J927" s="1" t="str" cm="1">
        <f t="array" ref="J9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7" s="1" t="str" cm="1">
        <f t="array" ref="K927">_xlfn.IFS(
H927=0,"No Rain",
H927&lt;10,"Light",
H927&lt;50,"Moderate",
TRUE,"Heavy")</f>
        <v>Light</v>
      </c>
      <c r="L927" s="1" t="str">
        <f>IF(Table1[[#This Row],[Precipitation_mm]]&lt;&gt;0,"Wet","Dry")</f>
        <v>Wet</v>
      </c>
      <c r="M927" t="b">
        <f>OR(ISBLANK(Table1[[#This Row],[Temperature_F]]),ISERROR(Table1[[#This Row],[Temperature_F]]))</f>
        <v>0</v>
      </c>
    </row>
    <row r="928" spans="1:13" hidden="1" x14ac:dyDescent="0.25">
      <c r="A928" s="1" t="s">
        <v>1</v>
      </c>
      <c r="B928" s="1" t="s">
        <v>2</v>
      </c>
      <c r="C928" s="1">
        <v>42.360599999999998</v>
      </c>
      <c r="D928" s="1">
        <v>-71.010599999999997</v>
      </c>
      <c r="E928" s="5">
        <v>41114</v>
      </c>
      <c r="F928" s="1" t="str">
        <f t="shared" si="14"/>
        <v>July</v>
      </c>
      <c r="G928" s="1">
        <v>88</v>
      </c>
      <c r="H928" s="1">
        <v>140</v>
      </c>
      <c r="I928" s="1" t="str">
        <f>IF(Table1[[#This Row],[Temperature_F]]&lt;32,"Yes","No")</f>
        <v>No</v>
      </c>
      <c r="J928" s="1" t="str" cm="1">
        <f t="array" ref="J9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28" s="1" t="str" cm="1">
        <f t="array" ref="K928">_xlfn.IFS(
H928=0,"No Rain",
H928&lt;10,"Light",
H928&lt;50,"Moderate",
TRUE,"Heavy")</f>
        <v>Heavy</v>
      </c>
      <c r="L928" s="1" t="str">
        <f>IF(Table1[[#This Row],[Precipitation_mm]]&lt;&gt;0,"Wet","Dry")</f>
        <v>Wet</v>
      </c>
      <c r="M928" t="b">
        <f>OR(ISBLANK(Table1[[#This Row],[Temperature_F]]),ISERROR(Table1[[#This Row],[Temperature_F]]))</f>
        <v>0</v>
      </c>
    </row>
    <row r="929" spans="1:13" hidden="1" x14ac:dyDescent="0.25">
      <c r="A929" s="1" t="s">
        <v>1</v>
      </c>
      <c r="B929" s="1" t="s">
        <v>2</v>
      </c>
      <c r="C929" s="1">
        <v>42.360599999999998</v>
      </c>
      <c r="D929" s="1">
        <v>-71.010599999999997</v>
      </c>
      <c r="E929" s="5">
        <v>41115</v>
      </c>
      <c r="F929" s="1" t="str">
        <f t="shared" si="14"/>
        <v>July</v>
      </c>
      <c r="G929" s="1">
        <v>79</v>
      </c>
      <c r="H929" s="1">
        <v>0</v>
      </c>
      <c r="I929" s="1" t="str">
        <f>IF(Table1[[#This Row],[Temperature_F]]&lt;32,"Yes","No")</f>
        <v>No</v>
      </c>
      <c r="J929" s="1" t="str" cm="1">
        <f t="array" ref="J9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29" s="1" t="str" cm="1">
        <f t="array" ref="K929">_xlfn.IFS(
H929=0,"No Rain",
H929&lt;10,"Light",
H929&lt;50,"Moderate",
TRUE,"Heavy")</f>
        <v>No Rain</v>
      </c>
      <c r="L929" s="1" t="str">
        <f>IF(Table1[[#This Row],[Precipitation_mm]]&lt;&gt;0,"Wet","Dry")</f>
        <v>Dry</v>
      </c>
      <c r="M929" t="b">
        <f>OR(ISBLANK(Table1[[#This Row],[Temperature_F]]),ISERROR(Table1[[#This Row],[Temperature_F]]))</f>
        <v>0</v>
      </c>
    </row>
    <row r="930" spans="1:13" hidden="1" x14ac:dyDescent="0.25">
      <c r="A930" s="1" t="s">
        <v>1</v>
      </c>
      <c r="B930" s="1" t="s">
        <v>2</v>
      </c>
      <c r="C930" s="1">
        <v>42.360599999999998</v>
      </c>
      <c r="D930" s="1">
        <v>-71.010599999999997</v>
      </c>
      <c r="E930" s="5">
        <v>41116</v>
      </c>
      <c r="F930" s="1" t="str">
        <f t="shared" si="14"/>
        <v>July</v>
      </c>
      <c r="G930" s="1">
        <v>72</v>
      </c>
      <c r="H930" s="1">
        <v>0</v>
      </c>
      <c r="I930" s="1" t="str">
        <f>IF(Table1[[#This Row],[Temperature_F]]&lt;32,"Yes","No")</f>
        <v>No</v>
      </c>
      <c r="J930" s="1" t="str" cm="1">
        <f t="array" ref="J9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0" s="1" t="str" cm="1">
        <f t="array" ref="K930">_xlfn.IFS(
H930=0,"No Rain",
H930&lt;10,"Light",
H930&lt;50,"Moderate",
TRUE,"Heavy")</f>
        <v>No Rain</v>
      </c>
      <c r="L930" s="1" t="str">
        <f>IF(Table1[[#This Row],[Precipitation_mm]]&lt;&gt;0,"Wet","Dry")</f>
        <v>Dry</v>
      </c>
      <c r="M930" t="b">
        <f>OR(ISBLANK(Table1[[#This Row],[Temperature_F]]),ISERROR(Table1[[#This Row],[Temperature_F]]))</f>
        <v>0</v>
      </c>
    </row>
    <row r="931" spans="1:13" hidden="1" x14ac:dyDescent="0.25">
      <c r="A931" s="1" t="s">
        <v>1</v>
      </c>
      <c r="B931" s="1" t="s">
        <v>2</v>
      </c>
      <c r="C931" s="1">
        <v>42.360599999999998</v>
      </c>
      <c r="D931" s="1">
        <v>-71.010599999999997</v>
      </c>
      <c r="E931" s="5">
        <v>41117</v>
      </c>
      <c r="F931" s="1" t="str">
        <f t="shared" si="14"/>
        <v>July</v>
      </c>
      <c r="G931" s="1">
        <v>81</v>
      </c>
      <c r="H931" s="1">
        <v>5</v>
      </c>
      <c r="I931" s="1" t="str">
        <f>IF(Table1[[#This Row],[Temperature_F]]&lt;32,"Yes","No")</f>
        <v>No</v>
      </c>
      <c r="J931" s="1" t="str" cm="1">
        <f t="array" ref="J9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1" s="1" t="str" cm="1">
        <f t="array" ref="K931">_xlfn.IFS(
H931=0,"No Rain",
H931&lt;10,"Light",
H931&lt;50,"Moderate",
TRUE,"Heavy")</f>
        <v>Light</v>
      </c>
      <c r="L931" s="1" t="str">
        <f>IF(Table1[[#This Row],[Precipitation_mm]]&lt;&gt;0,"Wet","Dry")</f>
        <v>Wet</v>
      </c>
      <c r="M931" t="b">
        <f>OR(ISBLANK(Table1[[#This Row],[Temperature_F]]),ISERROR(Table1[[#This Row],[Temperature_F]]))</f>
        <v>0</v>
      </c>
    </row>
    <row r="932" spans="1:13" hidden="1" x14ac:dyDescent="0.25">
      <c r="A932" s="1" t="s">
        <v>1</v>
      </c>
      <c r="B932" s="1" t="s">
        <v>2</v>
      </c>
      <c r="C932" s="1">
        <v>42.360599999999998</v>
      </c>
      <c r="D932" s="1">
        <v>-71.010599999999997</v>
      </c>
      <c r="E932" s="5">
        <v>41118</v>
      </c>
      <c r="F932" s="1" t="str">
        <f t="shared" si="14"/>
        <v>July</v>
      </c>
      <c r="G932" s="1">
        <v>74</v>
      </c>
      <c r="H932" s="1">
        <v>221</v>
      </c>
      <c r="I932" s="1" t="str">
        <f>IF(Table1[[#This Row],[Temperature_F]]&lt;32,"Yes","No")</f>
        <v>No</v>
      </c>
      <c r="J932" s="1" t="str" cm="1">
        <f t="array" ref="J9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2" s="1" t="str" cm="1">
        <f t="array" ref="K932">_xlfn.IFS(
H932=0,"No Rain",
H932&lt;10,"Light",
H932&lt;50,"Moderate",
TRUE,"Heavy")</f>
        <v>Heavy</v>
      </c>
      <c r="L932" s="1" t="str">
        <f>IF(Table1[[#This Row],[Precipitation_mm]]&lt;&gt;0,"Wet","Dry")</f>
        <v>Wet</v>
      </c>
      <c r="M932" t="b">
        <f>OR(ISBLANK(Table1[[#This Row],[Temperature_F]]),ISERROR(Table1[[#This Row],[Temperature_F]]))</f>
        <v>0</v>
      </c>
    </row>
    <row r="933" spans="1:13" hidden="1" x14ac:dyDescent="0.25">
      <c r="A933" s="1" t="s">
        <v>1</v>
      </c>
      <c r="B933" s="1" t="s">
        <v>2</v>
      </c>
      <c r="C933" s="1">
        <v>42.360599999999998</v>
      </c>
      <c r="D933" s="1">
        <v>-71.010599999999997</v>
      </c>
      <c r="E933" s="5">
        <v>41119</v>
      </c>
      <c r="F933" s="1" t="str">
        <f t="shared" si="14"/>
        <v>July</v>
      </c>
      <c r="G933" s="1">
        <v>84</v>
      </c>
      <c r="H933" s="1">
        <v>0</v>
      </c>
      <c r="I933" s="1" t="str">
        <f>IF(Table1[[#This Row],[Temperature_F]]&lt;32,"Yes","No")</f>
        <v>No</v>
      </c>
      <c r="J933" s="1" t="str" cm="1">
        <f t="array" ref="J9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3" s="1" t="str" cm="1">
        <f t="array" ref="K933">_xlfn.IFS(
H933=0,"No Rain",
H933&lt;10,"Light",
H933&lt;50,"Moderate",
TRUE,"Heavy")</f>
        <v>No Rain</v>
      </c>
      <c r="L933" s="1" t="str">
        <f>IF(Table1[[#This Row],[Precipitation_mm]]&lt;&gt;0,"Wet","Dry")</f>
        <v>Dry</v>
      </c>
      <c r="M933" t="b">
        <f>OR(ISBLANK(Table1[[#This Row],[Temperature_F]]),ISERROR(Table1[[#This Row],[Temperature_F]]))</f>
        <v>0</v>
      </c>
    </row>
    <row r="934" spans="1:13" hidden="1" x14ac:dyDescent="0.25">
      <c r="A934" s="1" t="s">
        <v>1</v>
      </c>
      <c r="B934" s="1" t="s">
        <v>2</v>
      </c>
      <c r="C934" s="1">
        <v>42.360599999999998</v>
      </c>
      <c r="D934" s="1">
        <v>-71.010599999999997</v>
      </c>
      <c r="E934" s="5">
        <v>41120</v>
      </c>
      <c r="F934" s="1" t="str">
        <f t="shared" si="14"/>
        <v>July</v>
      </c>
      <c r="G934" s="1">
        <v>66</v>
      </c>
      <c r="H934" s="1">
        <v>0</v>
      </c>
      <c r="I934" s="1" t="str">
        <f>IF(Table1[[#This Row],[Temperature_F]]&lt;32,"Yes","No")</f>
        <v>No</v>
      </c>
      <c r="J934" s="1" t="str" cm="1">
        <f t="array" ref="J9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34" s="1" t="str" cm="1">
        <f t="array" ref="K934">_xlfn.IFS(
H934=0,"No Rain",
H934&lt;10,"Light",
H934&lt;50,"Moderate",
TRUE,"Heavy")</f>
        <v>No Rain</v>
      </c>
      <c r="L934" s="1" t="str">
        <f>IF(Table1[[#This Row],[Precipitation_mm]]&lt;&gt;0,"Wet","Dry")</f>
        <v>Dry</v>
      </c>
      <c r="M934" t="b">
        <f>OR(ISBLANK(Table1[[#This Row],[Temperature_F]]),ISERROR(Table1[[#This Row],[Temperature_F]]))</f>
        <v>0</v>
      </c>
    </row>
    <row r="935" spans="1:13" hidden="1" x14ac:dyDescent="0.25">
      <c r="A935" s="1" t="s">
        <v>1</v>
      </c>
      <c r="B935" s="1" t="s">
        <v>2</v>
      </c>
      <c r="C935" s="1">
        <v>42.360599999999998</v>
      </c>
      <c r="D935" s="1">
        <v>-71.010599999999997</v>
      </c>
      <c r="E935" s="5">
        <v>41121</v>
      </c>
      <c r="F935" s="1" t="str">
        <f t="shared" si="14"/>
        <v>July</v>
      </c>
      <c r="G935" s="1">
        <v>78</v>
      </c>
      <c r="H935" s="1">
        <v>122</v>
      </c>
      <c r="I935" s="1" t="str">
        <f>IF(Table1[[#This Row],[Temperature_F]]&lt;32,"Yes","No")</f>
        <v>No</v>
      </c>
      <c r="J935" s="1" t="str" cm="1">
        <f t="array" ref="J9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5" s="1" t="str" cm="1">
        <f t="array" ref="K935">_xlfn.IFS(
H935=0,"No Rain",
H935&lt;10,"Light",
H935&lt;50,"Moderate",
TRUE,"Heavy")</f>
        <v>Heavy</v>
      </c>
      <c r="L935" s="1" t="str">
        <f>IF(Table1[[#This Row],[Precipitation_mm]]&lt;&gt;0,"Wet","Dry")</f>
        <v>Wet</v>
      </c>
      <c r="M935" t="b">
        <f>OR(ISBLANK(Table1[[#This Row],[Temperature_F]]),ISERROR(Table1[[#This Row],[Temperature_F]]))</f>
        <v>0</v>
      </c>
    </row>
    <row r="936" spans="1:13" hidden="1" x14ac:dyDescent="0.25">
      <c r="A936" s="1" t="s">
        <v>1</v>
      </c>
      <c r="B936" s="1" t="s">
        <v>2</v>
      </c>
      <c r="C936" s="1">
        <v>42.360599999999998</v>
      </c>
      <c r="D936" s="1">
        <v>-71.010599999999997</v>
      </c>
      <c r="E936" s="5">
        <v>41122</v>
      </c>
      <c r="F936" s="1" t="str">
        <f t="shared" si="14"/>
        <v>August</v>
      </c>
      <c r="G936" s="1">
        <v>70</v>
      </c>
      <c r="H936" s="1">
        <v>203</v>
      </c>
      <c r="I936" s="1" t="str">
        <f>IF(Table1[[#This Row],[Temperature_F]]&lt;32,"Yes","No")</f>
        <v>No</v>
      </c>
      <c r="J936" s="1" t="str" cm="1">
        <f t="array" ref="J9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6" s="1" t="str" cm="1">
        <f t="array" ref="K936">_xlfn.IFS(
H936=0,"No Rain",
H936&lt;10,"Light",
H936&lt;50,"Moderate",
TRUE,"Heavy")</f>
        <v>Heavy</v>
      </c>
      <c r="L936" s="1" t="str">
        <f>IF(Table1[[#This Row],[Precipitation_mm]]&lt;&gt;0,"Wet","Dry")</f>
        <v>Wet</v>
      </c>
      <c r="M936" t="b">
        <f>OR(ISBLANK(Table1[[#This Row],[Temperature_F]]),ISERROR(Table1[[#This Row],[Temperature_F]]))</f>
        <v>0</v>
      </c>
    </row>
    <row r="937" spans="1:13" hidden="1" x14ac:dyDescent="0.25">
      <c r="A937" s="1" t="s">
        <v>1</v>
      </c>
      <c r="B937" s="1" t="s">
        <v>2</v>
      </c>
      <c r="C937" s="1">
        <v>42.360599999999998</v>
      </c>
      <c r="D937" s="1">
        <v>-71.010599999999997</v>
      </c>
      <c r="E937" s="5">
        <v>41123</v>
      </c>
      <c r="F937" s="1" t="str">
        <f t="shared" si="14"/>
        <v>August</v>
      </c>
      <c r="G937" s="1">
        <v>87</v>
      </c>
      <c r="H937" s="1">
        <v>0</v>
      </c>
      <c r="I937" s="1" t="str">
        <f>IF(Table1[[#This Row],[Temperature_F]]&lt;32,"Yes","No")</f>
        <v>No</v>
      </c>
      <c r="J937" s="1" t="str" cm="1">
        <f t="array" ref="J9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37" s="1" t="str" cm="1">
        <f t="array" ref="K937">_xlfn.IFS(
H937=0,"No Rain",
H937&lt;10,"Light",
H937&lt;50,"Moderate",
TRUE,"Heavy")</f>
        <v>No Rain</v>
      </c>
      <c r="L937" s="1" t="str">
        <f>IF(Table1[[#This Row],[Precipitation_mm]]&lt;&gt;0,"Wet","Dry")</f>
        <v>Dry</v>
      </c>
      <c r="M937" t="b">
        <f>OR(ISBLANK(Table1[[#This Row],[Temperature_F]]),ISERROR(Table1[[#This Row],[Temperature_F]]))</f>
        <v>0</v>
      </c>
    </row>
    <row r="938" spans="1:13" hidden="1" x14ac:dyDescent="0.25">
      <c r="A938" s="1" t="s">
        <v>1</v>
      </c>
      <c r="B938" s="1" t="s">
        <v>2</v>
      </c>
      <c r="C938" s="1">
        <v>42.360599999999998</v>
      </c>
      <c r="D938" s="1">
        <v>-71.010599999999997</v>
      </c>
      <c r="E938" s="5">
        <v>41124</v>
      </c>
      <c r="F938" s="1" t="str">
        <f t="shared" si="14"/>
        <v>August</v>
      </c>
      <c r="G938" s="1">
        <v>69</v>
      </c>
      <c r="H938" s="1">
        <v>0</v>
      </c>
      <c r="I938" s="1" t="str">
        <f>IF(Table1[[#This Row],[Temperature_F]]&lt;32,"Yes","No")</f>
        <v>No</v>
      </c>
      <c r="J938" s="1" t="str" cm="1">
        <f t="array" ref="J9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8" s="1" t="str" cm="1">
        <f t="array" ref="K938">_xlfn.IFS(
H938=0,"No Rain",
H938&lt;10,"Light",
H938&lt;50,"Moderate",
TRUE,"Heavy")</f>
        <v>No Rain</v>
      </c>
      <c r="L938" s="1" t="str">
        <f>IF(Table1[[#This Row],[Precipitation_mm]]&lt;&gt;0,"Wet","Dry")</f>
        <v>Dry</v>
      </c>
      <c r="M938" t="b">
        <f>OR(ISBLANK(Table1[[#This Row],[Temperature_F]]),ISERROR(Table1[[#This Row],[Temperature_F]]))</f>
        <v>0</v>
      </c>
    </row>
    <row r="939" spans="1:13" hidden="1" x14ac:dyDescent="0.25">
      <c r="A939" s="1" t="s">
        <v>1</v>
      </c>
      <c r="B939" s="1" t="s">
        <v>2</v>
      </c>
      <c r="C939" s="1">
        <v>42.360599999999998</v>
      </c>
      <c r="D939" s="1">
        <v>-71.010599999999997</v>
      </c>
      <c r="E939" s="5">
        <v>41125</v>
      </c>
      <c r="F939" s="1" t="str">
        <f t="shared" si="14"/>
        <v>August</v>
      </c>
      <c r="G939" s="1">
        <v>71</v>
      </c>
      <c r="H939" s="1">
        <v>0</v>
      </c>
      <c r="I939" s="1" t="str">
        <f>IF(Table1[[#This Row],[Temperature_F]]&lt;32,"Yes","No")</f>
        <v>No</v>
      </c>
      <c r="J939" s="1" t="str" cm="1">
        <f t="array" ref="J9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39" s="1" t="str" cm="1">
        <f t="array" ref="K939">_xlfn.IFS(
H939=0,"No Rain",
H939&lt;10,"Light",
H939&lt;50,"Moderate",
TRUE,"Heavy")</f>
        <v>No Rain</v>
      </c>
      <c r="L939" s="1" t="str">
        <f>IF(Table1[[#This Row],[Precipitation_mm]]&lt;&gt;0,"Wet","Dry")</f>
        <v>Dry</v>
      </c>
      <c r="M939" t="b">
        <f>OR(ISBLANK(Table1[[#This Row],[Temperature_F]]),ISERROR(Table1[[#This Row],[Temperature_F]]))</f>
        <v>0</v>
      </c>
    </row>
    <row r="940" spans="1:13" hidden="1" x14ac:dyDescent="0.25">
      <c r="A940" s="1" t="s">
        <v>1</v>
      </c>
      <c r="B940" s="1" t="s">
        <v>2</v>
      </c>
      <c r="C940" s="1">
        <v>42.360599999999998</v>
      </c>
      <c r="D940" s="1">
        <v>-71.010599999999997</v>
      </c>
      <c r="E940" s="5">
        <v>41126</v>
      </c>
      <c r="F940" s="1" t="str">
        <f t="shared" si="14"/>
        <v>August</v>
      </c>
      <c r="G940" s="1">
        <v>81</v>
      </c>
      <c r="H940" s="1">
        <v>20</v>
      </c>
      <c r="I940" s="1" t="str">
        <f>IF(Table1[[#This Row],[Temperature_F]]&lt;32,"Yes","No")</f>
        <v>No</v>
      </c>
      <c r="J940" s="1" t="str" cm="1">
        <f t="array" ref="J9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40" s="1" t="str" cm="1">
        <f t="array" ref="K940">_xlfn.IFS(
H940=0,"No Rain",
H940&lt;10,"Light",
H940&lt;50,"Moderate",
TRUE,"Heavy")</f>
        <v>Moderate</v>
      </c>
      <c r="L940" s="1" t="str">
        <f>IF(Table1[[#This Row],[Precipitation_mm]]&lt;&gt;0,"Wet","Dry")</f>
        <v>Wet</v>
      </c>
      <c r="M940" t="b">
        <f>OR(ISBLANK(Table1[[#This Row],[Temperature_F]]),ISERROR(Table1[[#This Row],[Temperature_F]]))</f>
        <v>0</v>
      </c>
    </row>
    <row r="941" spans="1:13" hidden="1" x14ac:dyDescent="0.25">
      <c r="A941" s="1" t="s">
        <v>1</v>
      </c>
      <c r="B941" s="1" t="s">
        <v>2</v>
      </c>
      <c r="C941" s="1">
        <v>42.360599999999998</v>
      </c>
      <c r="D941" s="1">
        <v>-71.010599999999997</v>
      </c>
      <c r="E941" s="5">
        <v>41127</v>
      </c>
      <c r="F941" s="1" t="str">
        <f t="shared" si="14"/>
        <v>August</v>
      </c>
      <c r="G941" s="1">
        <v>79</v>
      </c>
      <c r="H941" s="1">
        <v>0</v>
      </c>
      <c r="I941" s="1" t="str">
        <f>IF(Table1[[#This Row],[Temperature_F]]&lt;32,"Yes","No")</f>
        <v>No</v>
      </c>
      <c r="J941" s="1" t="str" cm="1">
        <f t="array" ref="J9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41" s="1" t="str" cm="1">
        <f t="array" ref="K941">_xlfn.IFS(
H941=0,"No Rain",
H941&lt;10,"Light",
H941&lt;50,"Moderate",
TRUE,"Heavy")</f>
        <v>No Rain</v>
      </c>
      <c r="L941" s="1" t="str">
        <f>IF(Table1[[#This Row],[Precipitation_mm]]&lt;&gt;0,"Wet","Dry")</f>
        <v>Dry</v>
      </c>
      <c r="M941" t="b">
        <f>OR(ISBLANK(Table1[[#This Row],[Temperature_F]]),ISERROR(Table1[[#This Row],[Temperature_F]]))</f>
        <v>0</v>
      </c>
    </row>
    <row r="942" spans="1:13" hidden="1" x14ac:dyDescent="0.25">
      <c r="A942" s="1" t="s">
        <v>1</v>
      </c>
      <c r="B942" s="1" t="s">
        <v>2</v>
      </c>
      <c r="C942" s="1">
        <v>42.360599999999998</v>
      </c>
      <c r="D942" s="1">
        <v>-71.010599999999997</v>
      </c>
      <c r="E942" s="5">
        <v>41128</v>
      </c>
      <c r="F942" s="1" t="str">
        <f t="shared" si="14"/>
        <v>August</v>
      </c>
      <c r="G942" s="1">
        <v>65</v>
      </c>
      <c r="H942" s="1">
        <v>0</v>
      </c>
      <c r="I942" s="1" t="str">
        <f>IF(Table1[[#This Row],[Temperature_F]]&lt;32,"Yes","No")</f>
        <v>No</v>
      </c>
      <c r="J942" s="1" t="str" cm="1">
        <f t="array" ref="J9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42" s="1" t="str" cm="1">
        <f t="array" ref="K942">_xlfn.IFS(
H942=0,"No Rain",
H942&lt;10,"Light",
H942&lt;50,"Moderate",
TRUE,"Heavy")</f>
        <v>No Rain</v>
      </c>
      <c r="L942" s="1" t="str">
        <f>IF(Table1[[#This Row],[Precipitation_mm]]&lt;&gt;0,"Wet","Dry")</f>
        <v>Dry</v>
      </c>
      <c r="M942" t="b">
        <f>OR(ISBLANK(Table1[[#This Row],[Temperature_F]]),ISERROR(Table1[[#This Row],[Temperature_F]]))</f>
        <v>0</v>
      </c>
    </row>
    <row r="943" spans="1:13" hidden="1" x14ac:dyDescent="0.25">
      <c r="A943" s="1" t="s">
        <v>1</v>
      </c>
      <c r="B943" s="1" t="s">
        <v>2</v>
      </c>
      <c r="C943" s="1">
        <v>42.360599999999998</v>
      </c>
      <c r="D943" s="1">
        <v>-71.010599999999997</v>
      </c>
      <c r="E943" s="5">
        <v>41129</v>
      </c>
      <c r="F943" s="1" t="str">
        <f t="shared" si="14"/>
        <v>August</v>
      </c>
      <c r="G943" s="1">
        <v>68</v>
      </c>
      <c r="H943" s="1">
        <v>0</v>
      </c>
      <c r="I943" s="1" t="str">
        <f>IF(Table1[[#This Row],[Temperature_F]]&lt;32,"Yes","No")</f>
        <v>No</v>
      </c>
      <c r="J943" s="1" t="str" cm="1">
        <f t="array" ref="J9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43" s="1" t="str" cm="1">
        <f t="array" ref="K943">_xlfn.IFS(
H943=0,"No Rain",
H943&lt;10,"Light",
H943&lt;50,"Moderate",
TRUE,"Heavy")</f>
        <v>No Rain</v>
      </c>
      <c r="L943" s="1" t="str">
        <f>IF(Table1[[#This Row],[Precipitation_mm]]&lt;&gt;0,"Wet","Dry")</f>
        <v>Dry</v>
      </c>
      <c r="M943" t="b">
        <f>OR(ISBLANK(Table1[[#This Row],[Temperature_F]]),ISERROR(Table1[[#This Row],[Temperature_F]]))</f>
        <v>0</v>
      </c>
    </row>
    <row r="944" spans="1:13" hidden="1" x14ac:dyDescent="0.25">
      <c r="A944" s="1" t="s">
        <v>1</v>
      </c>
      <c r="B944" s="1" t="s">
        <v>2</v>
      </c>
      <c r="C944" s="1">
        <v>42.360599999999998</v>
      </c>
      <c r="D944" s="1">
        <v>-71.010599999999997</v>
      </c>
      <c r="E944" s="5">
        <v>41130</v>
      </c>
      <c r="F944" s="1" t="str">
        <f t="shared" si="14"/>
        <v>August</v>
      </c>
      <c r="G944" s="1">
        <v>65</v>
      </c>
      <c r="H944" s="1">
        <v>0</v>
      </c>
      <c r="I944" s="1" t="str">
        <f>IF(Table1[[#This Row],[Temperature_F]]&lt;32,"Yes","No")</f>
        <v>No</v>
      </c>
      <c r="J944" s="1" t="str" cm="1">
        <f t="array" ref="J9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44" s="1" t="str" cm="1">
        <f t="array" ref="K944">_xlfn.IFS(
H944=0,"No Rain",
H944&lt;10,"Light",
H944&lt;50,"Moderate",
TRUE,"Heavy")</f>
        <v>No Rain</v>
      </c>
      <c r="L944" s="1" t="str">
        <f>IF(Table1[[#This Row],[Precipitation_mm]]&lt;&gt;0,"Wet","Dry")</f>
        <v>Dry</v>
      </c>
      <c r="M944" t="b">
        <f>OR(ISBLANK(Table1[[#This Row],[Temperature_F]]),ISERROR(Table1[[#This Row],[Temperature_F]]))</f>
        <v>0</v>
      </c>
    </row>
    <row r="945" spans="1:13" hidden="1" x14ac:dyDescent="0.25">
      <c r="A945" s="1" t="s">
        <v>1</v>
      </c>
      <c r="B945" s="1" t="s">
        <v>2</v>
      </c>
      <c r="C945" s="1">
        <v>42.360599999999998</v>
      </c>
      <c r="D945" s="1">
        <v>-71.010599999999997</v>
      </c>
      <c r="E945" s="5">
        <v>41131</v>
      </c>
      <c r="F945" s="1" t="str">
        <f t="shared" si="14"/>
        <v>August</v>
      </c>
      <c r="G945" s="1">
        <v>82</v>
      </c>
      <c r="H945" s="1">
        <v>297</v>
      </c>
      <c r="I945" s="1" t="str">
        <f>IF(Table1[[#This Row],[Temperature_F]]&lt;32,"Yes","No")</f>
        <v>No</v>
      </c>
      <c r="J945" s="1" t="str" cm="1">
        <f t="array" ref="J9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45" s="1" t="str" cm="1">
        <f t="array" ref="K945">_xlfn.IFS(
H945=0,"No Rain",
H945&lt;10,"Light",
H945&lt;50,"Moderate",
TRUE,"Heavy")</f>
        <v>Heavy</v>
      </c>
      <c r="L945" s="1" t="str">
        <f>IF(Table1[[#This Row],[Precipitation_mm]]&lt;&gt;0,"Wet","Dry")</f>
        <v>Wet</v>
      </c>
      <c r="M945" t="b">
        <f>OR(ISBLANK(Table1[[#This Row],[Temperature_F]]),ISERROR(Table1[[#This Row],[Temperature_F]]))</f>
        <v>0</v>
      </c>
    </row>
    <row r="946" spans="1:13" hidden="1" x14ac:dyDescent="0.25">
      <c r="A946" s="1" t="s">
        <v>1</v>
      </c>
      <c r="B946" s="1" t="s">
        <v>2</v>
      </c>
      <c r="C946" s="1">
        <v>42.360599999999998</v>
      </c>
      <c r="D946" s="1">
        <v>-71.010599999999997</v>
      </c>
      <c r="E946" s="5">
        <v>41132</v>
      </c>
      <c r="F946" s="1" t="str">
        <f t="shared" si="14"/>
        <v>August</v>
      </c>
      <c r="G946" s="1">
        <v>90</v>
      </c>
      <c r="H946" s="1">
        <v>0</v>
      </c>
      <c r="I946" s="1" t="str">
        <f>IF(Table1[[#This Row],[Temperature_F]]&lt;32,"Yes","No")</f>
        <v>No</v>
      </c>
      <c r="J946" s="1" t="str" cm="1">
        <f t="array" ref="J9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46" s="1" t="str" cm="1">
        <f t="array" ref="K946">_xlfn.IFS(
H946=0,"No Rain",
H946&lt;10,"Light",
H946&lt;50,"Moderate",
TRUE,"Heavy")</f>
        <v>No Rain</v>
      </c>
      <c r="L946" s="1" t="str">
        <f>IF(Table1[[#This Row],[Precipitation_mm]]&lt;&gt;0,"Wet","Dry")</f>
        <v>Dry</v>
      </c>
      <c r="M946" t="b">
        <f>OR(ISBLANK(Table1[[#This Row],[Temperature_F]]),ISERROR(Table1[[#This Row],[Temperature_F]]))</f>
        <v>0</v>
      </c>
    </row>
    <row r="947" spans="1:13" hidden="1" x14ac:dyDescent="0.25">
      <c r="A947" s="1" t="s">
        <v>1</v>
      </c>
      <c r="B947" s="1" t="s">
        <v>2</v>
      </c>
      <c r="C947" s="1">
        <v>42.360599999999998</v>
      </c>
      <c r="D947" s="1">
        <v>-71.010599999999997</v>
      </c>
      <c r="E947" s="5">
        <v>41133</v>
      </c>
      <c r="F947" s="1" t="str">
        <f t="shared" si="14"/>
        <v>August</v>
      </c>
      <c r="G947" s="1">
        <v>83</v>
      </c>
      <c r="H947" s="1">
        <v>3</v>
      </c>
      <c r="I947" s="1" t="str">
        <f>IF(Table1[[#This Row],[Temperature_F]]&lt;32,"Yes","No")</f>
        <v>No</v>
      </c>
      <c r="J947" s="1" t="str" cm="1">
        <f t="array" ref="J9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47" s="1" t="str" cm="1">
        <f t="array" ref="K947">_xlfn.IFS(
H947=0,"No Rain",
H947&lt;10,"Light",
H947&lt;50,"Moderate",
TRUE,"Heavy")</f>
        <v>Light</v>
      </c>
      <c r="L947" s="1" t="str">
        <f>IF(Table1[[#This Row],[Precipitation_mm]]&lt;&gt;0,"Wet","Dry")</f>
        <v>Wet</v>
      </c>
      <c r="M947" t="b">
        <f>OR(ISBLANK(Table1[[#This Row],[Temperature_F]]),ISERROR(Table1[[#This Row],[Temperature_F]]))</f>
        <v>0</v>
      </c>
    </row>
    <row r="948" spans="1:13" hidden="1" x14ac:dyDescent="0.25">
      <c r="A948" s="1" t="s">
        <v>1</v>
      </c>
      <c r="B948" s="1" t="s">
        <v>2</v>
      </c>
      <c r="C948" s="1">
        <v>42.360599999999998</v>
      </c>
      <c r="D948" s="1">
        <v>-71.010599999999997</v>
      </c>
      <c r="E948" s="5">
        <v>41134</v>
      </c>
      <c r="F948" s="1" t="str">
        <f t="shared" si="14"/>
        <v>August</v>
      </c>
      <c r="G948" s="1">
        <v>82</v>
      </c>
      <c r="H948" s="1">
        <v>0</v>
      </c>
      <c r="I948" s="1" t="str">
        <f>IF(Table1[[#This Row],[Temperature_F]]&lt;32,"Yes","No")</f>
        <v>No</v>
      </c>
      <c r="J948" s="1" t="str" cm="1">
        <f t="array" ref="J9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48" s="1" t="str" cm="1">
        <f t="array" ref="K948">_xlfn.IFS(
H948=0,"No Rain",
H948&lt;10,"Light",
H948&lt;50,"Moderate",
TRUE,"Heavy")</f>
        <v>No Rain</v>
      </c>
      <c r="L948" s="1" t="str">
        <f>IF(Table1[[#This Row],[Precipitation_mm]]&lt;&gt;0,"Wet","Dry")</f>
        <v>Dry</v>
      </c>
      <c r="M948" t="b">
        <f>OR(ISBLANK(Table1[[#This Row],[Temperature_F]]),ISERROR(Table1[[#This Row],[Temperature_F]]))</f>
        <v>0</v>
      </c>
    </row>
    <row r="949" spans="1:13" hidden="1" x14ac:dyDescent="0.25">
      <c r="A949" s="1" t="s">
        <v>1</v>
      </c>
      <c r="B949" s="1" t="s">
        <v>2</v>
      </c>
      <c r="C949" s="1">
        <v>42.360599999999998</v>
      </c>
      <c r="D949" s="1">
        <v>-71.010599999999997</v>
      </c>
      <c r="E949" s="5">
        <v>41135</v>
      </c>
      <c r="F949" s="1" t="str">
        <f t="shared" si="14"/>
        <v>August</v>
      </c>
      <c r="G949" s="1">
        <v>86</v>
      </c>
      <c r="H949" s="1">
        <v>0</v>
      </c>
      <c r="I949" s="1" t="str">
        <f>IF(Table1[[#This Row],[Temperature_F]]&lt;32,"Yes","No")</f>
        <v>No</v>
      </c>
      <c r="J949" s="1" t="str" cm="1">
        <f t="array" ref="J9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49" s="1" t="str" cm="1">
        <f t="array" ref="K949">_xlfn.IFS(
H949=0,"No Rain",
H949&lt;10,"Light",
H949&lt;50,"Moderate",
TRUE,"Heavy")</f>
        <v>No Rain</v>
      </c>
      <c r="L949" s="1" t="str">
        <f>IF(Table1[[#This Row],[Precipitation_mm]]&lt;&gt;0,"Wet","Dry")</f>
        <v>Dry</v>
      </c>
      <c r="M949" t="b">
        <f>OR(ISBLANK(Table1[[#This Row],[Temperature_F]]),ISERROR(Table1[[#This Row],[Temperature_F]]))</f>
        <v>0</v>
      </c>
    </row>
    <row r="950" spans="1:13" hidden="1" x14ac:dyDescent="0.25">
      <c r="A950" s="1" t="s">
        <v>1</v>
      </c>
      <c r="B950" s="1" t="s">
        <v>2</v>
      </c>
      <c r="C950" s="1">
        <v>42.360599999999998</v>
      </c>
      <c r="D950" s="1">
        <v>-71.010599999999997</v>
      </c>
      <c r="E950" s="5">
        <v>41136</v>
      </c>
      <c r="F950" s="1" t="str">
        <f t="shared" si="14"/>
        <v>August</v>
      </c>
      <c r="G950" s="1">
        <v>65</v>
      </c>
      <c r="H950" s="1">
        <v>211</v>
      </c>
      <c r="I950" s="1" t="str">
        <f>IF(Table1[[#This Row],[Temperature_F]]&lt;32,"Yes","No")</f>
        <v>No</v>
      </c>
      <c r="J950" s="1" t="str" cm="1">
        <f t="array" ref="J9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50" s="1" t="str" cm="1">
        <f t="array" ref="K950">_xlfn.IFS(
H950=0,"No Rain",
H950&lt;10,"Light",
H950&lt;50,"Moderate",
TRUE,"Heavy")</f>
        <v>Heavy</v>
      </c>
      <c r="L950" s="1" t="str">
        <f>IF(Table1[[#This Row],[Precipitation_mm]]&lt;&gt;0,"Wet","Dry")</f>
        <v>Wet</v>
      </c>
      <c r="M950" t="b">
        <f>OR(ISBLANK(Table1[[#This Row],[Temperature_F]]),ISERROR(Table1[[#This Row],[Temperature_F]]))</f>
        <v>0</v>
      </c>
    </row>
    <row r="951" spans="1:13" hidden="1" x14ac:dyDescent="0.25">
      <c r="A951" s="1" t="s">
        <v>1</v>
      </c>
      <c r="B951" s="1" t="s">
        <v>2</v>
      </c>
      <c r="C951" s="1">
        <v>42.360599999999998</v>
      </c>
      <c r="D951" s="1">
        <v>-71.010599999999997</v>
      </c>
      <c r="E951" s="5">
        <v>41137</v>
      </c>
      <c r="F951" s="1" t="str">
        <f t="shared" si="14"/>
        <v>August</v>
      </c>
      <c r="G951" s="1">
        <v>76</v>
      </c>
      <c r="H951" s="1">
        <v>0</v>
      </c>
      <c r="I951" s="1" t="str">
        <f>IF(Table1[[#This Row],[Temperature_F]]&lt;32,"Yes","No")</f>
        <v>No</v>
      </c>
      <c r="J951" s="1" t="str" cm="1">
        <f t="array" ref="J9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1" s="1" t="str" cm="1">
        <f t="array" ref="K951">_xlfn.IFS(
H951=0,"No Rain",
H951&lt;10,"Light",
H951&lt;50,"Moderate",
TRUE,"Heavy")</f>
        <v>No Rain</v>
      </c>
      <c r="L951" s="1" t="str">
        <f>IF(Table1[[#This Row],[Precipitation_mm]]&lt;&gt;0,"Wet","Dry")</f>
        <v>Dry</v>
      </c>
      <c r="M951" t="b">
        <f>OR(ISBLANK(Table1[[#This Row],[Temperature_F]]),ISERROR(Table1[[#This Row],[Temperature_F]]))</f>
        <v>0</v>
      </c>
    </row>
    <row r="952" spans="1:13" hidden="1" x14ac:dyDescent="0.25">
      <c r="A952" s="1" t="s">
        <v>1</v>
      </c>
      <c r="B952" s="1" t="s">
        <v>2</v>
      </c>
      <c r="C952" s="1">
        <v>42.360599999999998</v>
      </c>
      <c r="D952" s="1">
        <v>-71.010599999999997</v>
      </c>
      <c r="E952" s="5">
        <v>41138</v>
      </c>
      <c r="F952" s="1" t="str">
        <f t="shared" si="14"/>
        <v>August</v>
      </c>
      <c r="G952" s="1">
        <v>88</v>
      </c>
      <c r="H952" s="1">
        <v>0</v>
      </c>
      <c r="I952" s="1" t="str">
        <f>IF(Table1[[#This Row],[Temperature_F]]&lt;32,"Yes","No")</f>
        <v>No</v>
      </c>
      <c r="J952" s="1" t="str" cm="1">
        <f t="array" ref="J9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52" s="1" t="str" cm="1">
        <f t="array" ref="K952">_xlfn.IFS(
H952=0,"No Rain",
H952&lt;10,"Light",
H952&lt;50,"Moderate",
TRUE,"Heavy")</f>
        <v>No Rain</v>
      </c>
      <c r="L952" s="1" t="str">
        <f>IF(Table1[[#This Row],[Precipitation_mm]]&lt;&gt;0,"Wet","Dry")</f>
        <v>Dry</v>
      </c>
      <c r="M952" t="b">
        <f>OR(ISBLANK(Table1[[#This Row],[Temperature_F]]),ISERROR(Table1[[#This Row],[Temperature_F]]))</f>
        <v>0</v>
      </c>
    </row>
    <row r="953" spans="1:13" hidden="1" x14ac:dyDescent="0.25">
      <c r="A953" s="1" t="s">
        <v>1</v>
      </c>
      <c r="B953" s="1" t="s">
        <v>2</v>
      </c>
      <c r="C953" s="1">
        <v>42.360599999999998</v>
      </c>
      <c r="D953" s="1">
        <v>-71.010599999999997</v>
      </c>
      <c r="E953" s="5">
        <v>41139</v>
      </c>
      <c r="F953" s="1" t="str">
        <f t="shared" si="14"/>
        <v>August</v>
      </c>
      <c r="G953" s="1">
        <v>72</v>
      </c>
      <c r="H953" s="1">
        <v>10</v>
      </c>
      <c r="I953" s="1" t="str">
        <f>IF(Table1[[#This Row],[Temperature_F]]&lt;32,"Yes","No")</f>
        <v>No</v>
      </c>
      <c r="J953" s="1" t="str" cm="1">
        <f t="array" ref="J9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3" s="1" t="str" cm="1">
        <f t="array" ref="K953">_xlfn.IFS(
H953=0,"No Rain",
H953&lt;10,"Light",
H953&lt;50,"Moderate",
TRUE,"Heavy")</f>
        <v>Moderate</v>
      </c>
      <c r="L953" s="1" t="str">
        <f>IF(Table1[[#This Row],[Precipitation_mm]]&lt;&gt;0,"Wet","Dry")</f>
        <v>Wet</v>
      </c>
      <c r="M953" t="b">
        <f>OR(ISBLANK(Table1[[#This Row],[Temperature_F]]),ISERROR(Table1[[#This Row],[Temperature_F]]))</f>
        <v>0</v>
      </c>
    </row>
    <row r="954" spans="1:13" hidden="1" x14ac:dyDescent="0.25">
      <c r="A954" s="1" t="s">
        <v>1</v>
      </c>
      <c r="B954" s="1" t="s">
        <v>2</v>
      </c>
      <c r="C954" s="1">
        <v>42.360599999999998</v>
      </c>
      <c r="D954" s="1">
        <v>-71.010599999999997</v>
      </c>
      <c r="E954" s="5">
        <v>41140</v>
      </c>
      <c r="F954" s="1" t="str">
        <f t="shared" ref="F954:F1017" si="15">TEXT(E954,"mmmm")</f>
        <v>August</v>
      </c>
      <c r="G954" s="1">
        <v>82</v>
      </c>
      <c r="H954" s="1">
        <v>0</v>
      </c>
      <c r="I954" s="1" t="str">
        <f>IF(Table1[[#This Row],[Temperature_F]]&lt;32,"Yes","No")</f>
        <v>No</v>
      </c>
      <c r="J954" s="1" t="str" cm="1">
        <f t="array" ref="J9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4" s="1" t="str" cm="1">
        <f t="array" ref="K954">_xlfn.IFS(
H954=0,"No Rain",
H954&lt;10,"Light",
H954&lt;50,"Moderate",
TRUE,"Heavy")</f>
        <v>No Rain</v>
      </c>
      <c r="L954" s="1" t="str">
        <f>IF(Table1[[#This Row],[Precipitation_mm]]&lt;&gt;0,"Wet","Dry")</f>
        <v>Dry</v>
      </c>
      <c r="M954" t="b">
        <f>OR(ISBLANK(Table1[[#This Row],[Temperature_F]]),ISERROR(Table1[[#This Row],[Temperature_F]]))</f>
        <v>0</v>
      </c>
    </row>
    <row r="955" spans="1:13" hidden="1" x14ac:dyDescent="0.25">
      <c r="A955" s="1" t="s">
        <v>1</v>
      </c>
      <c r="B955" s="1" t="s">
        <v>2</v>
      </c>
      <c r="C955" s="1">
        <v>42.360599999999998</v>
      </c>
      <c r="D955" s="1">
        <v>-71.010599999999997</v>
      </c>
      <c r="E955" s="5">
        <v>41141</v>
      </c>
      <c r="F955" s="1" t="str">
        <f t="shared" si="15"/>
        <v>August</v>
      </c>
      <c r="G955" s="1">
        <v>74</v>
      </c>
      <c r="H955" s="1">
        <v>0</v>
      </c>
      <c r="I955" s="1" t="str">
        <f>IF(Table1[[#This Row],[Temperature_F]]&lt;32,"Yes","No")</f>
        <v>No</v>
      </c>
      <c r="J955" s="1" t="str" cm="1">
        <f t="array" ref="J9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5" s="1" t="str" cm="1">
        <f t="array" ref="K955">_xlfn.IFS(
H955=0,"No Rain",
H955&lt;10,"Light",
H955&lt;50,"Moderate",
TRUE,"Heavy")</f>
        <v>No Rain</v>
      </c>
      <c r="L955" s="1" t="str">
        <f>IF(Table1[[#This Row],[Precipitation_mm]]&lt;&gt;0,"Wet","Dry")</f>
        <v>Dry</v>
      </c>
      <c r="M955" t="b">
        <f>OR(ISBLANK(Table1[[#This Row],[Temperature_F]]),ISERROR(Table1[[#This Row],[Temperature_F]]))</f>
        <v>0</v>
      </c>
    </row>
    <row r="956" spans="1:13" hidden="1" x14ac:dyDescent="0.25">
      <c r="A956" s="1" t="s">
        <v>1</v>
      </c>
      <c r="B956" s="1" t="s">
        <v>2</v>
      </c>
      <c r="C956" s="1">
        <v>42.360599999999998</v>
      </c>
      <c r="D956" s="1">
        <v>-71.010599999999997</v>
      </c>
      <c r="E956" s="5">
        <v>41142</v>
      </c>
      <c r="F956" s="1" t="str">
        <f t="shared" si="15"/>
        <v>August</v>
      </c>
      <c r="G956" s="1">
        <v>67</v>
      </c>
      <c r="H956" s="1">
        <v>0</v>
      </c>
      <c r="I956" s="1" t="str">
        <f>IF(Table1[[#This Row],[Temperature_F]]&lt;32,"Yes","No")</f>
        <v>No</v>
      </c>
      <c r="J956" s="1" t="str" cm="1">
        <f t="array" ref="J9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56" s="1" t="str" cm="1">
        <f t="array" ref="K956">_xlfn.IFS(
H956=0,"No Rain",
H956&lt;10,"Light",
H956&lt;50,"Moderate",
TRUE,"Heavy")</f>
        <v>No Rain</v>
      </c>
      <c r="L956" s="1" t="str">
        <f>IF(Table1[[#This Row],[Precipitation_mm]]&lt;&gt;0,"Wet","Dry")</f>
        <v>Dry</v>
      </c>
      <c r="M956" t="b">
        <f>OR(ISBLANK(Table1[[#This Row],[Temperature_F]]),ISERROR(Table1[[#This Row],[Temperature_F]]))</f>
        <v>0</v>
      </c>
    </row>
    <row r="957" spans="1:13" hidden="1" x14ac:dyDescent="0.25">
      <c r="A957" s="1" t="s">
        <v>1</v>
      </c>
      <c r="B957" s="1" t="s">
        <v>2</v>
      </c>
      <c r="C957" s="1">
        <v>42.360599999999998</v>
      </c>
      <c r="D957" s="1">
        <v>-71.010599999999997</v>
      </c>
      <c r="E957" s="5">
        <v>41143</v>
      </c>
      <c r="F957" s="1" t="str">
        <f t="shared" si="15"/>
        <v>August</v>
      </c>
      <c r="G957" s="1">
        <v>76</v>
      </c>
      <c r="H957" s="1">
        <v>0</v>
      </c>
      <c r="I957" s="1" t="str">
        <f>IF(Table1[[#This Row],[Temperature_F]]&lt;32,"Yes","No")</f>
        <v>No</v>
      </c>
      <c r="J957" s="1" t="str" cm="1">
        <f t="array" ref="J9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7" s="1" t="str" cm="1">
        <f t="array" ref="K957">_xlfn.IFS(
H957=0,"No Rain",
H957&lt;10,"Light",
H957&lt;50,"Moderate",
TRUE,"Heavy")</f>
        <v>No Rain</v>
      </c>
      <c r="L957" s="1" t="str">
        <f>IF(Table1[[#This Row],[Precipitation_mm]]&lt;&gt;0,"Wet","Dry")</f>
        <v>Dry</v>
      </c>
      <c r="M957" t="b">
        <f>OR(ISBLANK(Table1[[#This Row],[Temperature_F]]),ISERROR(Table1[[#This Row],[Temperature_F]]))</f>
        <v>0</v>
      </c>
    </row>
    <row r="958" spans="1:13" hidden="1" x14ac:dyDescent="0.25">
      <c r="A958" s="1" t="s">
        <v>1</v>
      </c>
      <c r="B958" s="1" t="s">
        <v>2</v>
      </c>
      <c r="C958" s="1">
        <v>42.360599999999998</v>
      </c>
      <c r="D958" s="1">
        <v>-71.010599999999997</v>
      </c>
      <c r="E958" s="5">
        <v>41144</v>
      </c>
      <c r="F958" s="1" t="str">
        <f t="shared" si="15"/>
        <v>August</v>
      </c>
      <c r="G958" s="1">
        <v>69</v>
      </c>
      <c r="H958" s="1">
        <v>0</v>
      </c>
      <c r="I958" s="1" t="str">
        <f>IF(Table1[[#This Row],[Temperature_F]]&lt;32,"Yes","No")</f>
        <v>No</v>
      </c>
      <c r="J958" s="1" t="str" cm="1">
        <f t="array" ref="J9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8" s="1" t="str" cm="1">
        <f t="array" ref="K958">_xlfn.IFS(
H958=0,"No Rain",
H958&lt;10,"Light",
H958&lt;50,"Moderate",
TRUE,"Heavy")</f>
        <v>No Rain</v>
      </c>
      <c r="L958" s="1" t="str">
        <f>IF(Table1[[#This Row],[Precipitation_mm]]&lt;&gt;0,"Wet","Dry")</f>
        <v>Dry</v>
      </c>
      <c r="M958" t="b">
        <f>OR(ISBLANK(Table1[[#This Row],[Temperature_F]]),ISERROR(Table1[[#This Row],[Temperature_F]]))</f>
        <v>0</v>
      </c>
    </row>
    <row r="959" spans="1:13" hidden="1" x14ac:dyDescent="0.25">
      <c r="A959" s="1" t="s">
        <v>1</v>
      </c>
      <c r="B959" s="1" t="s">
        <v>2</v>
      </c>
      <c r="C959" s="1">
        <v>42.360599999999998</v>
      </c>
      <c r="D959" s="1">
        <v>-71.010599999999997</v>
      </c>
      <c r="E959" s="5">
        <v>41145</v>
      </c>
      <c r="F959" s="1" t="str">
        <f t="shared" si="15"/>
        <v>August</v>
      </c>
      <c r="G959" s="1">
        <v>85</v>
      </c>
      <c r="H959" s="1">
        <v>0</v>
      </c>
      <c r="I959" s="1" t="str">
        <f>IF(Table1[[#This Row],[Temperature_F]]&lt;32,"Yes","No")</f>
        <v>No</v>
      </c>
      <c r="J959" s="1" t="str" cm="1">
        <f t="array" ref="J9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59" s="1" t="str" cm="1">
        <f t="array" ref="K959">_xlfn.IFS(
H959=0,"No Rain",
H959&lt;10,"Light",
H959&lt;50,"Moderate",
TRUE,"Heavy")</f>
        <v>No Rain</v>
      </c>
      <c r="L959" s="1" t="str">
        <f>IF(Table1[[#This Row],[Precipitation_mm]]&lt;&gt;0,"Wet","Dry")</f>
        <v>Dry</v>
      </c>
      <c r="M959" t="b">
        <f>OR(ISBLANK(Table1[[#This Row],[Temperature_F]]),ISERROR(Table1[[#This Row],[Temperature_F]]))</f>
        <v>0</v>
      </c>
    </row>
    <row r="960" spans="1:13" hidden="1" x14ac:dyDescent="0.25">
      <c r="A960" s="1" t="s">
        <v>1</v>
      </c>
      <c r="B960" s="1" t="s">
        <v>2</v>
      </c>
      <c r="C960" s="1">
        <v>42.360599999999998</v>
      </c>
      <c r="D960" s="1">
        <v>-71.010599999999997</v>
      </c>
      <c r="E960" s="5">
        <v>41146</v>
      </c>
      <c r="F960" s="1" t="str">
        <f t="shared" si="15"/>
        <v>August</v>
      </c>
      <c r="G960" s="1">
        <v>67</v>
      </c>
      <c r="H960" s="1">
        <v>0</v>
      </c>
      <c r="I960" s="1" t="str">
        <f>IF(Table1[[#This Row],[Temperature_F]]&lt;32,"Yes","No")</f>
        <v>No</v>
      </c>
      <c r="J960" s="1" t="str" cm="1">
        <f t="array" ref="J9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60" s="1" t="str" cm="1">
        <f t="array" ref="K960">_xlfn.IFS(
H960=0,"No Rain",
H960&lt;10,"Light",
H960&lt;50,"Moderate",
TRUE,"Heavy")</f>
        <v>No Rain</v>
      </c>
      <c r="L960" s="1" t="str">
        <f>IF(Table1[[#This Row],[Precipitation_mm]]&lt;&gt;0,"Wet","Dry")</f>
        <v>Dry</v>
      </c>
      <c r="M960" t="b">
        <f>OR(ISBLANK(Table1[[#This Row],[Temperature_F]]),ISERROR(Table1[[#This Row],[Temperature_F]]))</f>
        <v>0</v>
      </c>
    </row>
    <row r="961" spans="1:13" hidden="1" x14ac:dyDescent="0.25">
      <c r="A961" s="1" t="s">
        <v>1</v>
      </c>
      <c r="B961" s="1" t="s">
        <v>2</v>
      </c>
      <c r="C961" s="1">
        <v>42.360599999999998</v>
      </c>
      <c r="D961" s="1">
        <v>-71.010599999999997</v>
      </c>
      <c r="E961" s="5">
        <v>41147</v>
      </c>
      <c r="F961" s="1" t="str">
        <f t="shared" si="15"/>
        <v>August</v>
      </c>
      <c r="G961" s="1">
        <v>90</v>
      </c>
      <c r="H961" s="1">
        <v>0</v>
      </c>
      <c r="I961" s="1" t="str">
        <f>IF(Table1[[#This Row],[Temperature_F]]&lt;32,"Yes","No")</f>
        <v>No</v>
      </c>
      <c r="J961" s="1" t="str" cm="1">
        <f t="array" ref="J9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61" s="1" t="str" cm="1">
        <f t="array" ref="K961">_xlfn.IFS(
H961=0,"No Rain",
H961&lt;10,"Light",
H961&lt;50,"Moderate",
TRUE,"Heavy")</f>
        <v>No Rain</v>
      </c>
      <c r="L961" s="1" t="str">
        <f>IF(Table1[[#This Row],[Precipitation_mm]]&lt;&gt;0,"Wet","Dry")</f>
        <v>Dry</v>
      </c>
      <c r="M961" t="b">
        <f>OR(ISBLANK(Table1[[#This Row],[Temperature_F]]),ISERROR(Table1[[#This Row],[Temperature_F]]))</f>
        <v>0</v>
      </c>
    </row>
    <row r="962" spans="1:13" hidden="1" x14ac:dyDescent="0.25">
      <c r="A962" s="1" t="s">
        <v>1</v>
      </c>
      <c r="B962" s="1" t="s">
        <v>2</v>
      </c>
      <c r="C962" s="1">
        <v>42.360599999999998</v>
      </c>
      <c r="D962" s="1">
        <v>-71.010599999999997</v>
      </c>
      <c r="E962" s="5">
        <v>41148</v>
      </c>
      <c r="F962" s="1" t="str">
        <f t="shared" si="15"/>
        <v>August</v>
      </c>
      <c r="G962" s="1">
        <v>66</v>
      </c>
      <c r="H962" s="1">
        <v>0</v>
      </c>
      <c r="I962" s="1" t="str">
        <f>IF(Table1[[#This Row],[Temperature_F]]&lt;32,"Yes","No")</f>
        <v>No</v>
      </c>
      <c r="J962" s="1" t="str" cm="1">
        <f t="array" ref="J9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62" s="1" t="str" cm="1">
        <f t="array" ref="K962">_xlfn.IFS(
H962=0,"No Rain",
H962&lt;10,"Light",
H962&lt;50,"Moderate",
TRUE,"Heavy")</f>
        <v>No Rain</v>
      </c>
      <c r="L962" s="1" t="str">
        <f>IF(Table1[[#This Row],[Precipitation_mm]]&lt;&gt;0,"Wet","Dry")</f>
        <v>Dry</v>
      </c>
      <c r="M962" t="b">
        <f>OR(ISBLANK(Table1[[#This Row],[Temperature_F]]),ISERROR(Table1[[#This Row],[Temperature_F]]))</f>
        <v>0</v>
      </c>
    </row>
    <row r="963" spans="1:13" hidden="1" x14ac:dyDescent="0.25">
      <c r="A963" s="1" t="s">
        <v>1</v>
      </c>
      <c r="B963" s="1" t="s">
        <v>2</v>
      </c>
      <c r="C963" s="1">
        <v>42.360599999999998</v>
      </c>
      <c r="D963" s="1">
        <v>-71.010599999999997</v>
      </c>
      <c r="E963" s="5">
        <v>41149</v>
      </c>
      <c r="F963" s="1" t="str">
        <f t="shared" si="15"/>
        <v>August</v>
      </c>
      <c r="G963" s="1">
        <v>86</v>
      </c>
      <c r="H963" s="1">
        <v>38</v>
      </c>
      <c r="I963" s="1" t="str">
        <f>IF(Table1[[#This Row],[Temperature_F]]&lt;32,"Yes","No")</f>
        <v>No</v>
      </c>
      <c r="J963" s="1" t="str" cm="1">
        <f t="array" ref="J9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63" s="1" t="str" cm="1">
        <f t="array" ref="K963">_xlfn.IFS(
H963=0,"No Rain",
H963&lt;10,"Light",
H963&lt;50,"Moderate",
TRUE,"Heavy")</f>
        <v>Moderate</v>
      </c>
      <c r="L963" s="1" t="str">
        <f>IF(Table1[[#This Row],[Precipitation_mm]]&lt;&gt;0,"Wet","Dry")</f>
        <v>Wet</v>
      </c>
      <c r="M963" t="b">
        <f>OR(ISBLANK(Table1[[#This Row],[Temperature_F]]),ISERROR(Table1[[#This Row],[Temperature_F]]))</f>
        <v>0</v>
      </c>
    </row>
    <row r="964" spans="1:13" hidden="1" x14ac:dyDescent="0.25">
      <c r="A964" s="1" t="s">
        <v>1</v>
      </c>
      <c r="B964" s="1" t="s">
        <v>2</v>
      </c>
      <c r="C964" s="1">
        <v>42.360599999999998</v>
      </c>
      <c r="D964" s="1">
        <v>-71.010599999999997</v>
      </c>
      <c r="E964" s="5">
        <v>41150</v>
      </c>
      <c r="F964" s="1" t="str">
        <f t="shared" si="15"/>
        <v>August</v>
      </c>
      <c r="G964" s="1">
        <v>77</v>
      </c>
      <c r="H964" s="1">
        <v>0</v>
      </c>
      <c r="I964" s="1" t="str">
        <f>IF(Table1[[#This Row],[Temperature_F]]&lt;32,"Yes","No")</f>
        <v>No</v>
      </c>
      <c r="J964" s="1" t="str" cm="1">
        <f t="array" ref="J9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64" s="1" t="str" cm="1">
        <f t="array" ref="K964">_xlfn.IFS(
H964=0,"No Rain",
H964&lt;10,"Light",
H964&lt;50,"Moderate",
TRUE,"Heavy")</f>
        <v>No Rain</v>
      </c>
      <c r="L964" s="1" t="str">
        <f>IF(Table1[[#This Row],[Precipitation_mm]]&lt;&gt;0,"Wet","Dry")</f>
        <v>Dry</v>
      </c>
      <c r="M964" t="b">
        <f>OR(ISBLANK(Table1[[#This Row],[Temperature_F]]),ISERROR(Table1[[#This Row],[Temperature_F]]))</f>
        <v>0</v>
      </c>
    </row>
    <row r="965" spans="1:13" hidden="1" x14ac:dyDescent="0.25">
      <c r="A965" s="1" t="s">
        <v>1</v>
      </c>
      <c r="B965" s="1" t="s">
        <v>2</v>
      </c>
      <c r="C965" s="1">
        <v>42.360599999999998</v>
      </c>
      <c r="D965" s="1">
        <v>-71.010599999999997</v>
      </c>
      <c r="E965" s="5">
        <v>41151</v>
      </c>
      <c r="F965" s="1" t="str">
        <f t="shared" si="15"/>
        <v>August</v>
      </c>
      <c r="G965" s="1">
        <v>89</v>
      </c>
      <c r="H965" s="1">
        <v>0</v>
      </c>
      <c r="I965" s="1" t="str">
        <f>IF(Table1[[#This Row],[Temperature_F]]&lt;32,"Yes","No")</f>
        <v>No</v>
      </c>
      <c r="J965" s="1" t="str" cm="1">
        <f t="array" ref="J9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965" s="1" t="str" cm="1">
        <f t="array" ref="K965">_xlfn.IFS(
H965=0,"No Rain",
H965&lt;10,"Light",
H965&lt;50,"Moderate",
TRUE,"Heavy")</f>
        <v>No Rain</v>
      </c>
      <c r="L965" s="1" t="str">
        <f>IF(Table1[[#This Row],[Precipitation_mm]]&lt;&gt;0,"Wet","Dry")</f>
        <v>Dry</v>
      </c>
      <c r="M965" t="b">
        <f>OR(ISBLANK(Table1[[#This Row],[Temperature_F]]),ISERROR(Table1[[#This Row],[Temperature_F]]))</f>
        <v>0</v>
      </c>
    </row>
    <row r="966" spans="1:13" hidden="1" x14ac:dyDescent="0.25">
      <c r="A966" s="1" t="s">
        <v>1</v>
      </c>
      <c r="B966" s="1" t="s">
        <v>2</v>
      </c>
      <c r="C966" s="1">
        <v>42.360599999999998</v>
      </c>
      <c r="D966" s="1">
        <v>-71.010599999999997</v>
      </c>
      <c r="E966" s="5">
        <v>41152</v>
      </c>
      <c r="F966" s="1" t="str">
        <f t="shared" si="15"/>
        <v>August</v>
      </c>
      <c r="G966" s="1">
        <v>66</v>
      </c>
      <c r="H966" s="1">
        <v>0</v>
      </c>
      <c r="I966" s="1" t="str">
        <f>IF(Table1[[#This Row],[Temperature_F]]&lt;32,"Yes","No")</f>
        <v>No</v>
      </c>
      <c r="J966" s="1" t="str" cm="1">
        <f t="array" ref="J9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66" s="1" t="str" cm="1">
        <f t="array" ref="K966">_xlfn.IFS(
H966=0,"No Rain",
H966&lt;10,"Light",
H966&lt;50,"Moderate",
TRUE,"Heavy")</f>
        <v>No Rain</v>
      </c>
      <c r="L966" s="1" t="str">
        <f>IF(Table1[[#This Row],[Precipitation_mm]]&lt;&gt;0,"Wet","Dry")</f>
        <v>Dry</v>
      </c>
      <c r="M966" t="b">
        <f>OR(ISBLANK(Table1[[#This Row],[Temperature_F]]),ISERROR(Table1[[#This Row],[Temperature_F]]))</f>
        <v>0</v>
      </c>
    </row>
    <row r="967" spans="1:13" hidden="1" x14ac:dyDescent="0.25">
      <c r="A967" s="1" t="s">
        <v>1</v>
      </c>
      <c r="B967" s="1" t="s">
        <v>2</v>
      </c>
      <c r="C967" s="1">
        <v>42.360599999999998</v>
      </c>
      <c r="D967" s="1">
        <v>-71.010599999999997</v>
      </c>
      <c r="E967" s="5">
        <v>41153</v>
      </c>
      <c r="F967" s="1" t="str">
        <f t="shared" si="15"/>
        <v>September</v>
      </c>
      <c r="G967" s="1">
        <v>61</v>
      </c>
      <c r="H967" s="1">
        <v>0</v>
      </c>
      <c r="I967" s="1" t="str">
        <f>IF(Table1[[#This Row],[Temperature_F]]&lt;32,"Yes","No")</f>
        <v>No</v>
      </c>
      <c r="J967" s="1" t="str" cm="1">
        <f t="array" ref="J9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67" s="1" t="str" cm="1">
        <f t="array" ref="K967">_xlfn.IFS(
H967=0,"No Rain",
H967&lt;10,"Light",
H967&lt;50,"Moderate",
TRUE,"Heavy")</f>
        <v>No Rain</v>
      </c>
      <c r="L967" s="1" t="str">
        <f>IF(Table1[[#This Row],[Precipitation_mm]]&lt;&gt;0,"Wet","Dry")</f>
        <v>Dry</v>
      </c>
      <c r="M967" t="b">
        <f>OR(ISBLANK(Table1[[#This Row],[Temperature_F]]),ISERROR(Table1[[#This Row],[Temperature_F]]))</f>
        <v>0</v>
      </c>
    </row>
    <row r="968" spans="1:13" x14ac:dyDescent="0.25">
      <c r="A968" s="1" t="s">
        <v>1</v>
      </c>
      <c r="B968" s="1" t="s">
        <v>2</v>
      </c>
      <c r="C968" s="1">
        <v>42.360599999999998</v>
      </c>
      <c r="D968" s="1">
        <v>-71.010599999999997</v>
      </c>
      <c r="E968" s="5">
        <v>41154</v>
      </c>
      <c r="F968" s="1" t="str">
        <f t="shared" si="15"/>
        <v>September</v>
      </c>
      <c r="G968" s="1">
        <v>40</v>
      </c>
      <c r="H968" s="1">
        <v>0</v>
      </c>
      <c r="I968" s="1" t="str">
        <f>IF(Table1[[#This Row],[Temperature_F]]&lt;32,"Yes","No")</f>
        <v>No</v>
      </c>
      <c r="J968" s="1" t="str" cm="1">
        <f t="array" ref="J9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68" s="1" t="str" cm="1">
        <f t="array" ref="K968">_xlfn.IFS(
H968=0,"No Rain",
H968&lt;10,"Light",
H968&lt;50,"Moderate",
TRUE,"Heavy")</f>
        <v>No Rain</v>
      </c>
      <c r="L968" s="1" t="str">
        <f>IF(Table1[[#This Row],[Precipitation_mm]]&lt;&gt;0,"Wet","Dry")</f>
        <v>Dry</v>
      </c>
      <c r="M968" t="b">
        <f>OR(ISBLANK(Table1[[#This Row],[Temperature_F]]),ISERROR(Table1[[#This Row],[Temperature_F]]))</f>
        <v>0</v>
      </c>
    </row>
    <row r="969" spans="1:13" hidden="1" x14ac:dyDescent="0.25">
      <c r="A969" s="1" t="s">
        <v>1</v>
      </c>
      <c r="B969" s="1" t="s">
        <v>2</v>
      </c>
      <c r="C969" s="1">
        <v>42.360599999999998</v>
      </c>
      <c r="D969" s="1">
        <v>-71.010599999999997</v>
      </c>
      <c r="E969" s="5">
        <v>41155</v>
      </c>
      <c r="F969" s="1" t="str">
        <f t="shared" si="15"/>
        <v>September</v>
      </c>
      <c r="G969" s="1">
        <v>62</v>
      </c>
      <c r="H969" s="1">
        <v>0</v>
      </c>
      <c r="I969" s="1" t="str">
        <f>IF(Table1[[#This Row],[Temperature_F]]&lt;32,"Yes","No")</f>
        <v>No</v>
      </c>
      <c r="J969" s="1" t="str" cm="1">
        <f t="array" ref="J9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69" s="1" t="str" cm="1">
        <f t="array" ref="K969">_xlfn.IFS(
H969=0,"No Rain",
H969&lt;10,"Light",
H969&lt;50,"Moderate",
TRUE,"Heavy")</f>
        <v>No Rain</v>
      </c>
      <c r="L969" s="1" t="str">
        <f>IF(Table1[[#This Row],[Precipitation_mm]]&lt;&gt;0,"Wet","Dry")</f>
        <v>Dry</v>
      </c>
      <c r="M969" t="b">
        <f>OR(ISBLANK(Table1[[#This Row],[Temperature_F]]),ISERROR(Table1[[#This Row],[Temperature_F]]))</f>
        <v>0</v>
      </c>
    </row>
    <row r="970" spans="1:13" hidden="1" x14ac:dyDescent="0.25">
      <c r="A970" s="1" t="s">
        <v>1</v>
      </c>
      <c r="B970" s="1" t="s">
        <v>2</v>
      </c>
      <c r="C970" s="1">
        <v>42.360599999999998</v>
      </c>
      <c r="D970" s="1">
        <v>-71.010599999999997</v>
      </c>
      <c r="E970" s="5">
        <v>41156</v>
      </c>
      <c r="F970" s="1" t="str">
        <f t="shared" si="15"/>
        <v>September</v>
      </c>
      <c r="G970" s="1">
        <v>51</v>
      </c>
      <c r="H970" s="1">
        <v>112</v>
      </c>
      <c r="I970" s="1" t="str">
        <f>IF(Table1[[#This Row],[Temperature_F]]&lt;32,"Yes","No")</f>
        <v>No</v>
      </c>
      <c r="J970" s="1" t="str" cm="1">
        <f t="array" ref="J9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0" s="1" t="str" cm="1">
        <f t="array" ref="K970">_xlfn.IFS(
H970=0,"No Rain",
H970&lt;10,"Light",
H970&lt;50,"Moderate",
TRUE,"Heavy")</f>
        <v>Heavy</v>
      </c>
      <c r="L970" s="1" t="str">
        <f>IF(Table1[[#This Row],[Precipitation_mm]]&lt;&gt;0,"Wet","Dry")</f>
        <v>Wet</v>
      </c>
      <c r="M970" t="b">
        <f>OR(ISBLANK(Table1[[#This Row],[Temperature_F]]),ISERROR(Table1[[#This Row],[Temperature_F]]))</f>
        <v>0</v>
      </c>
    </row>
    <row r="971" spans="1:13" hidden="1" x14ac:dyDescent="0.25">
      <c r="A971" s="1" t="s">
        <v>1</v>
      </c>
      <c r="B971" s="1" t="s">
        <v>2</v>
      </c>
      <c r="C971" s="1">
        <v>42.360599999999998</v>
      </c>
      <c r="D971" s="1">
        <v>-71.010599999999997</v>
      </c>
      <c r="E971" s="5">
        <v>41157</v>
      </c>
      <c r="F971" s="1" t="str">
        <f t="shared" si="15"/>
        <v>September</v>
      </c>
      <c r="G971" s="1">
        <v>60</v>
      </c>
      <c r="H971" s="1">
        <v>168</v>
      </c>
      <c r="I971" s="1" t="str">
        <f>IF(Table1[[#This Row],[Temperature_F]]&lt;32,"Yes","No")</f>
        <v>No</v>
      </c>
      <c r="J971" s="1" t="str" cm="1">
        <f t="array" ref="J9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1" s="1" t="str" cm="1">
        <f t="array" ref="K971">_xlfn.IFS(
H971=0,"No Rain",
H971&lt;10,"Light",
H971&lt;50,"Moderate",
TRUE,"Heavy")</f>
        <v>Heavy</v>
      </c>
      <c r="L971" s="1" t="str">
        <f>IF(Table1[[#This Row],[Precipitation_mm]]&lt;&gt;0,"Wet","Dry")</f>
        <v>Wet</v>
      </c>
      <c r="M971" t="b">
        <f>OR(ISBLANK(Table1[[#This Row],[Temperature_F]]),ISERROR(Table1[[#This Row],[Temperature_F]]))</f>
        <v>0</v>
      </c>
    </row>
    <row r="972" spans="1:13" x14ac:dyDescent="0.25">
      <c r="A972" s="1" t="s">
        <v>1</v>
      </c>
      <c r="B972" s="1" t="s">
        <v>2</v>
      </c>
      <c r="C972" s="1">
        <v>42.360599999999998</v>
      </c>
      <c r="D972" s="1">
        <v>-71.010599999999997</v>
      </c>
      <c r="E972" s="5">
        <v>41158</v>
      </c>
      <c r="F972" s="1" t="str">
        <f t="shared" si="15"/>
        <v>September</v>
      </c>
      <c r="G972" s="1">
        <v>44</v>
      </c>
      <c r="H972" s="1">
        <v>0</v>
      </c>
      <c r="I972" s="1" t="str">
        <f>IF(Table1[[#This Row],[Temperature_F]]&lt;32,"Yes","No")</f>
        <v>No</v>
      </c>
      <c r="J972" s="1" t="str" cm="1">
        <f t="array" ref="J9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72" s="1" t="str" cm="1">
        <f t="array" ref="K972">_xlfn.IFS(
H972=0,"No Rain",
H972&lt;10,"Light",
H972&lt;50,"Moderate",
TRUE,"Heavy")</f>
        <v>No Rain</v>
      </c>
      <c r="L972" s="1" t="str">
        <f>IF(Table1[[#This Row],[Precipitation_mm]]&lt;&gt;0,"Wet","Dry")</f>
        <v>Dry</v>
      </c>
      <c r="M972" t="b">
        <f>OR(ISBLANK(Table1[[#This Row],[Temperature_F]]),ISERROR(Table1[[#This Row],[Temperature_F]]))</f>
        <v>0</v>
      </c>
    </row>
    <row r="973" spans="1:13" hidden="1" x14ac:dyDescent="0.25">
      <c r="A973" s="1" t="s">
        <v>1</v>
      </c>
      <c r="B973" s="1" t="s">
        <v>2</v>
      </c>
      <c r="C973" s="1">
        <v>42.360599999999998</v>
      </c>
      <c r="D973" s="1">
        <v>-71.010599999999997</v>
      </c>
      <c r="E973" s="5">
        <v>41159</v>
      </c>
      <c r="F973" s="1" t="str">
        <f t="shared" si="15"/>
        <v>September</v>
      </c>
      <c r="G973" s="1">
        <v>63</v>
      </c>
      <c r="H973" s="1">
        <v>109</v>
      </c>
      <c r="I973" s="1" t="str">
        <f>IF(Table1[[#This Row],[Temperature_F]]&lt;32,"Yes","No")</f>
        <v>No</v>
      </c>
      <c r="J973" s="1" t="str" cm="1">
        <f t="array" ref="J9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3" s="1" t="str" cm="1">
        <f t="array" ref="K973">_xlfn.IFS(
H973=0,"No Rain",
H973&lt;10,"Light",
H973&lt;50,"Moderate",
TRUE,"Heavy")</f>
        <v>Heavy</v>
      </c>
      <c r="L973" s="1" t="str">
        <f>IF(Table1[[#This Row],[Precipitation_mm]]&lt;&gt;0,"Wet","Dry")</f>
        <v>Wet</v>
      </c>
      <c r="M973" t="b">
        <f>OR(ISBLANK(Table1[[#This Row],[Temperature_F]]),ISERROR(Table1[[#This Row],[Temperature_F]]))</f>
        <v>0</v>
      </c>
    </row>
    <row r="974" spans="1:13" x14ac:dyDescent="0.25">
      <c r="A974" s="1" t="s">
        <v>1</v>
      </c>
      <c r="B974" s="1" t="s">
        <v>2</v>
      </c>
      <c r="C974" s="1">
        <v>42.360599999999998</v>
      </c>
      <c r="D974" s="1">
        <v>-71.010599999999997</v>
      </c>
      <c r="E974" s="5">
        <v>41160</v>
      </c>
      <c r="F974" s="1" t="str">
        <f t="shared" si="15"/>
        <v>September</v>
      </c>
      <c r="G974" s="1">
        <v>46</v>
      </c>
      <c r="H974" s="1">
        <v>180</v>
      </c>
      <c r="I974" s="1" t="str">
        <f>IF(Table1[[#This Row],[Temperature_F]]&lt;32,"Yes","No")</f>
        <v>No</v>
      </c>
      <c r="J974" s="1" t="str" cm="1">
        <f t="array" ref="J9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74" s="1" t="str" cm="1">
        <f t="array" ref="K974">_xlfn.IFS(
H974=0,"No Rain",
H974&lt;10,"Light",
H974&lt;50,"Moderate",
TRUE,"Heavy")</f>
        <v>Heavy</v>
      </c>
      <c r="L974" s="1" t="str">
        <f>IF(Table1[[#This Row],[Precipitation_mm]]&lt;&gt;0,"Wet","Dry")</f>
        <v>Wet</v>
      </c>
      <c r="M974" t="b">
        <f>OR(ISBLANK(Table1[[#This Row],[Temperature_F]]),ISERROR(Table1[[#This Row],[Temperature_F]]))</f>
        <v>0</v>
      </c>
    </row>
    <row r="975" spans="1:13" hidden="1" x14ac:dyDescent="0.25">
      <c r="A975" s="1" t="s">
        <v>1</v>
      </c>
      <c r="B975" s="1" t="s">
        <v>2</v>
      </c>
      <c r="C975" s="1">
        <v>42.360599999999998</v>
      </c>
      <c r="D975" s="1">
        <v>-71.010599999999997</v>
      </c>
      <c r="E975" s="5">
        <v>41161</v>
      </c>
      <c r="F975" s="1" t="str">
        <f t="shared" si="15"/>
        <v>September</v>
      </c>
      <c r="G975" s="1">
        <v>51</v>
      </c>
      <c r="H975" s="1">
        <v>0</v>
      </c>
      <c r="I975" s="1" t="str">
        <f>IF(Table1[[#This Row],[Temperature_F]]&lt;32,"Yes","No")</f>
        <v>No</v>
      </c>
      <c r="J975" s="1" t="str" cm="1">
        <f t="array" ref="J9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5" s="1" t="str" cm="1">
        <f t="array" ref="K975">_xlfn.IFS(
H975=0,"No Rain",
H975&lt;10,"Light",
H975&lt;50,"Moderate",
TRUE,"Heavy")</f>
        <v>No Rain</v>
      </c>
      <c r="L975" s="1" t="str">
        <f>IF(Table1[[#This Row],[Precipitation_mm]]&lt;&gt;0,"Wet","Dry")</f>
        <v>Dry</v>
      </c>
      <c r="M975" t="b">
        <f>OR(ISBLANK(Table1[[#This Row],[Temperature_F]]),ISERROR(Table1[[#This Row],[Temperature_F]]))</f>
        <v>0</v>
      </c>
    </row>
    <row r="976" spans="1:13" hidden="1" x14ac:dyDescent="0.25">
      <c r="A976" s="1" t="s">
        <v>1</v>
      </c>
      <c r="B976" s="1" t="s">
        <v>2</v>
      </c>
      <c r="C976" s="1">
        <v>42.360599999999998</v>
      </c>
      <c r="D976" s="1">
        <v>-71.010599999999997</v>
      </c>
      <c r="E976" s="5">
        <v>41162</v>
      </c>
      <c r="F976" s="1" t="str">
        <f t="shared" si="15"/>
        <v>September</v>
      </c>
      <c r="G976" s="1">
        <v>64</v>
      </c>
      <c r="H976" s="1">
        <v>0</v>
      </c>
      <c r="I976" s="1" t="str">
        <f>IF(Table1[[#This Row],[Temperature_F]]&lt;32,"Yes","No")</f>
        <v>No</v>
      </c>
      <c r="J976" s="1" t="str" cm="1">
        <f t="array" ref="J9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6" s="1" t="str" cm="1">
        <f t="array" ref="K976">_xlfn.IFS(
H976=0,"No Rain",
H976&lt;10,"Light",
H976&lt;50,"Moderate",
TRUE,"Heavy")</f>
        <v>No Rain</v>
      </c>
      <c r="L976" s="1" t="str">
        <f>IF(Table1[[#This Row],[Precipitation_mm]]&lt;&gt;0,"Wet","Dry")</f>
        <v>Dry</v>
      </c>
      <c r="M976" t="b">
        <f>OR(ISBLANK(Table1[[#This Row],[Temperature_F]]),ISERROR(Table1[[#This Row],[Temperature_F]]))</f>
        <v>0</v>
      </c>
    </row>
    <row r="977" spans="1:13" x14ac:dyDescent="0.25">
      <c r="A977" s="1" t="s">
        <v>1</v>
      </c>
      <c r="B977" s="1" t="s">
        <v>2</v>
      </c>
      <c r="C977" s="1">
        <v>42.360599999999998</v>
      </c>
      <c r="D977" s="1">
        <v>-71.010599999999997</v>
      </c>
      <c r="E977" s="5">
        <v>41163</v>
      </c>
      <c r="F977" s="1" t="str">
        <f t="shared" si="15"/>
        <v>September</v>
      </c>
      <c r="G977" s="1">
        <v>47</v>
      </c>
      <c r="H977" s="1">
        <v>0</v>
      </c>
      <c r="I977" s="1" t="str">
        <f>IF(Table1[[#This Row],[Temperature_F]]&lt;32,"Yes","No")</f>
        <v>No</v>
      </c>
      <c r="J977" s="1" t="str" cm="1">
        <f t="array" ref="J9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77" s="1" t="str" cm="1">
        <f t="array" ref="K977">_xlfn.IFS(
H977=0,"No Rain",
H977&lt;10,"Light",
H977&lt;50,"Moderate",
TRUE,"Heavy")</f>
        <v>No Rain</v>
      </c>
      <c r="L977" s="1" t="str">
        <f>IF(Table1[[#This Row],[Precipitation_mm]]&lt;&gt;0,"Wet","Dry")</f>
        <v>Dry</v>
      </c>
      <c r="M977" t="b">
        <f>OR(ISBLANK(Table1[[#This Row],[Temperature_F]]),ISERROR(Table1[[#This Row],[Temperature_F]]))</f>
        <v>0</v>
      </c>
    </row>
    <row r="978" spans="1:13" hidden="1" x14ac:dyDescent="0.25">
      <c r="A978" s="1" t="s">
        <v>1</v>
      </c>
      <c r="B978" s="1" t="s">
        <v>2</v>
      </c>
      <c r="C978" s="1">
        <v>42.360599999999998</v>
      </c>
      <c r="D978" s="1">
        <v>-71.010599999999997</v>
      </c>
      <c r="E978" s="5">
        <v>41164</v>
      </c>
      <c r="F978" s="1" t="str">
        <f t="shared" si="15"/>
        <v>September</v>
      </c>
      <c r="G978" s="1">
        <v>63</v>
      </c>
      <c r="H978" s="1">
        <v>0</v>
      </c>
      <c r="I978" s="1" t="str">
        <f>IF(Table1[[#This Row],[Temperature_F]]&lt;32,"Yes","No")</f>
        <v>No</v>
      </c>
      <c r="J978" s="1" t="str" cm="1">
        <f t="array" ref="J9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8" s="1" t="str" cm="1">
        <f t="array" ref="K978">_xlfn.IFS(
H978=0,"No Rain",
H978&lt;10,"Light",
H978&lt;50,"Moderate",
TRUE,"Heavy")</f>
        <v>No Rain</v>
      </c>
      <c r="L978" s="1" t="str">
        <f>IF(Table1[[#This Row],[Precipitation_mm]]&lt;&gt;0,"Wet","Dry")</f>
        <v>Dry</v>
      </c>
      <c r="M978" t="b">
        <f>OR(ISBLANK(Table1[[#This Row],[Temperature_F]]),ISERROR(Table1[[#This Row],[Temperature_F]]))</f>
        <v>0</v>
      </c>
    </row>
    <row r="979" spans="1:13" hidden="1" x14ac:dyDescent="0.25">
      <c r="A979" s="1" t="s">
        <v>1</v>
      </c>
      <c r="B979" s="1" t="s">
        <v>2</v>
      </c>
      <c r="C979" s="1">
        <v>42.360599999999998</v>
      </c>
      <c r="D979" s="1">
        <v>-71.010599999999997</v>
      </c>
      <c r="E979" s="5">
        <v>41165</v>
      </c>
      <c r="F979" s="1" t="str">
        <f t="shared" si="15"/>
        <v>September</v>
      </c>
      <c r="G979" s="1">
        <v>52</v>
      </c>
      <c r="H979" s="1">
        <v>0</v>
      </c>
      <c r="I979" s="1" t="str">
        <f>IF(Table1[[#This Row],[Temperature_F]]&lt;32,"Yes","No")</f>
        <v>No</v>
      </c>
      <c r="J979" s="1" t="str" cm="1">
        <f t="array" ref="J9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79" s="1" t="str" cm="1">
        <f t="array" ref="K979">_xlfn.IFS(
H979=0,"No Rain",
H979&lt;10,"Light",
H979&lt;50,"Moderate",
TRUE,"Heavy")</f>
        <v>No Rain</v>
      </c>
      <c r="L979" s="1" t="str">
        <f>IF(Table1[[#This Row],[Precipitation_mm]]&lt;&gt;0,"Wet","Dry")</f>
        <v>Dry</v>
      </c>
      <c r="M979" t="b">
        <f>OR(ISBLANK(Table1[[#This Row],[Temperature_F]]),ISERROR(Table1[[#This Row],[Temperature_F]]))</f>
        <v>0</v>
      </c>
    </row>
    <row r="980" spans="1:13" hidden="1" x14ac:dyDescent="0.25">
      <c r="A980" s="1" t="s">
        <v>1</v>
      </c>
      <c r="B980" s="1" t="s">
        <v>2</v>
      </c>
      <c r="C980" s="1">
        <v>42.360599999999998</v>
      </c>
      <c r="D980" s="1">
        <v>-71.010599999999997</v>
      </c>
      <c r="E980" s="5">
        <v>41166</v>
      </c>
      <c r="F980" s="1" t="str">
        <f t="shared" si="15"/>
        <v>September</v>
      </c>
      <c r="G980" s="1">
        <v>68</v>
      </c>
      <c r="H980" s="1">
        <v>0</v>
      </c>
      <c r="I980" s="1" t="str">
        <f>IF(Table1[[#This Row],[Temperature_F]]&lt;32,"Yes","No")</f>
        <v>No</v>
      </c>
      <c r="J980" s="1" t="str" cm="1">
        <f t="array" ref="J9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0" s="1" t="str" cm="1">
        <f t="array" ref="K980">_xlfn.IFS(
H980=0,"No Rain",
H980&lt;10,"Light",
H980&lt;50,"Moderate",
TRUE,"Heavy")</f>
        <v>No Rain</v>
      </c>
      <c r="L980" s="1" t="str">
        <f>IF(Table1[[#This Row],[Precipitation_mm]]&lt;&gt;0,"Wet","Dry")</f>
        <v>Dry</v>
      </c>
      <c r="M980" t="b">
        <f>OR(ISBLANK(Table1[[#This Row],[Temperature_F]]),ISERROR(Table1[[#This Row],[Temperature_F]]))</f>
        <v>0</v>
      </c>
    </row>
    <row r="981" spans="1:13" hidden="1" x14ac:dyDescent="0.25">
      <c r="A981" s="1" t="s">
        <v>1</v>
      </c>
      <c r="B981" s="1" t="s">
        <v>2</v>
      </c>
      <c r="C981" s="1">
        <v>42.360599999999998</v>
      </c>
      <c r="D981" s="1">
        <v>-71.010599999999997</v>
      </c>
      <c r="E981" s="5">
        <v>41167</v>
      </c>
      <c r="F981" s="1" t="str">
        <f t="shared" si="15"/>
        <v>September</v>
      </c>
      <c r="G981" s="1">
        <v>62</v>
      </c>
      <c r="H981" s="1">
        <v>30</v>
      </c>
      <c r="I981" s="1" t="str">
        <f>IF(Table1[[#This Row],[Temperature_F]]&lt;32,"Yes","No")</f>
        <v>No</v>
      </c>
      <c r="J981" s="1" t="str" cm="1">
        <f t="array" ref="J9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1" s="1" t="str" cm="1">
        <f t="array" ref="K981">_xlfn.IFS(
H981=0,"No Rain",
H981&lt;10,"Light",
H981&lt;50,"Moderate",
TRUE,"Heavy")</f>
        <v>Moderate</v>
      </c>
      <c r="L981" s="1" t="str">
        <f>IF(Table1[[#This Row],[Precipitation_mm]]&lt;&gt;0,"Wet","Dry")</f>
        <v>Wet</v>
      </c>
      <c r="M981" t="b">
        <f>OR(ISBLANK(Table1[[#This Row],[Temperature_F]]),ISERROR(Table1[[#This Row],[Temperature_F]]))</f>
        <v>0</v>
      </c>
    </row>
    <row r="982" spans="1:13" hidden="1" x14ac:dyDescent="0.25">
      <c r="A982" s="1" t="s">
        <v>1</v>
      </c>
      <c r="B982" s="1" t="s">
        <v>2</v>
      </c>
      <c r="C982" s="1">
        <v>42.360599999999998</v>
      </c>
      <c r="D982" s="1">
        <v>-71.010599999999997</v>
      </c>
      <c r="E982" s="5">
        <v>41168</v>
      </c>
      <c r="F982" s="1" t="str">
        <f t="shared" si="15"/>
        <v>September</v>
      </c>
      <c r="G982" s="1">
        <v>63</v>
      </c>
      <c r="H982" s="1">
        <v>0</v>
      </c>
      <c r="I982" s="1" t="str">
        <f>IF(Table1[[#This Row],[Temperature_F]]&lt;32,"Yes","No")</f>
        <v>No</v>
      </c>
      <c r="J982" s="1" t="str" cm="1">
        <f t="array" ref="J9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2" s="1" t="str" cm="1">
        <f t="array" ref="K982">_xlfn.IFS(
H982=0,"No Rain",
H982&lt;10,"Light",
H982&lt;50,"Moderate",
TRUE,"Heavy")</f>
        <v>No Rain</v>
      </c>
      <c r="L982" s="1" t="str">
        <f>IF(Table1[[#This Row],[Precipitation_mm]]&lt;&gt;0,"Wet","Dry")</f>
        <v>Dry</v>
      </c>
      <c r="M982" t="b">
        <f>OR(ISBLANK(Table1[[#This Row],[Temperature_F]]),ISERROR(Table1[[#This Row],[Temperature_F]]))</f>
        <v>0</v>
      </c>
    </row>
    <row r="983" spans="1:13" hidden="1" x14ac:dyDescent="0.25">
      <c r="A983" s="1" t="s">
        <v>1</v>
      </c>
      <c r="B983" s="1" t="s">
        <v>2</v>
      </c>
      <c r="C983" s="1">
        <v>42.360599999999998</v>
      </c>
      <c r="D983" s="1">
        <v>-71.010599999999997</v>
      </c>
      <c r="E983" s="5">
        <v>41169</v>
      </c>
      <c r="F983" s="1" t="str">
        <f t="shared" si="15"/>
        <v>September</v>
      </c>
      <c r="G983" s="1">
        <v>52</v>
      </c>
      <c r="H983" s="1">
        <v>0</v>
      </c>
      <c r="I983" s="1" t="str">
        <f>IF(Table1[[#This Row],[Temperature_F]]&lt;32,"Yes","No")</f>
        <v>No</v>
      </c>
      <c r="J983" s="1" t="str" cm="1">
        <f t="array" ref="J9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3" s="1" t="str" cm="1">
        <f t="array" ref="K983">_xlfn.IFS(
H983=0,"No Rain",
H983&lt;10,"Light",
H983&lt;50,"Moderate",
TRUE,"Heavy")</f>
        <v>No Rain</v>
      </c>
      <c r="L983" s="1" t="str">
        <f>IF(Table1[[#This Row],[Precipitation_mm]]&lt;&gt;0,"Wet","Dry")</f>
        <v>Dry</v>
      </c>
      <c r="M983" t="b">
        <f>OR(ISBLANK(Table1[[#This Row],[Temperature_F]]),ISERROR(Table1[[#This Row],[Temperature_F]]))</f>
        <v>0</v>
      </c>
    </row>
    <row r="984" spans="1:13" hidden="1" x14ac:dyDescent="0.25">
      <c r="A984" s="1" t="s">
        <v>1</v>
      </c>
      <c r="B984" s="1" t="s">
        <v>2</v>
      </c>
      <c r="C984" s="1">
        <v>42.360599999999998</v>
      </c>
      <c r="D984" s="1">
        <v>-71.010599999999997</v>
      </c>
      <c r="E984" s="5">
        <v>41170</v>
      </c>
      <c r="F984" s="1" t="str">
        <f t="shared" si="15"/>
        <v>September</v>
      </c>
      <c r="G984" s="1">
        <v>58</v>
      </c>
      <c r="H984" s="1">
        <v>23</v>
      </c>
      <c r="I984" s="1" t="str">
        <f>IF(Table1[[#This Row],[Temperature_F]]&lt;32,"Yes","No")</f>
        <v>No</v>
      </c>
      <c r="J984" s="1" t="str" cm="1">
        <f t="array" ref="J9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4" s="1" t="str" cm="1">
        <f t="array" ref="K984">_xlfn.IFS(
H984=0,"No Rain",
H984&lt;10,"Light",
H984&lt;50,"Moderate",
TRUE,"Heavy")</f>
        <v>Moderate</v>
      </c>
      <c r="L984" s="1" t="str">
        <f>IF(Table1[[#This Row],[Precipitation_mm]]&lt;&gt;0,"Wet","Dry")</f>
        <v>Wet</v>
      </c>
      <c r="M984" t="b">
        <f>OR(ISBLANK(Table1[[#This Row],[Temperature_F]]),ISERROR(Table1[[#This Row],[Temperature_F]]))</f>
        <v>0</v>
      </c>
    </row>
    <row r="985" spans="1:13" hidden="1" x14ac:dyDescent="0.25">
      <c r="A985" s="1" t="s">
        <v>1</v>
      </c>
      <c r="B985" s="1" t="s">
        <v>2</v>
      </c>
      <c r="C985" s="1">
        <v>42.360599999999998</v>
      </c>
      <c r="D985" s="1">
        <v>-71.010599999999997</v>
      </c>
      <c r="E985" s="5">
        <v>41171</v>
      </c>
      <c r="F985" s="1" t="str">
        <f t="shared" si="15"/>
        <v>September</v>
      </c>
      <c r="G985" s="1">
        <v>58</v>
      </c>
      <c r="H985" s="1">
        <v>155</v>
      </c>
      <c r="I985" s="1" t="str">
        <f>IF(Table1[[#This Row],[Temperature_F]]&lt;32,"Yes","No")</f>
        <v>No</v>
      </c>
      <c r="J985" s="1" t="str" cm="1">
        <f t="array" ref="J9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5" s="1" t="str" cm="1">
        <f t="array" ref="K985">_xlfn.IFS(
H985=0,"No Rain",
H985&lt;10,"Light",
H985&lt;50,"Moderate",
TRUE,"Heavy")</f>
        <v>Heavy</v>
      </c>
      <c r="L985" s="1" t="str">
        <f>IF(Table1[[#This Row],[Precipitation_mm]]&lt;&gt;0,"Wet","Dry")</f>
        <v>Wet</v>
      </c>
      <c r="M985" t="b">
        <f>OR(ISBLANK(Table1[[#This Row],[Temperature_F]]),ISERROR(Table1[[#This Row],[Temperature_F]]))</f>
        <v>0</v>
      </c>
    </row>
    <row r="986" spans="1:13" hidden="1" x14ac:dyDescent="0.25">
      <c r="A986" s="1" t="s">
        <v>1</v>
      </c>
      <c r="B986" s="1" t="s">
        <v>2</v>
      </c>
      <c r="C986" s="1">
        <v>42.360599999999998</v>
      </c>
      <c r="D986" s="1">
        <v>-71.010599999999997</v>
      </c>
      <c r="E986" s="5">
        <v>41172</v>
      </c>
      <c r="F986" s="1" t="str">
        <f t="shared" si="15"/>
        <v>September</v>
      </c>
      <c r="G986" s="1">
        <v>57</v>
      </c>
      <c r="H986" s="1">
        <v>0</v>
      </c>
      <c r="I986" s="1" t="str">
        <f>IF(Table1[[#This Row],[Temperature_F]]&lt;32,"Yes","No")</f>
        <v>No</v>
      </c>
      <c r="J986" s="1" t="str" cm="1">
        <f t="array" ref="J9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6" s="1" t="str" cm="1">
        <f t="array" ref="K986">_xlfn.IFS(
H986=0,"No Rain",
H986&lt;10,"Light",
H986&lt;50,"Moderate",
TRUE,"Heavy")</f>
        <v>No Rain</v>
      </c>
      <c r="L986" s="1" t="str">
        <f>IF(Table1[[#This Row],[Precipitation_mm]]&lt;&gt;0,"Wet","Dry")</f>
        <v>Dry</v>
      </c>
      <c r="M986" t="b">
        <f>OR(ISBLANK(Table1[[#This Row],[Temperature_F]]),ISERROR(Table1[[#This Row],[Temperature_F]]))</f>
        <v>0</v>
      </c>
    </row>
    <row r="987" spans="1:13" hidden="1" x14ac:dyDescent="0.25">
      <c r="A987" s="1" t="s">
        <v>1</v>
      </c>
      <c r="B987" s="1" t="s">
        <v>2</v>
      </c>
      <c r="C987" s="1">
        <v>42.360599999999998</v>
      </c>
      <c r="D987" s="1">
        <v>-71.010599999999997</v>
      </c>
      <c r="E987" s="5">
        <v>41173</v>
      </c>
      <c r="F987" s="1" t="str">
        <f t="shared" si="15"/>
        <v>September</v>
      </c>
      <c r="G987" s="1">
        <v>69</v>
      </c>
      <c r="H987" s="1">
        <v>0</v>
      </c>
      <c r="I987" s="1" t="str">
        <f>IF(Table1[[#This Row],[Temperature_F]]&lt;32,"Yes","No")</f>
        <v>No</v>
      </c>
      <c r="J987" s="1" t="str" cm="1">
        <f t="array" ref="J9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87" s="1" t="str" cm="1">
        <f t="array" ref="K987">_xlfn.IFS(
H987=0,"No Rain",
H987&lt;10,"Light",
H987&lt;50,"Moderate",
TRUE,"Heavy")</f>
        <v>No Rain</v>
      </c>
      <c r="L987" s="1" t="str">
        <f>IF(Table1[[#This Row],[Precipitation_mm]]&lt;&gt;0,"Wet","Dry")</f>
        <v>Dry</v>
      </c>
      <c r="M987" t="b">
        <f>OR(ISBLANK(Table1[[#This Row],[Temperature_F]]),ISERROR(Table1[[#This Row],[Temperature_F]]))</f>
        <v>0</v>
      </c>
    </row>
    <row r="988" spans="1:13" x14ac:dyDescent="0.25">
      <c r="A988" s="1" t="s">
        <v>1</v>
      </c>
      <c r="B988" s="1" t="s">
        <v>2</v>
      </c>
      <c r="C988" s="1">
        <v>42.360599999999998</v>
      </c>
      <c r="D988" s="1">
        <v>-71.010599999999997</v>
      </c>
      <c r="E988" s="5">
        <v>41174</v>
      </c>
      <c r="F988" s="1" t="str">
        <f t="shared" si="15"/>
        <v>September</v>
      </c>
      <c r="G988" s="1">
        <v>44</v>
      </c>
      <c r="H988" s="1">
        <v>0</v>
      </c>
      <c r="I988" s="1" t="str">
        <f>IF(Table1[[#This Row],[Temperature_F]]&lt;32,"Yes","No")</f>
        <v>No</v>
      </c>
      <c r="J988" s="1" t="str" cm="1">
        <f t="array" ref="J9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88" s="1" t="str" cm="1">
        <f t="array" ref="K988">_xlfn.IFS(
H988=0,"No Rain",
H988&lt;10,"Light",
H988&lt;50,"Moderate",
TRUE,"Heavy")</f>
        <v>No Rain</v>
      </c>
      <c r="L988" s="1" t="str">
        <f>IF(Table1[[#This Row],[Precipitation_mm]]&lt;&gt;0,"Wet","Dry")</f>
        <v>Dry</v>
      </c>
      <c r="M988" t="b">
        <f>OR(ISBLANK(Table1[[#This Row],[Temperature_F]]),ISERROR(Table1[[#This Row],[Temperature_F]]))</f>
        <v>0</v>
      </c>
    </row>
    <row r="989" spans="1:13" hidden="1" x14ac:dyDescent="0.25">
      <c r="A989" s="1" t="s">
        <v>1</v>
      </c>
      <c r="B989" s="1" t="s">
        <v>2</v>
      </c>
      <c r="C989" s="1">
        <v>42.360599999999998</v>
      </c>
      <c r="D989" s="1">
        <v>-71.010599999999997</v>
      </c>
      <c r="E989" s="5">
        <v>41175</v>
      </c>
      <c r="F989" s="1" t="str">
        <f t="shared" si="15"/>
        <v>September</v>
      </c>
      <c r="G989" s="1">
        <v>66</v>
      </c>
      <c r="H989" s="1">
        <v>5</v>
      </c>
      <c r="I989" s="1" t="str">
        <f>IF(Table1[[#This Row],[Temperature_F]]&lt;32,"Yes","No")</f>
        <v>No</v>
      </c>
      <c r="J989" s="1" t="str" cm="1">
        <f t="array" ref="J9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89" s="1" t="str" cm="1">
        <f t="array" ref="K989">_xlfn.IFS(
H989=0,"No Rain",
H989&lt;10,"Light",
H989&lt;50,"Moderate",
TRUE,"Heavy")</f>
        <v>Light</v>
      </c>
      <c r="L989" s="1" t="str">
        <f>IF(Table1[[#This Row],[Precipitation_mm]]&lt;&gt;0,"Wet","Dry")</f>
        <v>Wet</v>
      </c>
      <c r="M989" t="b">
        <f>OR(ISBLANK(Table1[[#This Row],[Temperature_F]]),ISERROR(Table1[[#This Row],[Temperature_F]]))</f>
        <v>0</v>
      </c>
    </row>
    <row r="990" spans="1:13" hidden="1" x14ac:dyDescent="0.25">
      <c r="A990" s="1" t="s">
        <v>1</v>
      </c>
      <c r="B990" s="1" t="s">
        <v>2</v>
      </c>
      <c r="C990" s="1">
        <v>42.360599999999998</v>
      </c>
      <c r="D990" s="1">
        <v>-71.010599999999997</v>
      </c>
      <c r="E990" s="5">
        <v>41176</v>
      </c>
      <c r="F990" s="1" t="str">
        <f t="shared" si="15"/>
        <v>September</v>
      </c>
      <c r="G990" s="1">
        <v>64</v>
      </c>
      <c r="H990" s="1">
        <v>0</v>
      </c>
      <c r="I990" s="1" t="str">
        <f>IF(Table1[[#This Row],[Temperature_F]]&lt;32,"Yes","No")</f>
        <v>No</v>
      </c>
      <c r="J990" s="1" t="str" cm="1">
        <f t="array" ref="J9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90" s="1" t="str" cm="1">
        <f t="array" ref="K990">_xlfn.IFS(
H990=0,"No Rain",
H990&lt;10,"Light",
H990&lt;50,"Moderate",
TRUE,"Heavy")</f>
        <v>No Rain</v>
      </c>
      <c r="L990" s="1" t="str">
        <f>IF(Table1[[#This Row],[Precipitation_mm]]&lt;&gt;0,"Wet","Dry")</f>
        <v>Dry</v>
      </c>
      <c r="M990" t="b">
        <f>OR(ISBLANK(Table1[[#This Row],[Temperature_F]]),ISERROR(Table1[[#This Row],[Temperature_F]]))</f>
        <v>0</v>
      </c>
    </row>
    <row r="991" spans="1:13" hidden="1" x14ac:dyDescent="0.25">
      <c r="A991" s="1" t="s">
        <v>1</v>
      </c>
      <c r="B991" s="1" t="s">
        <v>2</v>
      </c>
      <c r="C991" s="1">
        <v>42.360599999999998</v>
      </c>
      <c r="D991" s="1">
        <v>-71.010599999999997</v>
      </c>
      <c r="E991" s="5">
        <v>41177</v>
      </c>
      <c r="F991" s="1" t="str">
        <f t="shared" si="15"/>
        <v>September</v>
      </c>
      <c r="G991" s="1">
        <v>54</v>
      </c>
      <c r="H991" s="1">
        <v>0</v>
      </c>
      <c r="I991" s="1" t="str">
        <f>IF(Table1[[#This Row],[Temperature_F]]&lt;32,"Yes","No")</f>
        <v>No</v>
      </c>
      <c r="J991" s="1" t="str" cm="1">
        <f t="array" ref="J9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91" s="1" t="str" cm="1">
        <f t="array" ref="K991">_xlfn.IFS(
H991=0,"No Rain",
H991&lt;10,"Light",
H991&lt;50,"Moderate",
TRUE,"Heavy")</f>
        <v>No Rain</v>
      </c>
      <c r="L991" s="1" t="str">
        <f>IF(Table1[[#This Row],[Precipitation_mm]]&lt;&gt;0,"Wet","Dry")</f>
        <v>Dry</v>
      </c>
      <c r="M991" t="b">
        <f>OR(ISBLANK(Table1[[#This Row],[Temperature_F]]),ISERROR(Table1[[#This Row],[Temperature_F]]))</f>
        <v>0</v>
      </c>
    </row>
    <row r="992" spans="1:13" x14ac:dyDescent="0.25">
      <c r="A992" s="1" t="s">
        <v>1</v>
      </c>
      <c r="B992" s="1" t="s">
        <v>2</v>
      </c>
      <c r="C992" s="1">
        <v>42.360599999999998</v>
      </c>
      <c r="D992" s="1">
        <v>-71.010599999999997</v>
      </c>
      <c r="E992" s="5">
        <v>41178</v>
      </c>
      <c r="F992" s="1" t="str">
        <f t="shared" si="15"/>
        <v>September</v>
      </c>
      <c r="G992" s="1">
        <v>43</v>
      </c>
      <c r="H992" s="1">
        <v>0</v>
      </c>
      <c r="I992" s="1" t="str">
        <f>IF(Table1[[#This Row],[Temperature_F]]&lt;32,"Yes","No")</f>
        <v>No</v>
      </c>
      <c r="J992" s="1" t="str" cm="1">
        <f t="array" ref="J9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92" s="1" t="str" cm="1">
        <f t="array" ref="K992">_xlfn.IFS(
H992=0,"No Rain",
H992&lt;10,"Light",
H992&lt;50,"Moderate",
TRUE,"Heavy")</f>
        <v>No Rain</v>
      </c>
      <c r="L992" s="1" t="str">
        <f>IF(Table1[[#This Row],[Precipitation_mm]]&lt;&gt;0,"Wet","Dry")</f>
        <v>Dry</v>
      </c>
      <c r="M992" t="b">
        <f>OR(ISBLANK(Table1[[#This Row],[Temperature_F]]),ISERROR(Table1[[#This Row],[Temperature_F]]))</f>
        <v>0</v>
      </c>
    </row>
    <row r="993" spans="1:13" x14ac:dyDescent="0.25">
      <c r="A993" s="1" t="s">
        <v>1</v>
      </c>
      <c r="B993" s="1" t="s">
        <v>2</v>
      </c>
      <c r="C993" s="1">
        <v>42.360599999999998</v>
      </c>
      <c r="D993" s="1">
        <v>-71.010599999999997</v>
      </c>
      <c r="E993" s="5">
        <v>41179</v>
      </c>
      <c r="F993" s="1" t="str">
        <f t="shared" si="15"/>
        <v>September</v>
      </c>
      <c r="G993" s="1">
        <v>47</v>
      </c>
      <c r="H993" s="1">
        <v>0</v>
      </c>
      <c r="I993" s="1" t="str">
        <f>IF(Table1[[#This Row],[Temperature_F]]&lt;32,"Yes","No")</f>
        <v>No</v>
      </c>
      <c r="J993" s="1" t="str" cm="1">
        <f t="array" ref="J9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93" s="1" t="str" cm="1">
        <f t="array" ref="K993">_xlfn.IFS(
H993=0,"No Rain",
H993&lt;10,"Light",
H993&lt;50,"Moderate",
TRUE,"Heavy")</f>
        <v>No Rain</v>
      </c>
      <c r="L993" s="1" t="str">
        <f>IF(Table1[[#This Row],[Precipitation_mm]]&lt;&gt;0,"Wet","Dry")</f>
        <v>Dry</v>
      </c>
      <c r="M993" t="b">
        <f>OR(ISBLANK(Table1[[#This Row],[Temperature_F]]),ISERROR(Table1[[#This Row],[Temperature_F]]))</f>
        <v>0</v>
      </c>
    </row>
    <row r="994" spans="1:13" hidden="1" x14ac:dyDescent="0.25">
      <c r="A994" s="1" t="s">
        <v>1</v>
      </c>
      <c r="B994" s="1" t="s">
        <v>2</v>
      </c>
      <c r="C994" s="1">
        <v>42.360599999999998</v>
      </c>
      <c r="D994" s="1">
        <v>-71.010599999999997</v>
      </c>
      <c r="E994" s="5">
        <v>41180</v>
      </c>
      <c r="F994" s="1" t="str">
        <f t="shared" si="15"/>
        <v>September</v>
      </c>
      <c r="G994" s="1">
        <v>70</v>
      </c>
      <c r="H994" s="1">
        <v>201</v>
      </c>
      <c r="I994" s="1" t="str">
        <f>IF(Table1[[#This Row],[Temperature_F]]&lt;32,"Yes","No")</f>
        <v>No</v>
      </c>
      <c r="J994" s="1" t="str" cm="1">
        <f t="array" ref="J9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994" s="1" t="str" cm="1">
        <f t="array" ref="K994">_xlfn.IFS(
H994=0,"No Rain",
H994&lt;10,"Light",
H994&lt;50,"Moderate",
TRUE,"Heavy")</f>
        <v>Heavy</v>
      </c>
      <c r="L994" s="1" t="str">
        <f>IF(Table1[[#This Row],[Precipitation_mm]]&lt;&gt;0,"Wet","Dry")</f>
        <v>Wet</v>
      </c>
      <c r="M994" t="b">
        <f>OR(ISBLANK(Table1[[#This Row],[Temperature_F]]),ISERROR(Table1[[#This Row],[Temperature_F]]))</f>
        <v>0</v>
      </c>
    </row>
    <row r="995" spans="1:13" x14ac:dyDescent="0.25">
      <c r="A995" s="1" t="s">
        <v>1</v>
      </c>
      <c r="B995" s="1" t="s">
        <v>2</v>
      </c>
      <c r="C995" s="1">
        <v>42.360599999999998</v>
      </c>
      <c r="D995" s="1">
        <v>-71.010599999999997</v>
      </c>
      <c r="E995" s="5">
        <v>41181</v>
      </c>
      <c r="F995" s="1" t="str">
        <f t="shared" si="15"/>
        <v>September</v>
      </c>
      <c r="G995" s="1">
        <v>46</v>
      </c>
      <c r="H995" s="1">
        <v>5</v>
      </c>
      <c r="I995" s="1" t="str">
        <f>IF(Table1[[#This Row],[Temperature_F]]&lt;32,"Yes","No")</f>
        <v>No</v>
      </c>
      <c r="J995" s="1" t="str" cm="1">
        <f t="array" ref="J9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95" s="1" t="str" cm="1">
        <f t="array" ref="K995">_xlfn.IFS(
H995=0,"No Rain",
H995&lt;10,"Light",
H995&lt;50,"Moderate",
TRUE,"Heavy")</f>
        <v>Light</v>
      </c>
      <c r="L995" s="1" t="str">
        <f>IF(Table1[[#This Row],[Precipitation_mm]]&lt;&gt;0,"Wet","Dry")</f>
        <v>Wet</v>
      </c>
      <c r="M995" t="b">
        <f>OR(ISBLANK(Table1[[#This Row],[Temperature_F]]),ISERROR(Table1[[#This Row],[Temperature_F]]))</f>
        <v>0</v>
      </c>
    </row>
    <row r="996" spans="1:13" x14ac:dyDescent="0.25">
      <c r="A996" s="1" t="s">
        <v>1</v>
      </c>
      <c r="B996" s="1" t="s">
        <v>2</v>
      </c>
      <c r="C996" s="1">
        <v>42.360599999999998</v>
      </c>
      <c r="D996" s="1">
        <v>-71.010599999999997</v>
      </c>
      <c r="E996" s="5">
        <v>41182</v>
      </c>
      <c r="F996" s="1" t="str">
        <f t="shared" si="15"/>
        <v>September</v>
      </c>
      <c r="G996" s="1">
        <v>50</v>
      </c>
      <c r="H996" s="1">
        <v>53</v>
      </c>
      <c r="I996" s="1" t="str">
        <f>IF(Table1[[#This Row],[Temperature_F]]&lt;32,"Yes","No")</f>
        <v>No</v>
      </c>
      <c r="J996" s="1" t="str" cm="1">
        <f t="array" ref="J9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96" s="1" t="str" cm="1">
        <f t="array" ref="K996">_xlfn.IFS(
H996=0,"No Rain",
H996&lt;10,"Light",
H996&lt;50,"Moderate",
TRUE,"Heavy")</f>
        <v>Heavy</v>
      </c>
      <c r="L996" s="1" t="str">
        <f>IF(Table1[[#This Row],[Precipitation_mm]]&lt;&gt;0,"Wet","Dry")</f>
        <v>Wet</v>
      </c>
      <c r="M996" t="b">
        <f>OR(ISBLANK(Table1[[#This Row],[Temperature_F]]),ISERROR(Table1[[#This Row],[Temperature_F]]))</f>
        <v>0</v>
      </c>
    </row>
    <row r="997" spans="1:13" hidden="1" x14ac:dyDescent="0.25">
      <c r="A997" s="1" t="s">
        <v>1</v>
      </c>
      <c r="B997" s="1" t="s">
        <v>2</v>
      </c>
      <c r="C997" s="1">
        <v>42.360599999999998</v>
      </c>
      <c r="D997" s="1">
        <v>-71.010599999999997</v>
      </c>
      <c r="E997" s="5">
        <v>41183</v>
      </c>
      <c r="F997" s="1" t="str">
        <f t="shared" si="15"/>
        <v>October</v>
      </c>
      <c r="G997" s="1">
        <v>61</v>
      </c>
      <c r="H997" s="1">
        <v>0</v>
      </c>
      <c r="I997" s="1" t="str">
        <f>IF(Table1[[#This Row],[Temperature_F]]&lt;32,"Yes","No")</f>
        <v>No</v>
      </c>
      <c r="J997" s="1" t="str" cm="1">
        <f t="array" ref="J9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97" s="1" t="str" cm="1">
        <f t="array" ref="K997">_xlfn.IFS(
H997=0,"No Rain",
H997&lt;10,"Light",
H997&lt;50,"Moderate",
TRUE,"Heavy")</f>
        <v>No Rain</v>
      </c>
      <c r="L997" s="1" t="str">
        <f>IF(Table1[[#This Row],[Precipitation_mm]]&lt;&gt;0,"Wet","Dry")</f>
        <v>Dry</v>
      </c>
      <c r="M997" t="b">
        <f>OR(ISBLANK(Table1[[#This Row],[Temperature_F]]),ISERROR(Table1[[#This Row],[Temperature_F]]))</f>
        <v>0</v>
      </c>
    </row>
    <row r="998" spans="1:13" hidden="1" x14ac:dyDescent="0.25">
      <c r="A998" s="1" t="s">
        <v>1</v>
      </c>
      <c r="B998" s="1" t="s">
        <v>2</v>
      </c>
      <c r="C998" s="1">
        <v>42.360599999999998</v>
      </c>
      <c r="D998" s="1">
        <v>-71.010599999999997</v>
      </c>
      <c r="E998" s="5">
        <v>41184</v>
      </c>
      <c r="F998" s="1" t="str">
        <f t="shared" si="15"/>
        <v>October</v>
      </c>
      <c r="G998" s="1">
        <v>67</v>
      </c>
      <c r="H998" s="1">
        <v>8</v>
      </c>
      <c r="I998" s="1" t="str">
        <f>IF(Table1[[#This Row],[Temperature_F]]&lt;32,"Yes","No")</f>
        <v>No</v>
      </c>
      <c r="J998" s="1" t="str" cm="1">
        <f t="array" ref="J9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998" s="1" t="str" cm="1">
        <f t="array" ref="K998">_xlfn.IFS(
H998=0,"No Rain",
H998&lt;10,"Light",
H998&lt;50,"Moderate",
TRUE,"Heavy")</f>
        <v>Light</v>
      </c>
      <c r="L998" s="1" t="str">
        <f>IF(Table1[[#This Row],[Precipitation_mm]]&lt;&gt;0,"Wet","Dry")</f>
        <v>Wet</v>
      </c>
      <c r="M998" t="b">
        <f>OR(ISBLANK(Table1[[#This Row],[Temperature_F]]),ISERROR(Table1[[#This Row],[Temperature_F]]))</f>
        <v>0</v>
      </c>
    </row>
    <row r="999" spans="1:13" x14ac:dyDescent="0.25">
      <c r="A999" s="1" t="s">
        <v>1</v>
      </c>
      <c r="B999" s="1" t="s">
        <v>2</v>
      </c>
      <c r="C999" s="1">
        <v>42.360599999999998</v>
      </c>
      <c r="D999" s="1">
        <v>-71.010599999999997</v>
      </c>
      <c r="E999" s="5">
        <v>41185</v>
      </c>
      <c r="F999" s="1" t="str">
        <f t="shared" si="15"/>
        <v>October</v>
      </c>
      <c r="G999" s="1">
        <v>50</v>
      </c>
      <c r="H999" s="1">
        <v>20</v>
      </c>
      <c r="I999" s="1" t="str">
        <f>IF(Table1[[#This Row],[Temperature_F]]&lt;32,"Yes","No")</f>
        <v>No</v>
      </c>
      <c r="J999" s="1" t="str" cm="1">
        <f t="array" ref="J9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999" s="1" t="str" cm="1">
        <f t="array" ref="K999">_xlfn.IFS(
H999=0,"No Rain",
H999&lt;10,"Light",
H999&lt;50,"Moderate",
TRUE,"Heavy")</f>
        <v>Moderate</v>
      </c>
      <c r="L999" s="1" t="str">
        <f>IF(Table1[[#This Row],[Precipitation_mm]]&lt;&gt;0,"Wet","Dry")</f>
        <v>Wet</v>
      </c>
      <c r="M999" t="b">
        <f>OR(ISBLANK(Table1[[#This Row],[Temperature_F]]),ISERROR(Table1[[#This Row],[Temperature_F]]))</f>
        <v>0</v>
      </c>
    </row>
    <row r="1000" spans="1:13" hidden="1" x14ac:dyDescent="0.25">
      <c r="A1000" s="1" t="s">
        <v>1</v>
      </c>
      <c r="B1000" s="1" t="s">
        <v>2</v>
      </c>
      <c r="C1000" s="1">
        <v>42.360599999999998</v>
      </c>
      <c r="D1000" s="1">
        <v>-71.010599999999997</v>
      </c>
      <c r="E1000" s="5">
        <v>41186</v>
      </c>
      <c r="F1000" s="1" t="str">
        <f t="shared" si="15"/>
        <v>October</v>
      </c>
      <c r="G1000" s="1">
        <v>60</v>
      </c>
      <c r="H1000" s="1">
        <v>8</v>
      </c>
      <c r="I1000" s="1" t="str">
        <f>IF(Table1[[#This Row],[Temperature_F]]&lt;32,"Yes","No")</f>
        <v>No</v>
      </c>
      <c r="J1000" s="1" t="str" cm="1">
        <f t="array" ref="J10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0" s="1" t="str" cm="1">
        <f t="array" ref="K1000">_xlfn.IFS(
H1000=0,"No Rain",
H1000&lt;10,"Light",
H1000&lt;50,"Moderate",
TRUE,"Heavy")</f>
        <v>Light</v>
      </c>
      <c r="L1000" s="1" t="str">
        <f>IF(Table1[[#This Row],[Precipitation_mm]]&lt;&gt;0,"Wet","Dry")</f>
        <v>Wet</v>
      </c>
      <c r="M1000" t="b">
        <f>OR(ISBLANK(Table1[[#This Row],[Temperature_F]]),ISERROR(Table1[[#This Row],[Temperature_F]]))</f>
        <v>0</v>
      </c>
    </row>
    <row r="1001" spans="1:13" hidden="1" x14ac:dyDescent="0.25">
      <c r="A1001" s="1" t="s">
        <v>1</v>
      </c>
      <c r="B1001" s="1" t="s">
        <v>2</v>
      </c>
      <c r="C1001" s="1">
        <v>42.360599999999998</v>
      </c>
      <c r="D1001" s="1">
        <v>-71.010599999999997</v>
      </c>
      <c r="E1001" s="5">
        <v>41187</v>
      </c>
      <c r="F1001" s="1" t="str">
        <f t="shared" si="15"/>
        <v>October</v>
      </c>
      <c r="G1001" s="1">
        <v>61</v>
      </c>
      <c r="H1001" s="1">
        <v>0</v>
      </c>
      <c r="I1001" s="1" t="str">
        <f>IF(Table1[[#This Row],[Temperature_F]]&lt;32,"Yes","No")</f>
        <v>No</v>
      </c>
      <c r="J1001" s="1" t="str" cm="1">
        <f t="array" ref="J10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1" s="1" t="str" cm="1">
        <f t="array" ref="K1001">_xlfn.IFS(
H1001=0,"No Rain",
H1001&lt;10,"Light",
H1001&lt;50,"Moderate",
TRUE,"Heavy")</f>
        <v>No Rain</v>
      </c>
      <c r="L1001" s="1" t="str">
        <f>IF(Table1[[#This Row],[Precipitation_mm]]&lt;&gt;0,"Wet","Dry")</f>
        <v>Dry</v>
      </c>
      <c r="M1001" t="b">
        <f>OR(ISBLANK(Table1[[#This Row],[Temperature_F]]),ISERROR(Table1[[#This Row],[Temperature_F]]))</f>
        <v>0</v>
      </c>
    </row>
    <row r="1002" spans="1:13" hidden="1" x14ac:dyDescent="0.25">
      <c r="A1002" s="1" t="s">
        <v>1</v>
      </c>
      <c r="B1002" s="1" t="s">
        <v>2</v>
      </c>
      <c r="C1002" s="1">
        <v>42.360599999999998</v>
      </c>
      <c r="D1002" s="1">
        <v>-71.010599999999997</v>
      </c>
      <c r="E1002" s="5">
        <v>41188</v>
      </c>
      <c r="F1002" s="1" t="str">
        <f t="shared" si="15"/>
        <v>October</v>
      </c>
      <c r="G1002" s="1">
        <v>55</v>
      </c>
      <c r="H1002" s="1">
        <v>15</v>
      </c>
      <c r="I1002" s="1" t="str">
        <f>IF(Table1[[#This Row],[Temperature_F]]&lt;32,"Yes","No")</f>
        <v>No</v>
      </c>
      <c r="J1002" s="1" t="str" cm="1">
        <f t="array" ref="J10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2" s="1" t="str" cm="1">
        <f t="array" ref="K1002">_xlfn.IFS(
H1002=0,"No Rain",
H1002&lt;10,"Light",
H1002&lt;50,"Moderate",
TRUE,"Heavy")</f>
        <v>Moderate</v>
      </c>
      <c r="L1002" s="1" t="str">
        <f>IF(Table1[[#This Row],[Precipitation_mm]]&lt;&gt;0,"Wet","Dry")</f>
        <v>Wet</v>
      </c>
      <c r="M1002" t="b">
        <f>OR(ISBLANK(Table1[[#This Row],[Temperature_F]]),ISERROR(Table1[[#This Row],[Temperature_F]]))</f>
        <v>0</v>
      </c>
    </row>
    <row r="1003" spans="1:13" hidden="1" x14ac:dyDescent="0.25">
      <c r="A1003" s="1" t="s">
        <v>1</v>
      </c>
      <c r="B1003" s="1" t="s">
        <v>2</v>
      </c>
      <c r="C1003" s="1">
        <v>42.360599999999998</v>
      </c>
      <c r="D1003" s="1">
        <v>-71.010599999999997</v>
      </c>
      <c r="E1003" s="5">
        <v>41189</v>
      </c>
      <c r="F1003" s="1" t="str">
        <f t="shared" si="15"/>
        <v>October</v>
      </c>
      <c r="G1003" s="1">
        <v>64</v>
      </c>
      <c r="H1003" s="1">
        <v>28</v>
      </c>
      <c r="I1003" s="1" t="str">
        <f>IF(Table1[[#This Row],[Temperature_F]]&lt;32,"Yes","No")</f>
        <v>No</v>
      </c>
      <c r="J1003" s="1" t="str" cm="1">
        <f t="array" ref="J10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3" s="1" t="str" cm="1">
        <f t="array" ref="K1003">_xlfn.IFS(
H1003=0,"No Rain",
H1003&lt;10,"Light",
H1003&lt;50,"Moderate",
TRUE,"Heavy")</f>
        <v>Moderate</v>
      </c>
      <c r="L1003" s="1" t="str">
        <f>IF(Table1[[#This Row],[Precipitation_mm]]&lt;&gt;0,"Wet","Dry")</f>
        <v>Wet</v>
      </c>
      <c r="M1003" t="b">
        <f>OR(ISBLANK(Table1[[#This Row],[Temperature_F]]),ISERROR(Table1[[#This Row],[Temperature_F]]))</f>
        <v>0</v>
      </c>
    </row>
    <row r="1004" spans="1:13" x14ac:dyDescent="0.25">
      <c r="A1004" s="1" t="s">
        <v>1</v>
      </c>
      <c r="B1004" s="1" t="s">
        <v>2</v>
      </c>
      <c r="C1004" s="1">
        <v>42.360599999999998</v>
      </c>
      <c r="D1004" s="1">
        <v>-71.010599999999997</v>
      </c>
      <c r="E1004" s="5">
        <v>41190</v>
      </c>
      <c r="F1004" s="1" t="str">
        <f t="shared" si="15"/>
        <v>October</v>
      </c>
      <c r="G1004" s="1">
        <v>40</v>
      </c>
      <c r="H1004" s="1">
        <v>0</v>
      </c>
      <c r="I1004" s="1" t="str">
        <f>IF(Table1[[#This Row],[Temperature_F]]&lt;32,"Yes","No")</f>
        <v>No</v>
      </c>
      <c r="J1004" s="1" t="str" cm="1">
        <f t="array" ref="J10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04" s="1" t="str" cm="1">
        <f t="array" ref="K1004">_xlfn.IFS(
H1004=0,"No Rain",
H1004&lt;10,"Light",
H1004&lt;50,"Moderate",
TRUE,"Heavy")</f>
        <v>No Rain</v>
      </c>
      <c r="L1004" s="1" t="str">
        <f>IF(Table1[[#This Row],[Precipitation_mm]]&lt;&gt;0,"Wet","Dry")</f>
        <v>Dry</v>
      </c>
      <c r="M1004" t="b">
        <f>OR(ISBLANK(Table1[[#This Row],[Temperature_F]]),ISERROR(Table1[[#This Row],[Temperature_F]]))</f>
        <v>0</v>
      </c>
    </row>
    <row r="1005" spans="1:13" hidden="1" x14ac:dyDescent="0.25">
      <c r="A1005" s="1" t="s">
        <v>1</v>
      </c>
      <c r="B1005" s="1" t="s">
        <v>2</v>
      </c>
      <c r="C1005" s="1">
        <v>42.360599999999998</v>
      </c>
      <c r="D1005" s="1">
        <v>-71.010599999999997</v>
      </c>
      <c r="E1005" s="5">
        <v>41191</v>
      </c>
      <c r="F1005" s="1" t="str">
        <f t="shared" si="15"/>
        <v>October</v>
      </c>
      <c r="G1005" s="1">
        <v>59</v>
      </c>
      <c r="H1005" s="1">
        <v>0</v>
      </c>
      <c r="I1005" s="1" t="str">
        <f>IF(Table1[[#This Row],[Temperature_F]]&lt;32,"Yes","No")</f>
        <v>No</v>
      </c>
      <c r="J1005" s="1" t="str" cm="1">
        <f t="array" ref="J10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5" s="1" t="str" cm="1">
        <f t="array" ref="K1005">_xlfn.IFS(
H1005=0,"No Rain",
H1005&lt;10,"Light",
H1005&lt;50,"Moderate",
TRUE,"Heavy")</f>
        <v>No Rain</v>
      </c>
      <c r="L1005" s="1" t="str">
        <f>IF(Table1[[#This Row],[Precipitation_mm]]&lt;&gt;0,"Wet","Dry")</f>
        <v>Dry</v>
      </c>
      <c r="M1005" t="b">
        <f>OR(ISBLANK(Table1[[#This Row],[Temperature_F]]),ISERROR(Table1[[#This Row],[Temperature_F]]))</f>
        <v>0</v>
      </c>
    </row>
    <row r="1006" spans="1:13" x14ac:dyDescent="0.25">
      <c r="A1006" s="1" t="s">
        <v>1</v>
      </c>
      <c r="B1006" s="1" t="s">
        <v>2</v>
      </c>
      <c r="C1006" s="1">
        <v>42.360599999999998</v>
      </c>
      <c r="D1006" s="1">
        <v>-71.010599999999997</v>
      </c>
      <c r="E1006" s="5">
        <v>41192</v>
      </c>
      <c r="F1006" s="1" t="str">
        <f t="shared" si="15"/>
        <v>October</v>
      </c>
      <c r="G1006" s="1">
        <v>50</v>
      </c>
      <c r="H1006" s="1">
        <v>36</v>
      </c>
      <c r="I1006" s="1" t="str">
        <f>IF(Table1[[#This Row],[Temperature_F]]&lt;32,"Yes","No")</f>
        <v>No</v>
      </c>
      <c r="J1006" s="1" t="str" cm="1">
        <f t="array" ref="J10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06" s="1" t="str" cm="1">
        <f t="array" ref="K1006">_xlfn.IFS(
H1006=0,"No Rain",
H1006&lt;10,"Light",
H1006&lt;50,"Moderate",
TRUE,"Heavy")</f>
        <v>Moderate</v>
      </c>
      <c r="L1006" s="1" t="str">
        <f>IF(Table1[[#This Row],[Precipitation_mm]]&lt;&gt;0,"Wet","Dry")</f>
        <v>Wet</v>
      </c>
      <c r="M1006" t="b">
        <f>OR(ISBLANK(Table1[[#This Row],[Temperature_F]]),ISERROR(Table1[[#This Row],[Temperature_F]]))</f>
        <v>0</v>
      </c>
    </row>
    <row r="1007" spans="1:13" hidden="1" x14ac:dyDescent="0.25">
      <c r="A1007" s="1" t="s">
        <v>1</v>
      </c>
      <c r="B1007" s="1" t="s">
        <v>2</v>
      </c>
      <c r="C1007" s="1">
        <v>42.360599999999998</v>
      </c>
      <c r="D1007" s="1">
        <v>-71.010599999999997</v>
      </c>
      <c r="E1007" s="5">
        <v>41193</v>
      </c>
      <c r="F1007" s="1" t="str">
        <f t="shared" si="15"/>
        <v>October</v>
      </c>
      <c r="G1007" s="1">
        <v>65</v>
      </c>
      <c r="H1007" s="1">
        <v>0</v>
      </c>
      <c r="I1007" s="1" t="str">
        <f>IF(Table1[[#This Row],[Temperature_F]]&lt;32,"Yes","No")</f>
        <v>No</v>
      </c>
      <c r="J1007" s="1" t="str" cm="1">
        <f t="array" ref="J10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7" s="1" t="str" cm="1">
        <f t="array" ref="K1007">_xlfn.IFS(
H1007=0,"No Rain",
H1007&lt;10,"Light",
H1007&lt;50,"Moderate",
TRUE,"Heavy")</f>
        <v>No Rain</v>
      </c>
      <c r="L1007" s="1" t="str">
        <f>IF(Table1[[#This Row],[Precipitation_mm]]&lt;&gt;0,"Wet","Dry")</f>
        <v>Dry</v>
      </c>
      <c r="M1007" t="b">
        <f>OR(ISBLANK(Table1[[#This Row],[Temperature_F]]),ISERROR(Table1[[#This Row],[Temperature_F]]))</f>
        <v>0</v>
      </c>
    </row>
    <row r="1008" spans="1:13" hidden="1" x14ac:dyDescent="0.25">
      <c r="A1008" s="1" t="s">
        <v>1</v>
      </c>
      <c r="B1008" s="1" t="s">
        <v>2</v>
      </c>
      <c r="C1008" s="1">
        <v>42.360599999999998</v>
      </c>
      <c r="D1008" s="1">
        <v>-71.010599999999997</v>
      </c>
      <c r="E1008" s="5">
        <v>41194</v>
      </c>
      <c r="F1008" s="1" t="str">
        <f t="shared" si="15"/>
        <v>October</v>
      </c>
      <c r="G1008" s="1">
        <v>56</v>
      </c>
      <c r="H1008" s="1">
        <v>8</v>
      </c>
      <c r="I1008" s="1" t="str">
        <f>IF(Table1[[#This Row],[Temperature_F]]&lt;32,"Yes","No")</f>
        <v>No</v>
      </c>
      <c r="J1008" s="1" t="str" cm="1">
        <f t="array" ref="J10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8" s="1" t="str" cm="1">
        <f t="array" ref="K1008">_xlfn.IFS(
H1008=0,"No Rain",
H1008&lt;10,"Light",
H1008&lt;50,"Moderate",
TRUE,"Heavy")</f>
        <v>Light</v>
      </c>
      <c r="L1008" s="1" t="str">
        <f>IF(Table1[[#This Row],[Precipitation_mm]]&lt;&gt;0,"Wet","Dry")</f>
        <v>Wet</v>
      </c>
      <c r="M1008" t="b">
        <f>OR(ISBLANK(Table1[[#This Row],[Temperature_F]]),ISERROR(Table1[[#This Row],[Temperature_F]]))</f>
        <v>0</v>
      </c>
    </row>
    <row r="1009" spans="1:13" hidden="1" x14ac:dyDescent="0.25">
      <c r="A1009" s="1" t="s">
        <v>1</v>
      </c>
      <c r="B1009" s="1" t="s">
        <v>2</v>
      </c>
      <c r="C1009" s="1">
        <v>42.360599999999998</v>
      </c>
      <c r="D1009" s="1">
        <v>-71.010599999999997</v>
      </c>
      <c r="E1009" s="5">
        <v>41195</v>
      </c>
      <c r="F1009" s="1" t="str">
        <f t="shared" si="15"/>
        <v>October</v>
      </c>
      <c r="G1009" s="1">
        <v>56</v>
      </c>
      <c r="H1009" s="1">
        <v>0</v>
      </c>
      <c r="I1009" s="1" t="str">
        <f>IF(Table1[[#This Row],[Temperature_F]]&lt;32,"Yes","No")</f>
        <v>No</v>
      </c>
      <c r="J1009" s="1" t="str" cm="1">
        <f t="array" ref="J10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09" s="1" t="str" cm="1">
        <f t="array" ref="K1009">_xlfn.IFS(
H1009=0,"No Rain",
H1009&lt;10,"Light",
H1009&lt;50,"Moderate",
TRUE,"Heavy")</f>
        <v>No Rain</v>
      </c>
      <c r="L1009" s="1" t="str">
        <f>IF(Table1[[#This Row],[Precipitation_mm]]&lt;&gt;0,"Wet","Dry")</f>
        <v>Dry</v>
      </c>
      <c r="M1009" t="b">
        <f>OR(ISBLANK(Table1[[#This Row],[Temperature_F]]),ISERROR(Table1[[#This Row],[Temperature_F]]))</f>
        <v>0</v>
      </c>
    </row>
    <row r="1010" spans="1:13" x14ac:dyDescent="0.25">
      <c r="A1010" s="1" t="s">
        <v>1</v>
      </c>
      <c r="B1010" s="1" t="s">
        <v>2</v>
      </c>
      <c r="C1010" s="1">
        <v>42.360599999999998</v>
      </c>
      <c r="D1010" s="1">
        <v>-71.010599999999997</v>
      </c>
      <c r="E1010" s="5">
        <v>41196</v>
      </c>
      <c r="F1010" s="1" t="str">
        <f t="shared" si="15"/>
        <v>October</v>
      </c>
      <c r="G1010" s="1">
        <v>49</v>
      </c>
      <c r="H1010" s="1">
        <v>48</v>
      </c>
      <c r="I1010" s="1" t="str">
        <f>IF(Table1[[#This Row],[Temperature_F]]&lt;32,"Yes","No")</f>
        <v>No</v>
      </c>
      <c r="J1010" s="1" t="str" cm="1">
        <f t="array" ref="J10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10" s="1" t="str" cm="1">
        <f t="array" ref="K1010">_xlfn.IFS(
H1010=0,"No Rain",
H1010&lt;10,"Light",
H1010&lt;50,"Moderate",
TRUE,"Heavy")</f>
        <v>Moderate</v>
      </c>
      <c r="L1010" s="1" t="str">
        <f>IF(Table1[[#This Row],[Precipitation_mm]]&lt;&gt;0,"Wet","Dry")</f>
        <v>Wet</v>
      </c>
      <c r="M1010" t="b">
        <f>OR(ISBLANK(Table1[[#This Row],[Temperature_F]]),ISERROR(Table1[[#This Row],[Temperature_F]]))</f>
        <v>0</v>
      </c>
    </row>
    <row r="1011" spans="1:13" hidden="1" x14ac:dyDescent="0.25">
      <c r="A1011" s="1" t="s">
        <v>1</v>
      </c>
      <c r="B1011" s="1" t="s">
        <v>2</v>
      </c>
      <c r="C1011" s="1">
        <v>42.360599999999998</v>
      </c>
      <c r="D1011" s="1">
        <v>-71.010599999999997</v>
      </c>
      <c r="E1011" s="5">
        <v>41197</v>
      </c>
      <c r="F1011" s="1" t="str">
        <f t="shared" si="15"/>
        <v>October</v>
      </c>
      <c r="G1011" s="1">
        <v>68</v>
      </c>
      <c r="H1011" s="1">
        <v>5</v>
      </c>
      <c r="I1011" s="1" t="str">
        <f>IF(Table1[[#This Row],[Temperature_F]]&lt;32,"Yes","No")</f>
        <v>No</v>
      </c>
      <c r="J1011" s="1" t="str" cm="1">
        <f t="array" ref="J10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11" s="1" t="str" cm="1">
        <f t="array" ref="K1011">_xlfn.IFS(
H1011=0,"No Rain",
H1011&lt;10,"Light",
H1011&lt;50,"Moderate",
TRUE,"Heavy")</f>
        <v>Light</v>
      </c>
      <c r="L1011" s="1" t="str">
        <f>IF(Table1[[#This Row],[Precipitation_mm]]&lt;&gt;0,"Wet","Dry")</f>
        <v>Wet</v>
      </c>
      <c r="M1011" t="b">
        <f>OR(ISBLANK(Table1[[#This Row],[Temperature_F]]),ISERROR(Table1[[#This Row],[Temperature_F]]))</f>
        <v>0</v>
      </c>
    </row>
    <row r="1012" spans="1:13" x14ac:dyDescent="0.25">
      <c r="A1012" s="1" t="s">
        <v>1</v>
      </c>
      <c r="B1012" s="1" t="s">
        <v>2</v>
      </c>
      <c r="C1012" s="1">
        <v>42.360599999999998</v>
      </c>
      <c r="D1012" s="1">
        <v>-71.010599999999997</v>
      </c>
      <c r="E1012" s="5">
        <v>41198</v>
      </c>
      <c r="F1012" s="1" t="str">
        <f t="shared" si="15"/>
        <v>October</v>
      </c>
      <c r="G1012" s="1">
        <v>42</v>
      </c>
      <c r="H1012" s="1">
        <v>15</v>
      </c>
      <c r="I1012" s="1" t="str">
        <f>IF(Table1[[#This Row],[Temperature_F]]&lt;32,"Yes","No")</f>
        <v>No</v>
      </c>
      <c r="J1012" s="1" t="str" cm="1">
        <f t="array" ref="J10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12" s="1" t="str" cm="1">
        <f t="array" ref="K1012">_xlfn.IFS(
H1012=0,"No Rain",
H1012&lt;10,"Light",
H1012&lt;50,"Moderate",
TRUE,"Heavy")</f>
        <v>Moderate</v>
      </c>
      <c r="L1012" s="1" t="str">
        <f>IF(Table1[[#This Row],[Precipitation_mm]]&lt;&gt;0,"Wet","Dry")</f>
        <v>Wet</v>
      </c>
      <c r="M1012" t="b">
        <f>OR(ISBLANK(Table1[[#This Row],[Temperature_F]]),ISERROR(Table1[[#This Row],[Temperature_F]]))</f>
        <v>0</v>
      </c>
    </row>
    <row r="1013" spans="1:13" hidden="1" x14ac:dyDescent="0.25">
      <c r="A1013" s="1" t="s">
        <v>1</v>
      </c>
      <c r="B1013" s="1" t="s">
        <v>2</v>
      </c>
      <c r="C1013" s="1">
        <v>42.360599999999998</v>
      </c>
      <c r="D1013" s="1">
        <v>-71.010599999999997</v>
      </c>
      <c r="E1013" s="5">
        <v>41199</v>
      </c>
      <c r="F1013" s="1" t="str">
        <f t="shared" si="15"/>
        <v>October</v>
      </c>
      <c r="G1013" s="1">
        <v>52</v>
      </c>
      <c r="H1013" s="1">
        <v>0</v>
      </c>
      <c r="I1013" s="1" t="str">
        <f>IF(Table1[[#This Row],[Temperature_F]]&lt;32,"Yes","No")</f>
        <v>No</v>
      </c>
      <c r="J1013" s="1" t="str" cm="1">
        <f t="array" ref="J10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13" s="1" t="str" cm="1">
        <f t="array" ref="K1013">_xlfn.IFS(
H1013=0,"No Rain",
H1013&lt;10,"Light",
H1013&lt;50,"Moderate",
TRUE,"Heavy")</f>
        <v>No Rain</v>
      </c>
      <c r="L1013" s="1" t="str">
        <f>IF(Table1[[#This Row],[Precipitation_mm]]&lt;&gt;0,"Wet","Dry")</f>
        <v>Dry</v>
      </c>
      <c r="M1013" t="b">
        <f>OR(ISBLANK(Table1[[#This Row],[Temperature_F]]),ISERROR(Table1[[#This Row],[Temperature_F]]))</f>
        <v>0</v>
      </c>
    </row>
    <row r="1014" spans="1:13" x14ac:dyDescent="0.25">
      <c r="A1014" s="1" t="s">
        <v>1</v>
      </c>
      <c r="B1014" s="1" t="s">
        <v>2</v>
      </c>
      <c r="C1014" s="1">
        <v>42.360599999999998</v>
      </c>
      <c r="D1014" s="1">
        <v>-71.010599999999997</v>
      </c>
      <c r="E1014" s="5">
        <v>41200</v>
      </c>
      <c r="F1014" s="1" t="str">
        <f t="shared" si="15"/>
        <v>October</v>
      </c>
      <c r="G1014" s="1">
        <v>45</v>
      </c>
      <c r="H1014" s="1">
        <v>0</v>
      </c>
      <c r="I1014" s="1" t="str">
        <f>IF(Table1[[#This Row],[Temperature_F]]&lt;32,"Yes","No")</f>
        <v>No</v>
      </c>
      <c r="J1014" s="1" t="str" cm="1">
        <f t="array" ref="J10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14" s="1" t="str" cm="1">
        <f t="array" ref="K1014">_xlfn.IFS(
H1014=0,"No Rain",
H1014&lt;10,"Light",
H1014&lt;50,"Moderate",
TRUE,"Heavy")</f>
        <v>No Rain</v>
      </c>
      <c r="L1014" s="1" t="str">
        <f>IF(Table1[[#This Row],[Precipitation_mm]]&lt;&gt;0,"Wet","Dry")</f>
        <v>Dry</v>
      </c>
      <c r="M1014" t="b">
        <f>OR(ISBLANK(Table1[[#This Row],[Temperature_F]]),ISERROR(Table1[[#This Row],[Temperature_F]]))</f>
        <v>0</v>
      </c>
    </row>
    <row r="1015" spans="1:13" x14ac:dyDescent="0.25">
      <c r="A1015" s="1" t="s">
        <v>1</v>
      </c>
      <c r="B1015" s="1" t="s">
        <v>2</v>
      </c>
      <c r="C1015" s="1">
        <v>42.360599999999998</v>
      </c>
      <c r="D1015" s="1">
        <v>-71.010599999999997</v>
      </c>
      <c r="E1015" s="5">
        <v>41201</v>
      </c>
      <c r="F1015" s="1" t="str">
        <f t="shared" si="15"/>
        <v>October</v>
      </c>
      <c r="G1015" s="1">
        <v>45</v>
      </c>
      <c r="H1015" s="1">
        <v>15</v>
      </c>
      <c r="I1015" s="1" t="str">
        <f>IF(Table1[[#This Row],[Temperature_F]]&lt;32,"Yes","No")</f>
        <v>No</v>
      </c>
      <c r="J1015" s="1" t="str" cm="1">
        <f t="array" ref="J10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15" s="1" t="str" cm="1">
        <f t="array" ref="K1015">_xlfn.IFS(
H1015=0,"No Rain",
H1015&lt;10,"Light",
H1015&lt;50,"Moderate",
TRUE,"Heavy")</f>
        <v>Moderate</v>
      </c>
      <c r="L1015" s="1" t="str">
        <f>IF(Table1[[#This Row],[Precipitation_mm]]&lt;&gt;0,"Wet","Dry")</f>
        <v>Wet</v>
      </c>
      <c r="M1015" t="b">
        <f>OR(ISBLANK(Table1[[#This Row],[Temperature_F]]),ISERROR(Table1[[#This Row],[Temperature_F]]))</f>
        <v>0</v>
      </c>
    </row>
    <row r="1016" spans="1:13" x14ac:dyDescent="0.25">
      <c r="A1016" s="1" t="s">
        <v>1</v>
      </c>
      <c r="B1016" s="1" t="s">
        <v>2</v>
      </c>
      <c r="C1016" s="1">
        <v>42.360599999999998</v>
      </c>
      <c r="D1016" s="1">
        <v>-71.010599999999997</v>
      </c>
      <c r="E1016" s="5">
        <v>41202</v>
      </c>
      <c r="F1016" s="1" t="str">
        <f t="shared" si="15"/>
        <v>October</v>
      </c>
      <c r="G1016" s="1">
        <v>41</v>
      </c>
      <c r="H1016" s="1">
        <v>41</v>
      </c>
      <c r="I1016" s="1" t="str">
        <f>IF(Table1[[#This Row],[Temperature_F]]&lt;32,"Yes","No")</f>
        <v>No</v>
      </c>
      <c r="J1016" s="1" t="str" cm="1">
        <f t="array" ref="J10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16" s="1" t="str" cm="1">
        <f t="array" ref="K1016">_xlfn.IFS(
H1016=0,"No Rain",
H1016&lt;10,"Light",
H1016&lt;50,"Moderate",
TRUE,"Heavy")</f>
        <v>Moderate</v>
      </c>
      <c r="L1016" s="1" t="str">
        <f>IF(Table1[[#This Row],[Precipitation_mm]]&lt;&gt;0,"Wet","Dry")</f>
        <v>Wet</v>
      </c>
      <c r="M1016" t="b">
        <f>OR(ISBLANK(Table1[[#This Row],[Temperature_F]]),ISERROR(Table1[[#This Row],[Temperature_F]]))</f>
        <v>0</v>
      </c>
    </row>
    <row r="1017" spans="1:13" x14ac:dyDescent="0.25">
      <c r="A1017" s="1" t="s">
        <v>1</v>
      </c>
      <c r="B1017" s="1" t="s">
        <v>2</v>
      </c>
      <c r="C1017" s="1">
        <v>42.360599999999998</v>
      </c>
      <c r="D1017" s="1">
        <v>-71.010599999999997</v>
      </c>
      <c r="E1017" s="5">
        <v>41203</v>
      </c>
      <c r="F1017" s="1" t="str">
        <f t="shared" si="15"/>
        <v>October</v>
      </c>
      <c r="G1017" s="1">
        <v>45</v>
      </c>
      <c r="H1017" s="1">
        <v>0</v>
      </c>
      <c r="I1017" s="1" t="str">
        <f>IF(Table1[[#This Row],[Temperature_F]]&lt;32,"Yes","No")</f>
        <v>No</v>
      </c>
      <c r="J1017" s="1" t="str" cm="1">
        <f t="array" ref="J10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17" s="1" t="str" cm="1">
        <f t="array" ref="K1017">_xlfn.IFS(
H1017=0,"No Rain",
H1017&lt;10,"Light",
H1017&lt;50,"Moderate",
TRUE,"Heavy")</f>
        <v>No Rain</v>
      </c>
      <c r="L1017" s="1" t="str">
        <f>IF(Table1[[#This Row],[Precipitation_mm]]&lt;&gt;0,"Wet","Dry")</f>
        <v>Dry</v>
      </c>
      <c r="M1017" t="b">
        <f>OR(ISBLANK(Table1[[#This Row],[Temperature_F]]),ISERROR(Table1[[#This Row],[Temperature_F]]))</f>
        <v>0</v>
      </c>
    </row>
    <row r="1018" spans="1:13" hidden="1" x14ac:dyDescent="0.25">
      <c r="A1018" s="1" t="s">
        <v>1</v>
      </c>
      <c r="B1018" s="1" t="s">
        <v>2</v>
      </c>
      <c r="C1018" s="1">
        <v>42.360599999999998</v>
      </c>
      <c r="D1018" s="1">
        <v>-71.010599999999997</v>
      </c>
      <c r="E1018" s="5">
        <v>41204</v>
      </c>
      <c r="F1018" s="1" t="str">
        <f t="shared" ref="F1018:F1081" si="16">TEXT(E1018,"mmmm")</f>
        <v>October</v>
      </c>
      <c r="G1018" s="1">
        <v>51</v>
      </c>
      <c r="H1018" s="1">
        <v>0</v>
      </c>
      <c r="I1018" s="1" t="str">
        <f>IF(Table1[[#This Row],[Temperature_F]]&lt;32,"Yes","No")</f>
        <v>No</v>
      </c>
      <c r="J1018" s="1" t="str" cm="1">
        <f t="array" ref="J10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18" s="1" t="str" cm="1">
        <f t="array" ref="K1018">_xlfn.IFS(
H1018=0,"No Rain",
H1018&lt;10,"Light",
H1018&lt;50,"Moderate",
TRUE,"Heavy")</f>
        <v>No Rain</v>
      </c>
      <c r="L1018" s="1" t="str">
        <f>IF(Table1[[#This Row],[Precipitation_mm]]&lt;&gt;0,"Wet","Dry")</f>
        <v>Dry</v>
      </c>
      <c r="M1018" t="b">
        <f>OR(ISBLANK(Table1[[#This Row],[Temperature_F]]),ISERROR(Table1[[#This Row],[Temperature_F]]))</f>
        <v>0</v>
      </c>
    </row>
    <row r="1019" spans="1:13" hidden="1" x14ac:dyDescent="0.25">
      <c r="A1019" s="1" t="s">
        <v>1</v>
      </c>
      <c r="B1019" s="1" t="s">
        <v>2</v>
      </c>
      <c r="C1019" s="1">
        <v>42.360599999999998</v>
      </c>
      <c r="D1019" s="1">
        <v>-71.010599999999997</v>
      </c>
      <c r="E1019" s="5">
        <v>41205</v>
      </c>
      <c r="F1019" s="1" t="str">
        <f t="shared" si="16"/>
        <v>October</v>
      </c>
      <c r="G1019" s="1">
        <v>62</v>
      </c>
      <c r="H1019" s="1">
        <v>0</v>
      </c>
      <c r="I1019" s="1" t="str">
        <f>IF(Table1[[#This Row],[Temperature_F]]&lt;32,"Yes","No")</f>
        <v>No</v>
      </c>
      <c r="J1019" s="1" t="str" cm="1">
        <f t="array" ref="J10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19" s="1" t="str" cm="1">
        <f t="array" ref="K1019">_xlfn.IFS(
H1019=0,"No Rain",
H1019&lt;10,"Light",
H1019&lt;50,"Moderate",
TRUE,"Heavy")</f>
        <v>No Rain</v>
      </c>
      <c r="L1019" s="1" t="str">
        <f>IF(Table1[[#This Row],[Precipitation_mm]]&lt;&gt;0,"Wet","Dry")</f>
        <v>Dry</v>
      </c>
      <c r="M1019" t="b">
        <f>OR(ISBLANK(Table1[[#This Row],[Temperature_F]]),ISERROR(Table1[[#This Row],[Temperature_F]]))</f>
        <v>0</v>
      </c>
    </row>
    <row r="1020" spans="1:13" hidden="1" x14ac:dyDescent="0.25">
      <c r="A1020" s="1" t="s">
        <v>1</v>
      </c>
      <c r="B1020" s="1" t="s">
        <v>2</v>
      </c>
      <c r="C1020" s="1">
        <v>42.360599999999998</v>
      </c>
      <c r="D1020" s="1">
        <v>-71.010599999999997</v>
      </c>
      <c r="E1020" s="5">
        <v>41206</v>
      </c>
      <c r="F1020" s="1" t="str">
        <f t="shared" si="16"/>
        <v>October</v>
      </c>
      <c r="G1020" s="1">
        <v>54</v>
      </c>
      <c r="H1020" s="1">
        <v>0</v>
      </c>
      <c r="I1020" s="1" t="str">
        <f>IF(Table1[[#This Row],[Temperature_F]]&lt;32,"Yes","No")</f>
        <v>No</v>
      </c>
      <c r="J1020" s="1" t="str" cm="1">
        <f t="array" ref="J10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20" s="1" t="str" cm="1">
        <f t="array" ref="K1020">_xlfn.IFS(
H1020=0,"No Rain",
H1020&lt;10,"Light",
H1020&lt;50,"Moderate",
TRUE,"Heavy")</f>
        <v>No Rain</v>
      </c>
      <c r="L1020" s="1" t="str">
        <f>IF(Table1[[#This Row],[Precipitation_mm]]&lt;&gt;0,"Wet","Dry")</f>
        <v>Dry</v>
      </c>
      <c r="M1020" t="b">
        <f>OR(ISBLANK(Table1[[#This Row],[Temperature_F]]),ISERROR(Table1[[#This Row],[Temperature_F]]))</f>
        <v>0</v>
      </c>
    </row>
    <row r="1021" spans="1:13" hidden="1" x14ac:dyDescent="0.25">
      <c r="A1021" s="1" t="s">
        <v>1</v>
      </c>
      <c r="B1021" s="1" t="s">
        <v>2</v>
      </c>
      <c r="C1021" s="1">
        <v>42.360599999999998</v>
      </c>
      <c r="D1021" s="1">
        <v>-71.010599999999997</v>
      </c>
      <c r="E1021" s="5">
        <v>41207</v>
      </c>
      <c r="F1021" s="1" t="str">
        <f t="shared" si="16"/>
        <v>October</v>
      </c>
      <c r="G1021" s="1">
        <v>65</v>
      </c>
      <c r="H1021" s="1">
        <v>0</v>
      </c>
      <c r="I1021" s="1" t="str">
        <f>IF(Table1[[#This Row],[Temperature_F]]&lt;32,"Yes","No")</f>
        <v>No</v>
      </c>
      <c r="J1021" s="1" t="str" cm="1">
        <f t="array" ref="J10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21" s="1" t="str" cm="1">
        <f t="array" ref="K1021">_xlfn.IFS(
H1021=0,"No Rain",
H1021&lt;10,"Light",
H1021&lt;50,"Moderate",
TRUE,"Heavy")</f>
        <v>No Rain</v>
      </c>
      <c r="L1021" s="1" t="str">
        <f>IF(Table1[[#This Row],[Precipitation_mm]]&lt;&gt;0,"Wet","Dry")</f>
        <v>Dry</v>
      </c>
      <c r="M1021" t="b">
        <f>OR(ISBLANK(Table1[[#This Row],[Temperature_F]]),ISERROR(Table1[[#This Row],[Temperature_F]]))</f>
        <v>0</v>
      </c>
    </row>
    <row r="1022" spans="1:13" hidden="1" x14ac:dyDescent="0.25">
      <c r="A1022" s="1" t="s">
        <v>1</v>
      </c>
      <c r="B1022" s="1" t="s">
        <v>2</v>
      </c>
      <c r="C1022" s="1">
        <v>42.360599999999998</v>
      </c>
      <c r="D1022" s="1">
        <v>-71.010599999999997</v>
      </c>
      <c r="E1022" s="5">
        <v>41208</v>
      </c>
      <c r="F1022" s="1" t="str">
        <f t="shared" si="16"/>
        <v>October</v>
      </c>
      <c r="G1022" s="1">
        <v>70</v>
      </c>
      <c r="H1022" s="1">
        <v>0</v>
      </c>
      <c r="I1022" s="1" t="str">
        <f>IF(Table1[[#This Row],[Temperature_F]]&lt;32,"Yes","No")</f>
        <v>No</v>
      </c>
      <c r="J1022" s="1" t="str" cm="1">
        <f t="array" ref="J10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022" s="1" t="str" cm="1">
        <f t="array" ref="K1022">_xlfn.IFS(
H1022=0,"No Rain",
H1022&lt;10,"Light",
H1022&lt;50,"Moderate",
TRUE,"Heavy")</f>
        <v>No Rain</v>
      </c>
      <c r="L1022" s="1" t="str">
        <f>IF(Table1[[#This Row],[Precipitation_mm]]&lt;&gt;0,"Wet","Dry")</f>
        <v>Dry</v>
      </c>
      <c r="M1022" t="b">
        <f>OR(ISBLANK(Table1[[#This Row],[Temperature_F]]),ISERROR(Table1[[#This Row],[Temperature_F]]))</f>
        <v>0</v>
      </c>
    </row>
    <row r="1023" spans="1:13" x14ac:dyDescent="0.25">
      <c r="A1023" s="1" t="s">
        <v>1</v>
      </c>
      <c r="B1023" s="1" t="s">
        <v>2</v>
      </c>
      <c r="C1023" s="1">
        <v>42.360599999999998</v>
      </c>
      <c r="D1023" s="1">
        <v>-71.010599999999997</v>
      </c>
      <c r="E1023" s="5">
        <v>41209</v>
      </c>
      <c r="F1023" s="1" t="str">
        <f t="shared" si="16"/>
        <v>October</v>
      </c>
      <c r="G1023" s="1">
        <v>44</v>
      </c>
      <c r="H1023" s="1">
        <v>0</v>
      </c>
      <c r="I1023" s="1" t="str">
        <f>IF(Table1[[#This Row],[Temperature_F]]&lt;32,"Yes","No")</f>
        <v>No</v>
      </c>
      <c r="J1023" s="1" t="str" cm="1">
        <f t="array" ref="J10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23" s="1" t="str" cm="1">
        <f t="array" ref="K1023">_xlfn.IFS(
H1023=0,"No Rain",
H1023&lt;10,"Light",
H1023&lt;50,"Moderate",
TRUE,"Heavy")</f>
        <v>No Rain</v>
      </c>
      <c r="L1023" s="1" t="str">
        <f>IF(Table1[[#This Row],[Precipitation_mm]]&lt;&gt;0,"Wet","Dry")</f>
        <v>Dry</v>
      </c>
      <c r="M1023" t="b">
        <f>OR(ISBLANK(Table1[[#This Row],[Temperature_F]]),ISERROR(Table1[[#This Row],[Temperature_F]]))</f>
        <v>0</v>
      </c>
    </row>
    <row r="1024" spans="1:13" hidden="1" x14ac:dyDescent="0.25">
      <c r="A1024" s="1" t="s">
        <v>1</v>
      </c>
      <c r="B1024" s="1" t="s">
        <v>2</v>
      </c>
      <c r="C1024" s="1">
        <v>42.360599999999998</v>
      </c>
      <c r="D1024" s="1">
        <v>-71.010599999999997</v>
      </c>
      <c r="E1024" s="5">
        <v>41210</v>
      </c>
      <c r="F1024" s="1" t="str">
        <f t="shared" si="16"/>
        <v>October</v>
      </c>
      <c r="G1024" s="1">
        <v>52</v>
      </c>
      <c r="H1024" s="1">
        <v>20</v>
      </c>
      <c r="I1024" s="1" t="str">
        <f>IF(Table1[[#This Row],[Temperature_F]]&lt;32,"Yes","No")</f>
        <v>No</v>
      </c>
      <c r="J1024" s="1" t="str" cm="1">
        <f t="array" ref="J10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24" s="1" t="str" cm="1">
        <f t="array" ref="K1024">_xlfn.IFS(
H1024=0,"No Rain",
H1024&lt;10,"Light",
H1024&lt;50,"Moderate",
TRUE,"Heavy")</f>
        <v>Moderate</v>
      </c>
      <c r="L1024" s="1" t="str">
        <f>IF(Table1[[#This Row],[Precipitation_mm]]&lt;&gt;0,"Wet","Dry")</f>
        <v>Wet</v>
      </c>
      <c r="M1024" t="b">
        <f>OR(ISBLANK(Table1[[#This Row],[Temperature_F]]),ISERROR(Table1[[#This Row],[Temperature_F]]))</f>
        <v>0</v>
      </c>
    </row>
    <row r="1025" spans="1:13" hidden="1" x14ac:dyDescent="0.25">
      <c r="A1025" s="1" t="s">
        <v>1</v>
      </c>
      <c r="B1025" s="1" t="s">
        <v>2</v>
      </c>
      <c r="C1025" s="1">
        <v>42.360599999999998</v>
      </c>
      <c r="D1025" s="1">
        <v>-71.010599999999997</v>
      </c>
      <c r="E1025" s="5">
        <v>41211</v>
      </c>
      <c r="F1025" s="1" t="str">
        <f t="shared" si="16"/>
        <v>October</v>
      </c>
      <c r="G1025" s="1">
        <v>68</v>
      </c>
      <c r="H1025" s="1">
        <v>269</v>
      </c>
      <c r="I1025" s="1" t="str">
        <f>IF(Table1[[#This Row],[Temperature_F]]&lt;32,"Yes","No")</f>
        <v>No</v>
      </c>
      <c r="J1025" s="1" t="str" cm="1">
        <f t="array" ref="J10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25" s="1" t="str" cm="1">
        <f t="array" ref="K1025">_xlfn.IFS(
H1025=0,"No Rain",
H1025&lt;10,"Light",
H1025&lt;50,"Moderate",
TRUE,"Heavy")</f>
        <v>Heavy</v>
      </c>
      <c r="L1025" s="1" t="str">
        <f>IF(Table1[[#This Row],[Precipitation_mm]]&lt;&gt;0,"Wet","Dry")</f>
        <v>Wet</v>
      </c>
      <c r="M1025" t="b">
        <f>OR(ISBLANK(Table1[[#This Row],[Temperature_F]]),ISERROR(Table1[[#This Row],[Temperature_F]]))</f>
        <v>0</v>
      </c>
    </row>
    <row r="1026" spans="1:13" x14ac:dyDescent="0.25">
      <c r="A1026" s="1" t="s">
        <v>1</v>
      </c>
      <c r="B1026" s="1" t="s">
        <v>2</v>
      </c>
      <c r="C1026" s="1">
        <v>42.360599999999998</v>
      </c>
      <c r="D1026" s="1">
        <v>-71.010599999999997</v>
      </c>
      <c r="E1026" s="5">
        <v>41212</v>
      </c>
      <c r="F1026" s="1" t="str">
        <f t="shared" si="16"/>
        <v>October</v>
      </c>
      <c r="G1026" s="1">
        <v>48</v>
      </c>
      <c r="H1026" s="1">
        <v>124</v>
      </c>
      <c r="I1026" s="1" t="str">
        <f>IF(Table1[[#This Row],[Temperature_F]]&lt;32,"Yes","No")</f>
        <v>No</v>
      </c>
      <c r="J1026" s="1" t="str" cm="1">
        <f t="array" ref="J10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26" s="1" t="str" cm="1">
        <f t="array" ref="K1026">_xlfn.IFS(
H1026=0,"No Rain",
H1026&lt;10,"Light",
H1026&lt;50,"Moderate",
TRUE,"Heavy")</f>
        <v>Heavy</v>
      </c>
      <c r="L1026" s="1" t="str">
        <f>IF(Table1[[#This Row],[Precipitation_mm]]&lt;&gt;0,"Wet","Dry")</f>
        <v>Wet</v>
      </c>
      <c r="M1026" t="b">
        <f>OR(ISBLANK(Table1[[#This Row],[Temperature_F]]),ISERROR(Table1[[#This Row],[Temperature_F]]))</f>
        <v>0</v>
      </c>
    </row>
    <row r="1027" spans="1:13" hidden="1" x14ac:dyDescent="0.25">
      <c r="A1027" s="1" t="s">
        <v>1</v>
      </c>
      <c r="B1027" s="1" t="s">
        <v>2</v>
      </c>
      <c r="C1027" s="1">
        <v>42.360599999999998</v>
      </c>
      <c r="D1027" s="1">
        <v>-71.010599999999997</v>
      </c>
      <c r="E1027" s="5">
        <v>41213</v>
      </c>
      <c r="F1027" s="1" t="str">
        <f t="shared" si="16"/>
        <v>October</v>
      </c>
      <c r="G1027" s="1">
        <v>57</v>
      </c>
      <c r="H1027" s="1">
        <v>5</v>
      </c>
      <c r="I1027" s="1" t="str">
        <f>IF(Table1[[#This Row],[Temperature_F]]&lt;32,"Yes","No")</f>
        <v>No</v>
      </c>
      <c r="J1027" s="1" t="str" cm="1">
        <f t="array" ref="J10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27" s="1" t="str" cm="1">
        <f t="array" ref="K1027">_xlfn.IFS(
H1027=0,"No Rain",
H1027&lt;10,"Light",
H1027&lt;50,"Moderate",
TRUE,"Heavy")</f>
        <v>Light</v>
      </c>
      <c r="L1027" s="1" t="str">
        <f>IF(Table1[[#This Row],[Precipitation_mm]]&lt;&gt;0,"Wet","Dry")</f>
        <v>Wet</v>
      </c>
      <c r="M1027" t="b">
        <f>OR(ISBLANK(Table1[[#This Row],[Temperature_F]]),ISERROR(Table1[[#This Row],[Temperature_F]]))</f>
        <v>0</v>
      </c>
    </row>
    <row r="1028" spans="1:13" x14ac:dyDescent="0.25">
      <c r="A1028" s="1" t="s">
        <v>1</v>
      </c>
      <c r="B1028" s="1" t="s">
        <v>2</v>
      </c>
      <c r="C1028" s="1">
        <v>42.360599999999998</v>
      </c>
      <c r="D1028" s="1">
        <v>-71.010599999999997</v>
      </c>
      <c r="E1028" s="5">
        <v>41214</v>
      </c>
      <c r="F1028" s="1" t="str">
        <f t="shared" si="16"/>
        <v>November</v>
      </c>
      <c r="G1028" s="1">
        <v>46</v>
      </c>
      <c r="H1028" s="1">
        <v>0</v>
      </c>
      <c r="I1028" s="1" t="str">
        <f>IF(Table1[[#This Row],[Temperature_F]]&lt;32,"Yes","No")</f>
        <v>No</v>
      </c>
      <c r="J1028" s="1" t="str" cm="1">
        <f t="array" ref="J10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28" s="1" t="str" cm="1">
        <f t="array" ref="K1028">_xlfn.IFS(
H1028=0,"No Rain",
H1028&lt;10,"Light",
H1028&lt;50,"Moderate",
TRUE,"Heavy")</f>
        <v>No Rain</v>
      </c>
      <c r="L1028" s="1" t="str">
        <f>IF(Table1[[#This Row],[Precipitation_mm]]&lt;&gt;0,"Wet","Dry")</f>
        <v>Dry</v>
      </c>
      <c r="M1028" t="b">
        <f>OR(ISBLANK(Table1[[#This Row],[Temperature_F]]),ISERROR(Table1[[#This Row],[Temperature_F]]))</f>
        <v>0</v>
      </c>
    </row>
    <row r="1029" spans="1:13" hidden="1" x14ac:dyDescent="0.25">
      <c r="A1029" s="1" t="s">
        <v>1</v>
      </c>
      <c r="B1029" s="1" t="s">
        <v>2</v>
      </c>
      <c r="C1029" s="1">
        <v>42.360599999999998</v>
      </c>
      <c r="D1029" s="1">
        <v>-71.010599999999997</v>
      </c>
      <c r="E1029" s="5">
        <v>41215</v>
      </c>
      <c r="F1029" s="1" t="str">
        <f t="shared" si="16"/>
        <v>November</v>
      </c>
      <c r="G1029" s="1">
        <v>64</v>
      </c>
      <c r="H1029" s="1">
        <v>8</v>
      </c>
      <c r="I1029" s="1" t="str">
        <f>IF(Table1[[#This Row],[Temperature_F]]&lt;32,"Yes","No")</f>
        <v>No</v>
      </c>
      <c r="J1029" s="1" t="str" cm="1">
        <f t="array" ref="J10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29" s="1" t="str" cm="1">
        <f t="array" ref="K1029">_xlfn.IFS(
H1029=0,"No Rain",
H1029&lt;10,"Light",
H1029&lt;50,"Moderate",
TRUE,"Heavy")</f>
        <v>Light</v>
      </c>
      <c r="L1029" s="1" t="str">
        <f>IF(Table1[[#This Row],[Precipitation_mm]]&lt;&gt;0,"Wet","Dry")</f>
        <v>Wet</v>
      </c>
      <c r="M1029" t="b">
        <f>OR(ISBLANK(Table1[[#This Row],[Temperature_F]]),ISERROR(Table1[[#This Row],[Temperature_F]]))</f>
        <v>0</v>
      </c>
    </row>
    <row r="1030" spans="1:13" hidden="1" x14ac:dyDescent="0.25">
      <c r="A1030" s="1" t="s">
        <v>1</v>
      </c>
      <c r="B1030" s="1" t="s">
        <v>2</v>
      </c>
      <c r="C1030" s="1">
        <v>42.360599999999998</v>
      </c>
      <c r="D1030" s="1">
        <v>-71.010599999999997</v>
      </c>
      <c r="E1030" s="5">
        <v>41216</v>
      </c>
      <c r="F1030" s="1" t="str">
        <f t="shared" si="16"/>
        <v>November</v>
      </c>
      <c r="G1030" s="1">
        <v>63</v>
      </c>
      <c r="H1030" s="1">
        <v>0</v>
      </c>
      <c r="I1030" s="1" t="str">
        <f>IF(Table1[[#This Row],[Temperature_F]]&lt;32,"Yes","No")</f>
        <v>No</v>
      </c>
      <c r="J1030" s="1" t="str" cm="1">
        <f t="array" ref="J10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30" s="1" t="str" cm="1">
        <f t="array" ref="K1030">_xlfn.IFS(
H1030=0,"No Rain",
H1030&lt;10,"Light",
H1030&lt;50,"Moderate",
TRUE,"Heavy")</f>
        <v>No Rain</v>
      </c>
      <c r="L1030" s="1" t="str">
        <f>IF(Table1[[#This Row],[Precipitation_mm]]&lt;&gt;0,"Wet","Dry")</f>
        <v>Dry</v>
      </c>
      <c r="M1030" t="b">
        <f>OR(ISBLANK(Table1[[#This Row],[Temperature_F]]),ISERROR(Table1[[#This Row],[Temperature_F]]))</f>
        <v>0</v>
      </c>
    </row>
    <row r="1031" spans="1:13" x14ac:dyDescent="0.25">
      <c r="A1031" s="1" t="s">
        <v>1</v>
      </c>
      <c r="B1031" s="1" t="s">
        <v>2</v>
      </c>
      <c r="C1031" s="1">
        <v>42.360599999999998</v>
      </c>
      <c r="D1031" s="1">
        <v>-71.010599999999997</v>
      </c>
      <c r="E1031" s="5">
        <v>41217</v>
      </c>
      <c r="F1031" s="1" t="str">
        <f t="shared" si="16"/>
        <v>November</v>
      </c>
      <c r="G1031" s="1">
        <v>46</v>
      </c>
      <c r="H1031" s="1">
        <v>0</v>
      </c>
      <c r="I1031" s="1" t="str">
        <f>IF(Table1[[#This Row],[Temperature_F]]&lt;32,"Yes","No")</f>
        <v>No</v>
      </c>
      <c r="J1031" s="1" t="str" cm="1">
        <f t="array" ref="J10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31" s="1" t="str" cm="1">
        <f t="array" ref="K1031">_xlfn.IFS(
H1031=0,"No Rain",
H1031&lt;10,"Light",
H1031&lt;50,"Moderate",
TRUE,"Heavy")</f>
        <v>No Rain</v>
      </c>
      <c r="L1031" s="1" t="str">
        <f>IF(Table1[[#This Row],[Precipitation_mm]]&lt;&gt;0,"Wet","Dry")</f>
        <v>Dry</v>
      </c>
      <c r="M1031" t="b">
        <f>OR(ISBLANK(Table1[[#This Row],[Temperature_F]]),ISERROR(Table1[[#This Row],[Temperature_F]]))</f>
        <v>0</v>
      </c>
    </row>
    <row r="1032" spans="1:13" hidden="1" x14ac:dyDescent="0.25">
      <c r="A1032" s="1" t="s">
        <v>1</v>
      </c>
      <c r="B1032" s="1" t="s">
        <v>2</v>
      </c>
      <c r="C1032" s="1">
        <v>42.360599999999998</v>
      </c>
      <c r="D1032" s="1">
        <v>-71.010599999999997</v>
      </c>
      <c r="E1032" s="5">
        <v>41218</v>
      </c>
      <c r="F1032" s="1" t="str">
        <f t="shared" si="16"/>
        <v>November</v>
      </c>
      <c r="G1032" s="1">
        <v>62</v>
      </c>
      <c r="H1032" s="1">
        <v>0</v>
      </c>
      <c r="I1032" s="1" t="str">
        <f>IF(Table1[[#This Row],[Temperature_F]]&lt;32,"Yes","No")</f>
        <v>No</v>
      </c>
      <c r="J1032" s="1" t="str" cm="1">
        <f t="array" ref="J10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32" s="1" t="str" cm="1">
        <f t="array" ref="K1032">_xlfn.IFS(
H1032=0,"No Rain",
H1032&lt;10,"Light",
H1032&lt;50,"Moderate",
TRUE,"Heavy")</f>
        <v>No Rain</v>
      </c>
      <c r="L1032" s="1" t="str">
        <f>IF(Table1[[#This Row],[Precipitation_mm]]&lt;&gt;0,"Wet","Dry")</f>
        <v>Dry</v>
      </c>
      <c r="M1032" t="b">
        <f>OR(ISBLANK(Table1[[#This Row],[Temperature_F]]),ISERROR(Table1[[#This Row],[Temperature_F]]))</f>
        <v>0</v>
      </c>
    </row>
    <row r="1033" spans="1:13" x14ac:dyDescent="0.25">
      <c r="A1033" s="1" t="s">
        <v>1</v>
      </c>
      <c r="B1033" s="1" t="s">
        <v>2</v>
      </c>
      <c r="C1033" s="1">
        <v>42.360599999999998</v>
      </c>
      <c r="D1033" s="1">
        <v>-71.010599999999997</v>
      </c>
      <c r="E1033" s="5">
        <v>41219</v>
      </c>
      <c r="F1033" s="1" t="str">
        <f t="shared" si="16"/>
        <v>November</v>
      </c>
      <c r="G1033" s="1">
        <v>41</v>
      </c>
      <c r="H1033" s="1">
        <v>0</v>
      </c>
      <c r="I1033" s="1" t="str">
        <f>IF(Table1[[#This Row],[Temperature_F]]&lt;32,"Yes","No")</f>
        <v>No</v>
      </c>
      <c r="J1033" s="1" t="str" cm="1">
        <f t="array" ref="J10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33" s="1" t="str" cm="1">
        <f t="array" ref="K1033">_xlfn.IFS(
H1033=0,"No Rain",
H1033&lt;10,"Light",
H1033&lt;50,"Moderate",
TRUE,"Heavy")</f>
        <v>No Rain</v>
      </c>
      <c r="L1033" s="1" t="str">
        <f>IF(Table1[[#This Row],[Precipitation_mm]]&lt;&gt;0,"Wet","Dry")</f>
        <v>Dry</v>
      </c>
      <c r="M1033" t="b">
        <f>OR(ISBLANK(Table1[[#This Row],[Temperature_F]]),ISERROR(Table1[[#This Row],[Temperature_F]]))</f>
        <v>0</v>
      </c>
    </row>
    <row r="1034" spans="1:13" hidden="1" x14ac:dyDescent="0.25">
      <c r="A1034" s="1" t="s">
        <v>1</v>
      </c>
      <c r="B1034" s="1" t="s">
        <v>2</v>
      </c>
      <c r="C1034" s="1">
        <v>42.360599999999998</v>
      </c>
      <c r="D1034" s="1">
        <v>-71.010599999999997</v>
      </c>
      <c r="E1034" s="5">
        <v>41220</v>
      </c>
      <c r="F1034" s="1" t="str">
        <f t="shared" si="16"/>
        <v>November</v>
      </c>
      <c r="G1034" s="1">
        <v>61</v>
      </c>
      <c r="H1034" s="1">
        <v>84</v>
      </c>
      <c r="I1034" s="1" t="str">
        <f>IF(Table1[[#This Row],[Temperature_F]]&lt;32,"Yes","No")</f>
        <v>No</v>
      </c>
      <c r="J1034" s="1" t="str" cm="1">
        <f t="array" ref="J10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34" s="1" t="str" cm="1">
        <f t="array" ref="K1034">_xlfn.IFS(
H1034=0,"No Rain",
H1034&lt;10,"Light",
H1034&lt;50,"Moderate",
TRUE,"Heavy")</f>
        <v>Heavy</v>
      </c>
      <c r="L1034" s="1" t="str">
        <f>IF(Table1[[#This Row],[Precipitation_mm]]&lt;&gt;0,"Wet","Dry")</f>
        <v>Wet</v>
      </c>
      <c r="M1034" t="b">
        <f>OR(ISBLANK(Table1[[#This Row],[Temperature_F]]),ISERROR(Table1[[#This Row],[Temperature_F]]))</f>
        <v>0</v>
      </c>
    </row>
    <row r="1035" spans="1:13" x14ac:dyDescent="0.25">
      <c r="A1035" s="1" t="s">
        <v>1</v>
      </c>
      <c r="B1035" s="1" t="s">
        <v>2</v>
      </c>
      <c r="C1035" s="1">
        <v>42.360599999999998</v>
      </c>
      <c r="D1035" s="1">
        <v>-71.010599999999997</v>
      </c>
      <c r="E1035" s="5">
        <v>41221</v>
      </c>
      <c r="F1035" s="1" t="str">
        <f t="shared" si="16"/>
        <v>November</v>
      </c>
      <c r="G1035" s="1">
        <v>46</v>
      </c>
      <c r="H1035" s="1">
        <v>53</v>
      </c>
      <c r="I1035" s="1" t="str">
        <f>IF(Table1[[#This Row],[Temperature_F]]&lt;32,"Yes","No")</f>
        <v>No</v>
      </c>
      <c r="J1035" s="1" t="str" cm="1">
        <f t="array" ref="J10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35" s="1" t="str" cm="1">
        <f t="array" ref="K1035">_xlfn.IFS(
H1035=0,"No Rain",
H1035&lt;10,"Light",
H1035&lt;50,"Moderate",
TRUE,"Heavy")</f>
        <v>Heavy</v>
      </c>
      <c r="L1035" s="1" t="str">
        <f>IF(Table1[[#This Row],[Precipitation_mm]]&lt;&gt;0,"Wet","Dry")</f>
        <v>Wet</v>
      </c>
      <c r="M1035" t="b">
        <f>OR(ISBLANK(Table1[[#This Row],[Temperature_F]]),ISERROR(Table1[[#This Row],[Temperature_F]]))</f>
        <v>0</v>
      </c>
    </row>
    <row r="1036" spans="1:13" hidden="1" x14ac:dyDescent="0.25">
      <c r="A1036" s="1" t="s">
        <v>1</v>
      </c>
      <c r="B1036" s="1" t="s">
        <v>2</v>
      </c>
      <c r="C1036" s="1">
        <v>42.360599999999998</v>
      </c>
      <c r="D1036" s="1">
        <v>-71.010599999999997</v>
      </c>
      <c r="E1036" s="5">
        <v>41222</v>
      </c>
      <c r="F1036" s="1" t="str">
        <f t="shared" si="16"/>
        <v>November</v>
      </c>
      <c r="G1036" s="1">
        <v>59</v>
      </c>
      <c r="H1036" s="1">
        <v>0</v>
      </c>
      <c r="I1036" s="1" t="str">
        <f>IF(Table1[[#This Row],[Temperature_F]]&lt;32,"Yes","No")</f>
        <v>No</v>
      </c>
      <c r="J1036" s="1" t="str" cm="1">
        <f t="array" ref="J10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36" s="1" t="str" cm="1">
        <f t="array" ref="K1036">_xlfn.IFS(
H1036=0,"No Rain",
H1036&lt;10,"Light",
H1036&lt;50,"Moderate",
TRUE,"Heavy")</f>
        <v>No Rain</v>
      </c>
      <c r="L1036" s="1" t="str">
        <f>IF(Table1[[#This Row],[Precipitation_mm]]&lt;&gt;0,"Wet","Dry")</f>
        <v>Dry</v>
      </c>
      <c r="M1036" t="b">
        <f>OR(ISBLANK(Table1[[#This Row],[Temperature_F]]),ISERROR(Table1[[#This Row],[Temperature_F]]))</f>
        <v>0</v>
      </c>
    </row>
    <row r="1037" spans="1:13" x14ac:dyDescent="0.25">
      <c r="A1037" s="1" t="s">
        <v>1</v>
      </c>
      <c r="B1037" s="1" t="s">
        <v>2</v>
      </c>
      <c r="C1037" s="1">
        <v>42.360599999999998</v>
      </c>
      <c r="D1037" s="1">
        <v>-71.010599999999997</v>
      </c>
      <c r="E1037" s="5">
        <v>41223</v>
      </c>
      <c r="F1037" s="1" t="str">
        <f t="shared" si="16"/>
        <v>November</v>
      </c>
      <c r="G1037" s="1">
        <v>40</v>
      </c>
      <c r="H1037" s="1">
        <v>0</v>
      </c>
      <c r="I1037" s="1" t="str">
        <f>IF(Table1[[#This Row],[Temperature_F]]&lt;32,"Yes","No")</f>
        <v>No</v>
      </c>
      <c r="J1037" s="1" t="str" cm="1">
        <f t="array" ref="J10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37" s="1" t="str" cm="1">
        <f t="array" ref="K1037">_xlfn.IFS(
H1037=0,"No Rain",
H1037&lt;10,"Light",
H1037&lt;50,"Moderate",
TRUE,"Heavy")</f>
        <v>No Rain</v>
      </c>
      <c r="L1037" s="1" t="str">
        <f>IF(Table1[[#This Row],[Precipitation_mm]]&lt;&gt;0,"Wet","Dry")</f>
        <v>Dry</v>
      </c>
      <c r="M1037" t="b">
        <f>OR(ISBLANK(Table1[[#This Row],[Temperature_F]]),ISERROR(Table1[[#This Row],[Temperature_F]]))</f>
        <v>0</v>
      </c>
    </row>
    <row r="1038" spans="1:13" hidden="1" x14ac:dyDescent="0.25">
      <c r="A1038" s="1" t="s">
        <v>1</v>
      </c>
      <c r="B1038" s="1" t="s">
        <v>2</v>
      </c>
      <c r="C1038" s="1">
        <v>42.360599999999998</v>
      </c>
      <c r="D1038" s="1">
        <v>-71.010599999999997</v>
      </c>
      <c r="E1038" s="5">
        <v>41224</v>
      </c>
      <c r="F1038" s="1" t="str">
        <f t="shared" si="16"/>
        <v>November</v>
      </c>
      <c r="G1038" s="1">
        <v>66</v>
      </c>
      <c r="H1038" s="1">
        <v>0</v>
      </c>
      <c r="I1038" s="1" t="str">
        <f>IF(Table1[[#This Row],[Temperature_F]]&lt;32,"Yes","No")</f>
        <v>No</v>
      </c>
      <c r="J1038" s="1" t="str" cm="1">
        <f t="array" ref="J10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38" s="1" t="str" cm="1">
        <f t="array" ref="K1038">_xlfn.IFS(
H1038=0,"No Rain",
H1038&lt;10,"Light",
H1038&lt;50,"Moderate",
TRUE,"Heavy")</f>
        <v>No Rain</v>
      </c>
      <c r="L1038" s="1" t="str">
        <f>IF(Table1[[#This Row],[Precipitation_mm]]&lt;&gt;0,"Wet","Dry")</f>
        <v>Dry</v>
      </c>
      <c r="M1038" t="b">
        <f>OR(ISBLANK(Table1[[#This Row],[Temperature_F]]),ISERROR(Table1[[#This Row],[Temperature_F]]))</f>
        <v>0</v>
      </c>
    </row>
    <row r="1039" spans="1:13" x14ac:dyDescent="0.25">
      <c r="A1039" s="1" t="s">
        <v>1</v>
      </c>
      <c r="B1039" s="1" t="s">
        <v>2</v>
      </c>
      <c r="C1039" s="1">
        <v>42.360599999999998</v>
      </c>
      <c r="D1039" s="1">
        <v>-71.010599999999997</v>
      </c>
      <c r="E1039" s="5">
        <v>41225</v>
      </c>
      <c r="F1039" s="1" t="str">
        <f t="shared" si="16"/>
        <v>November</v>
      </c>
      <c r="G1039" s="1">
        <v>43</v>
      </c>
      <c r="H1039" s="1">
        <v>0</v>
      </c>
      <c r="I1039" s="1" t="str">
        <f>IF(Table1[[#This Row],[Temperature_F]]&lt;32,"Yes","No")</f>
        <v>No</v>
      </c>
      <c r="J1039" s="1" t="str" cm="1">
        <f t="array" ref="J10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39" s="1" t="str" cm="1">
        <f t="array" ref="K1039">_xlfn.IFS(
H1039=0,"No Rain",
H1039&lt;10,"Light",
H1039&lt;50,"Moderate",
TRUE,"Heavy")</f>
        <v>No Rain</v>
      </c>
      <c r="L1039" s="1" t="str">
        <f>IF(Table1[[#This Row],[Precipitation_mm]]&lt;&gt;0,"Wet","Dry")</f>
        <v>Dry</v>
      </c>
      <c r="M1039" t="b">
        <f>OR(ISBLANK(Table1[[#This Row],[Temperature_F]]),ISERROR(Table1[[#This Row],[Temperature_F]]))</f>
        <v>0</v>
      </c>
    </row>
    <row r="1040" spans="1:13" hidden="1" x14ac:dyDescent="0.25">
      <c r="A1040" s="1" t="s">
        <v>1</v>
      </c>
      <c r="B1040" s="1" t="s">
        <v>2</v>
      </c>
      <c r="C1040" s="1">
        <v>42.360599999999998</v>
      </c>
      <c r="D1040" s="1">
        <v>-71.010599999999997</v>
      </c>
      <c r="E1040" s="5">
        <v>41226</v>
      </c>
      <c r="F1040" s="1" t="str">
        <f t="shared" si="16"/>
        <v>November</v>
      </c>
      <c r="G1040" s="1">
        <v>65</v>
      </c>
      <c r="H1040" s="1">
        <v>74</v>
      </c>
      <c r="I1040" s="1" t="str">
        <f>IF(Table1[[#This Row],[Temperature_F]]&lt;32,"Yes","No")</f>
        <v>No</v>
      </c>
      <c r="J1040" s="1" t="str" cm="1">
        <f t="array" ref="J10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0" s="1" t="str" cm="1">
        <f t="array" ref="K1040">_xlfn.IFS(
H1040=0,"No Rain",
H1040&lt;10,"Light",
H1040&lt;50,"Moderate",
TRUE,"Heavy")</f>
        <v>Heavy</v>
      </c>
      <c r="L1040" s="1" t="str">
        <f>IF(Table1[[#This Row],[Precipitation_mm]]&lt;&gt;0,"Wet","Dry")</f>
        <v>Wet</v>
      </c>
      <c r="M1040" t="b">
        <f>OR(ISBLANK(Table1[[#This Row],[Temperature_F]]),ISERROR(Table1[[#This Row],[Temperature_F]]))</f>
        <v>0</v>
      </c>
    </row>
    <row r="1041" spans="1:13" x14ac:dyDescent="0.25">
      <c r="A1041" s="1" t="s">
        <v>1</v>
      </c>
      <c r="B1041" s="1" t="s">
        <v>2</v>
      </c>
      <c r="C1041" s="1">
        <v>42.360599999999998</v>
      </c>
      <c r="D1041" s="1">
        <v>-71.010599999999997</v>
      </c>
      <c r="E1041" s="5">
        <v>41227</v>
      </c>
      <c r="F1041" s="1" t="str">
        <f t="shared" si="16"/>
        <v>November</v>
      </c>
      <c r="G1041" s="1">
        <v>40</v>
      </c>
      <c r="H1041" s="1">
        <v>0</v>
      </c>
      <c r="I1041" s="1" t="str">
        <f>IF(Table1[[#This Row],[Temperature_F]]&lt;32,"Yes","No")</f>
        <v>No</v>
      </c>
      <c r="J1041" s="1" t="str" cm="1">
        <f t="array" ref="J10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41" s="1" t="str" cm="1">
        <f t="array" ref="K1041">_xlfn.IFS(
H1041=0,"No Rain",
H1041&lt;10,"Light",
H1041&lt;50,"Moderate",
TRUE,"Heavy")</f>
        <v>No Rain</v>
      </c>
      <c r="L1041" s="1" t="str">
        <f>IF(Table1[[#This Row],[Precipitation_mm]]&lt;&gt;0,"Wet","Dry")</f>
        <v>Dry</v>
      </c>
      <c r="M1041" t="b">
        <f>OR(ISBLANK(Table1[[#This Row],[Temperature_F]]),ISERROR(Table1[[#This Row],[Temperature_F]]))</f>
        <v>0</v>
      </c>
    </row>
    <row r="1042" spans="1:13" hidden="1" x14ac:dyDescent="0.25">
      <c r="A1042" s="1" t="s">
        <v>1</v>
      </c>
      <c r="B1042" s="1" t="s">
        <v>2</v>
      </c>
      <c r="C1042" s="1">
        <v>42.360599999999998</v>
      </c>
      <c r="D1042" s="1">
        <v>-71.010599999999997</v>
      </c>
      <c r="E1042" s="5">
        <v>41228</v>
      </c>
      <c r="F1042" s="1" t="str">
        <f t="shared" si="16"/>
        <v>November</v>
      </c>
      <c r="G1042" s="1">
        <v>52</v>
      </c>
      <c r="H1042" s="1">
        <v>0</v>
      </c>
      <c r="I1042" s="1" t="str">
        <f>IF(Table1[[#This Row],[Temperature_F]]&lt;32,"Yes","No")</f>
        <v>No</v>
      </c>
      <c r="J1042" s="1" t="str" cm="1">
        <f t="array" ref="J10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2" s="1" t="str" cm="1">
        <f t="array" ref="K1042">_xlfn.IFS(
H1042=0,"No Rain",
H1042&lt;10,"Light",
H1042&lt;50,"Moderate",
TRUE,"Heavy")</f>
        <v>No Rain</v>
      </c>
      <c r="L1042" s="1" t="str">
        <f>IF(Table1[[#This Row],[Precipitation_mm]]&lt;&gt;0,"Wet","Dry")</f>
        <v>Dry</v>
      </c>
      <c r="M1042" t="b">
        <f>OR(ISBLANK(Table1[[#This Row],[Temperature_F]]),ISERROR(Table1[[#This Row],[Temperature_F]]))</f>
        <v>0</v>
      </c>
    </row>
    <row r="1043" spans="1:13" x14ac:dyDescent="0.25">
      <c r="A1043" s="1" t="s">
        <v>1</v>
      </c>
      <c r="B1043" s="1" t="s">
        <v>2</v>
      </c>
      <c r="C1043" s="1">
        <v>42.360599999999998</v>
      </c>
      <c r="D1043" s="1">
        <v>-71.010599999999997</v>
      </c>
      <c r="E1043" s="5">
        <v>41229</v>
      </c>
      <c r="F1043" s="1" t="str">
        <f t="shared" si="16"/>
        <v>November</v>
      </c>
      <c r="G1043" s="1">
        <v>41</v>
      </c>
      <c r="H1043" s="1">
        <v>0</v>
      </c>
      <c r="I1043" s="1" t="str">
        <f>IF(Table1[[#This Row],[Temperature_F]]&lt;32,"Yes","No")</f>
        <v>No</v>
      </c>
      <c r="J1043" s="1" t="str" cm="1">
        <f t="array" ref="J10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43" s="1" t="str" cm="1">
        <f t="array" ref="K1043">_xlfn.IFS(
H1043=0,"No Rain",
H1043&lt;10,"Light",
H1043&lt;50,"Moderate",
TRUE,"Heavy")</f>
        <v>No Rain</v>
      </c>
      <c r="L1043" s="1" t="str">
        <f>IF(Table1[[#This Row],[Precipitation_mm]]&lt;&gt;0,"Wet","Dry")</f>
        <v>Dry</v>
      </c>
      <c r="M1043" t="b">
        <f>OR(ISBLANK(Table1[[#This Row],[Temperature_F]]),ISERROR(Table1[[#This Row],[Temperature_F]]))</f>
        <v>0</v>
      </c>
    </row>
    <row r="1044" spans="1:13" hidden="1" x14ac:dyDescent="0.25">
      <c r="A1044" s="1" t="s">
        <v>1</v>
      </c>
      <c r="B1044" s="1" t="s">
        <v>2</v>
      </c>
      <c r="C1044" s="1">
        <v>42.360599999999998</v>
      </c>
      <c r="D1044" s="1">
        <v>-71.010599999999997</v>
      </c>
      <c r="E1044" s="5">
        <v>41230</v>
      </c>
      <c r="F1044" s="1" t="str">
        <f t="shared" si="16"/>
        <v>November</v>
      </c>
      <c r="G1044" s="1">
        <v>64</v>
      </c>
      <c r="H1044" s="1">
        <v>0</v>
      </c>
      <c r="I1044" s="1" t="str">
        <f>IF(Table1[[#This Row],[Temperature_F]]&lt;32,"Yes","No")</f>
        <v>No</v>
      </c>
      <c r="J1044" s="1" t="str" cm="1">
        <f t="array" ref="J10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4" s="1" t="str" cm="1">
        <f t="array" ref="K1044">_xlfn.IFS(
H1044=0,"No Rain",
H1044&lt;10,"Light",
H1044&lt;50,"Moderate",
TRUE,"Heavy")</f>
        <v>No Rain</v>
      </c>
      <c r="L1044" s="1" t="str">
        <f>IF(Table1[[#This Row],[Precipitation_mm]]&lt;&gt;0,"Wet","Dry")</f>
        <v>Dry</v>
      </c>
      <c r="M1044" t="b">
        <f>OR(ISBLANK(Table1[[#This Row],[Temperature_F]]),ISERROR(Table1[[#This Row],[Temperature_F]]))</f>
        <v>0</v>
      </c>
    </row>
    <row r="1045" spans="1:13" hidden="1" x14ac:dyDescent="0.25">
      <c r="A1045" s="1" t="s">
        <v>1</v>
      </c>
      <c r="B1045" s="1" t="s">
        <v>2</v>
      </c>
      <c r="C1045" s="1">
        <v>42.360599999999998</v>
      </c>
      <c r="D1045" s="1">
        <v>-71.010599999999997</v>
      </c>
      <c r="E1045" s="5">
        <v>41231</v>
      </c>
      <c r="F1045" s="1" t="str">
        <f t="shared" si="16"/>
        <v>November</v>
      </c>
      <c r="G1045" s="1">
        <v>51</v>
      </c>
      <c r="H1045" s="1">
        <v>0</v>
      </c>
      <c r="I1045" s="1" t="str">
        <f>IF(Table1[[#This Row],[Temperature_F]]&lt;32,"Yes","No")</f>
        <v>No</v>
      </c>
      <c r="J1045" s="1" t="str" cm="1">
        <f t="array" ref="J10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5" s="1" t="str" cm="1">
        <f t="array" ref="K1045">_xlfn.IFS(
H1045=0,"No Rain",
H1045&lt;10,"Light",
H1045&lt;50,"Moderate",
TRUE,"Heavy")</f>
        <v>No Rain</v>
      </c>
      <c r="L1045" s="1" t="str">
        <f>IF(Table1[[#This Row],[Precipitation_mm]]&lt;&gt;0,"Wet","Dry")</f>
        <v>Dry</v>
      </c>
      <c r="M1045" t="b">
        <f>OR(ISBLANK(Table1[[#This Row],[Temperature_F]]),ISERROR(Table1[[#This Row],[Temperature_F]]))</f>
        <v>0</v>
      </c>
    </row>
    <row r="1046" spans="1:13" x14ac:dyDescent="0.25">
      <c r="A1046" s="1" t="s">
        <v>1</v>
      </c>
      <c r="B1046" s="1" t="s">
        <v>2</v>
      </c>
      <c r="C1046" s="1">
        <v>42.360599999999998</v>
      </c>
      <c r="D1046" s="1">
        <v>-71.010599999999997</v>
      </c>
      <c r="E1046" s="5">
        <v>41232</v>
      </c>
      <c r="F1046" s="1" t="str">
        <f t="shared" si="16"/>
        <v>November</v>
      </c>
      <c r="G1046" s="1">
        <v>49</v>
      </c>
      <c r="H1046" s="1">
        <v>0</v>
      </c>
      <c r="I1046" s="1" t="str">
        <f>IF(Table1[[#This Row],[Temperature_F]]&lt;32,"Yes","No")</f>
        <v>No</v>
      </c>
      <c r="J1046" s="1" t="str" cm="1">
        <f t="array" ref="J10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46" s="1" t="str" cm="1">
        <f t="array" ref="K1046">_xlfn.IFS(
H1046=0,"No Rain",
H1046&lt;10,"Light",
H1046&lt;50,"Moderate",
TRUE,"Heavy")</f>
        <v>No Rain</v>
      </c>
      <c r="L1046" s="1" t="str">
        <f>IF(Table1[[#This Row],[Precipitation_mm]]&lt;&gt;0,"Wet","Dry")</f>
        <v>Dry</v>
      </c>
      <c r="M1046" t="b">
        <f>OR(ISBLANK(Table1[[#This Row],[Temperature_F]]),ISERROR(Table1[[#This Row],[Temperature_F]]))</f>
        <v>0</v>
      </c>
    </row>
    <row r="1047" spans="1:13" hidden="1" x14ac:dyDescent="0.25">
      <c r="A1047" s="1" t="s">
        <v>1</v>
      </c>
      <c r="B1047" s="1" t="s">
        <v>2</v>
      </c>
      <c r="C1047" s="1">
        <v>42.360599999999998</v>
      </c>
      <c r="D1047" s="1">
        <v>-71.010599999999997</v>
      </c>
      <c r="E1047" s="5">
        <v>41233</v>
      </c>
      <c r="F1047" s="1" t="str">
        <f t="shared" si="16"/>
        <v>November</v>
      </c>
      <c r="G1047" s="1">
        <v>67</v>
      </c>
      <c r="H1047" s="1">
        <v>0</v>
      </c>
      <c r="I1047" s="1" t="str">
        <f>IF(Table1[[#This Row],[Temperature_F]]&lt;32,"Yes","No")</f>
        <v>No</v>
      </c>
      <c r="J1047" s="1" t="str" cm="1">
        <f t="array" ref="J10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7" s="1" t="str" cm="1">
        <f t="array" ref="K1047">_xlfn.IFS(
H1047=0,"No Rain",
H1047&lt;10,"Light",
H1047&lt;50,"Moderate",
TRUE,"Heavy")</f>
        <v>No Rain</v>
      </c>
      <c r="L1047" s="1" t="str">
        <f>IF(Table1[[#This Row],[Precipitation_mm]]&lt;&gt;0,"Wet","Dry")</f>
        <v>Dry</v>
      </c>
      <c r="M1047" t="b">
        <f>OR(ISBLANK(Table1[[#This Row],[Temperature_F]]),ISERROR(Table1[[#This Row],[Temperature_F]]))</f>
        <v>0</v>
      </c>
    </row>
    <row r="1048" spans="1:13" hidden="1" x14ac:dyDescent="0.25">
      <c r="A1048" s="1" t="s">
        <v>1</v>
      </c>
      <c r="B1048" s="1" t="s">
        <v>2</v>
      </c>
      <c r="C1048" s="1">
        <v>42.360599999999998</v>
      </c>
      <c r="D1048" s="1">
        <v>-71.010599999999997</v>
      </c>
      <c r="E1048" s="5">
        <v>41234</v>
      </c>
      <c r="F1048" s="1" t="str">
        <f t="shared" si="16"/>
        <v>November</v>
      </c>
      <c r="G1048" s="1">
        <v>67</v>
      </c>
      <c r="H1048" s="1">
        <v>0</v>
      </c>
      <c r="I1048" s="1" t="str">
        <f>IF(Table1[[#This Row],[Temperature_F]]&lt;32,"Yes","No")</f>
        <v>No</v>
      </c>
      <c r="J1048" s="1" t="str" cm="1">
        <f t="array" ref="J10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8" s="1" t="str" cm="1">
        <f t="array" ref="K1048">_xlfn.IFS(
H1048=0,"No Rain",
H1048&lt;10,"Light",
H1048&lt;50,"Moderate",
TRUE,"Heavy")</f>
        <v>No Rain</v>
      </c>
      <c r="L1048" s="1" t="str">
        <f>IF(Table1[[#This Row],[Precipitation_mm]]&lt;&gt;0,"Wet","Dry")</f>
        <v>Dry</v>
      </c>
      <c r="M1048" t="b">
        <f>OR(ISBLANK(Table1[[#This Row],[Temperature_F]]),ISERROR(Table1[[#This Row],[Temperature_F]]))</f>
        <v>0</v>
      </c>
    </row>
    <row r="1049" spans="1:13" hidden="1" x14ac:dyDescent="0.25">
      <c r="A1049" s="1" t="s">
        <v>1</v>
      </c>
      <c r="B1049" s="1" t="s">
        <v>2</v>
      </c>
      <c r="C1049" s="1">
        <v>42.360599999999998</v>
      </c>
      <c r="D1049" s="1">
        <v>-71.010599999999997</v>
      </c>
      <c r="E1049" s="5">
        <v>41235</v>
      </c>
      <c r="F1049" s="1" t="str">
        <f t="shared" si="16"/>
        <v>November</v>
      </c>
      <c r="G1049" s="1">
        <v>62</v>
      </c>
      <c r="H1049" s="1">
        <v>0</v>
      </c>
      <c r="I1049" s="1" t="str">
        <f>IF(Table1[[#This Row],[Temperature_F]]&lt;32,"Yes","No")</f>
        <v>No</v>
      </c>
      <c r="J1049" s="1" t="str" cm="1">
        <f t="array" ref="J10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49" s="1" t="str" cm="1">
        <f t="array" ref="K1049">_xlfn.IFS(
H1049=0,"No Rain",
H1049&lt;10,"Light",
H1049&lt;50,"Moderate",
TRUE,"Heavy")</f>
        <v>No Rain</v>
      </c>
      <c r="L1049" s="1" t="str">
        <f>IF(Table1[[#This Row],[Precipitation_mm]]&lt;&gt;0,"Wet","Dry")</f>
        <v>Dry</v>
      </c>
      <c r="M1049" t="b">
        <f>OR(ISBLANK(Table1[[#This Row],[Temperature_F]]),ISERROR(Table1[[#This Row],[Temperature_F]]))</f>
        <v>0</v>
      </c>
    </row>
    <row r="1050" spans="1:13" x14ac:dyDescent="0.25">
      <c r="A1050" s="1" t="s">
        <v>1</v>
      </c>
      <c r="B1050" s="1" t="s">
        <v>2</v>
      </c>
      <c r="C1050" s="1">
        <v>42.360599999999998</v>
      </c>
      <c r="D1050" s="1">
        <v>-71.010599999999997</v>
      </c>
      <c r="E1050" s="5">
        <v>41236</v>
      </c>
      <c r="F1050" s="1" t="str">
        <f t="shared" si="16"/>
        <v>November</v>
      </c>
      <c r="G1050" s="1">
        <v>42</v>
      </c>
      <c r="H1050" s="1">
        <v>0</v>
      </c>
      <c r="I1050" s="1" t="str">
        <f>IF(Table1[[#This Row],[Temperature_F]]&lt;32,"Yes","No")</f>
        <v>No</v>
      </c>
      <c r="J1050" s="1" t="str" cm="1">
        <f t="array" ref="J10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50" s="1" t="str" cm="1">
        <f t="array" ref="K1050">_xlfn.IFS(
H1050=0,"No Rain",
H1050&lt;10,"Light",
H1050&lt;50,"Moderate",
TRUE,"Heavy")</f>
        <v>No Rain</v>
      </c>
      <c r="L1050" s="1" t="str">
        <f>IF(Table1[[#This Row],[Precipitation_mm]]&lt;&gt;0,"Wet","Dry")</f>
        <v>Dry</v>
      </c>
      <c r="M1050" t="b">
        <f>OR(ISBLANK(Table1[[#This Row],[Temperature_F]]),ISERROR(Table1[[#This Row],[Temperature_F]]))</f>
        <v>0</v>
      </c>
    </row>
    <row r="1051" spans="1:13" x14ac:dyDescent="0.25">
      <c r="A1051" s="1" t="s">
        <v>1</v>
      </c>
      <c r="B1051" s="1" t="s">
        <v>2</v>
      </c>
      <c r="C1051" s="1">
        <v>42.360599999999998</v>
      </c>
      <c r="D1051" s="1">
        <v>-71.010599999999997</v>
      </c>
      <c r="E1051" s="5">
        <v>41237</v>
      </c>
      <c r="F1051" s="1" t="str">
        <f t="shared" si="16"/>
        <v>November</v>
      </c>
      <c r="G1051" s="1">
        <v>47</v>
      </c>
      <c r="H1051" s="1">
        <v>0</v>
      </c>
      <c r="I1051" s="1" t="str">
        <f>IF(Table1[[#This Row],[Temperature_F]]&lt;32,"Yes","No")</f>
        <v>No</v>
      </c>
      <c r="J1051" s="1" t="str" cm="1">
        <f t="array" ref="J10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51" s="1" t="str" cm="1">
        <f t="array" ref="K1051">_xlfn.IFS(
H1051=0,"No Rain",
H1051&lt;10,"Light",
H1051&lt;50,"Moderate",
TRUE,"Heavy")</f>
        <v>No Rain</v>
      </c>
      <c r="L1051" s="1" t="str">
        <f>IF(Table1[[#This Row],[Precipitation_mm]]&lt;&gt;0,"Wet","Dry")</f>
        <v>Dry</v>
      </c>
      <c r="M1051" t="b">
        <f>OR(ISBLANK(Table1[[#This Row],[Temperature_F]]),ISERROR(Table1[[#This Row],[Temperature_F]]))</f>
        <v>0</v>
      </c>
    </row>
    <row r="1052" spans="1:13" x14ac:dyDescent="0.25">
      <c r="A1052" s="1" t="s">
        <v>1</v>
      </c>
      <c r="B1052" s="1" t="s">
        <v>2</v>
      </c>
      <c r="C1052" s="1">
        <v>42.360599999999998</v>
      </c>
      <c r="D1052" s="1">
        <v>-71.010599999999997</v>
      </c>
      <c r="E1052" s="5">
        <v>41238</v>
      </c>
      <c r="F1052" s="1" t="str">
        <f t="shared" si="16"/>
        <v>November</v>
      </c>
      <c r="G1052" s="1">
        <v>40</v>
      </c>
      <c r="H1052" s="1">
        <v>0</v>
      </c>
      <c r="I1052" s="1" t="str">
        <f>IF(Table1[[#This Row],[Temperature_F]]&lt;32,"Yes","No")</f>
        <v>No</v>
      </c>
      <c r="J1052" s="1" t="str" cm="1">
        <f t="array" ref="J10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52" s="1" t="str" cm="1">
        <f t="array" ref="K1052">_xlfn.IFS(
H1052=0,"No Rain",
H1052&lt;10,"Light",
H1052&lt;50,"Moderate",
TRUE,"Heavy")</f>
        <v>No Rain</v>
      </c>
      <c r="L1052" s="1" t="str">
        <f>IF(Table1[[#This Row],[Precipitation_mm]]&lt;&gt;0,"Wet","Dry")</f>
        <v>Dry</v>
      </c>
      <c r="M1052" t="b">
        <f>OR(ISBLANK(Table1[[#This Row],[Temperature_F]]),ISERROR(Table1[[#This Row],[Temperature_F]]))</f>
        <v>0</v>
      </c>
    </row>
    <row r="1053" spans="1:13" x14ac:dyDescent="0.25">
      <c r="A1053" s="1" t="s">
        <v>1</v>
      </c>
      <c r="B1053" s="1" t="s">
        <v>2</v>
      </c>
      <c r="C1053" s="1">
        <v>42.360599999999998</v>
      </c>
      <c r="D1053" s="1">
        <v>-71.010599999999997</v>
      </c>
      <c r="E1053" s="5">
        <v>41239</v>
      </c>
      <c r="F1053" s="1" t="str">
        <f t="shared" si="16"/>
        <v>November</v>
      </c>
      <c r="G1053" s="1">
        <v>47</v>
      </c>
      <c r="H1053" s="1">
        <v>0</v>
      </c>
      <c r="I1053" s="1" t="str">
        <f>IF(Table1[[#This Row],[Temperature_F]]&lt;32,"Yes","No")</f>
        <v>No</v>
      </c>
      <c r="J1053" s="1" t="str" cm="1">
        <f t="array" ref="J10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53" s="1" t="str" cm="1">
        <f t="array" ref="K1053">_xlfn.IFS(
H1053=0,"No Rain",
H1053&lt;10,"Light",
H1053&lt;50,"Moderate",
TRUE,"Heavy")</f>
        <v>No Rain</v>
      </c>
      <c r="L1053" s="1" t="str">
        <f>IF(Table1[[#This Row],[Precipitation_mm]]&lt;&gt;0,"Wet","Dry")</f>
        <v>Dry</v>
      </c>
      <c r="M1053" t="b">
        <f>OR(ISBLANK(Table1[[#This Row],[Temperature_F]]),ISERROR(Table1[[#This Row],[Temperature_F]]))</f>
        <v>0</v>
      </c>
    </row>
    <row r="1054" spans="1:13" x14ac:dyDescent="0.25">
      <c r="A1054" s="1" t="s">
        <v>1</v>
      </c>
      <c r="B1054" s="1" t="s">
        <v>2</v>
      </c>
      <c r="C1054" s="1">
        <v>42.360599999999998</v>
      </c>
      <c r="D1054" s="1">
        <v>-71.010599999999997</v>
      </c>
      <c r="E1054" s="5">
        <v>41240</v>
      </c>
      <c r="F1054" s="1" t="str">
        <f t="shared" si="16"/>
        <v>November</v>
      </c>
      <c r="G1054" s="1">
        <v>41</v>
      </c>
      <c r="H1054" s="1">
        <v>38</v>
      </c>
      <c r="I1054" s="1" t="str">
        <f>IF(Table1[[#This Row],[Temperature_F]]&lt;32,"Yes","No")</f>
        <v>No</v>
      </c>
      <c r="J1054" s="1" t="str" cm="1">
        <f t="array" ref="J10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54" s="1" t="str" cm="1">
        <f t="array" ref="K1054">_xlfn.IFS(
H1054=0,"No Rain",
H1054&lt;10,"Light",
H1054&lt;50,"Moderate",
TRUE,"Heavy")</f>
        <v>Moderate</v>
      </c>
      <c r="L1054" s="1" t="str">
        <f>IF(Table1[[#This Row],[Precipitation_mm]]&lt;&gt;0,"Wet","Dry")</f>
        <v>Wet</v>
      </c>
      <c r="M1054" t="b">
        <f>OR(ISBLANK(Table1[[#This Row],[Temperature_F]]),ISERROR(Table1[[#This Row],[Temperature_F]]))</f>
        <v>0</v>
      </c>
    </row>
    <row r="1055" spans="1:13" x14ac:dyDescent="0.25">
      <c r="A1055" s="1" t="s">
        <v>1</v>
      </c>
      <c r="B1055" s="1" t="s">
        <v>2</v>
      </c>
      <c r="C1055" s="1">
        <v>42.360599999999998</v>
      </c>
      <c r="D1055" s="1">
        <v>-71.010599999999997</v>
      </c>
      <c r="E1055" s="5">
        <v>41241</v>
      </c>
      <c r="F1055" s="1" t="str">
        <f t="shared" si="16"/>
        <v>November</v>
      </c>
      <c r="G1055" s="1">
        <v>44</v>
      </c>
      <c r="H1055" s="1">
        <v>0</v>
      </c>
      <c r="I1055" s="1" t="str">
        <f>IF(Table1[[#This Row],[Temperature_F]]&lt;32,"Yes","No")</f>
        <v>No</v>
      </c>
      <c r="J1055" s="1" t="str" cm="1">
        <f t="array" ref="J10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55" s="1" t="str" cm="1">
        <f t="array" ref="K1055">_xlfn.IFS(
H1055=0,"No Rain",
H1055&lt;10,"Light",
H1055&lt;50,"Moderate",
TRUE,"Heavy")</f>
        <v>No Rain</v>
      </c>
      <c r="L1055" s="1" t="str">
        <f>IF(Table1[[#This Row],[Precipitation_mm]]&lt;&gt;0,"Wet","Dry")</f>
        <v>Dry</v>
      </c>
      <c r="M1055" t="b">
        <f>OR(ISBLANK(Table1[[#This Row],[Temperature_F]]),ISERROR(Table1[[#This Row],[Temperature_F]]))</f>
        <v>0</v>
      </c>
    </row>
    <row r="1056" spans="1:13" hidden="1" x14ac:dyDescent="0.25">
      <c r="A1056" s="1" t="s">
        <v>1</v>
      </c>
      <c r="B1056" s="1" t="s">
        <v>2</v>
      </c>
      <c r="C1056" s="1">
        <v>42.360599999999998</v>
      </c>
      <c r="D1056" s="1">
        <v>-71.010599999999997</v>
      </c>
      <c r="E1056" s="5">
        <v>41242</v>
      </c>
      <c r="F1056" s="1" t="str">
        <f t="shared" si="16"/>
        <v>November</v>
      </c>
      <c r="G1056" s="1">
        <v>54</v>
      </c>
      <c r="H1056" s="1">
        <v>0</v>
      </c>
      <c r="I1056" s="1" t="str">
        <f>IF(Table1[[#This Row],[Temperature_F]]&lt;32,"Yes","No")</f>
        <v>No</v>
      </c>
      <c r="J1056" s="1" t="str" cm="1">
        <f t="array" ref="J10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56" s="1" t="str" cm="1">
        <f t="array" ref="K1056">_xlfn.IFS(
H1056=0,"No Rain",
H1056&lt;10,"Light",
H1056&lt;50,"Moderate",
TRUE,"Heavy")</f>
        <v>No Rain</v>
      </c>
      <c r="L1056" s="1" t="str">
        <f>IF(Table1[[#This Row],[Precipitation_mm]]&lt;&gt;0,"Wet","Dry")</f>
        <v>Dry</v>
      </c>
      <c r="M1056" t="b">
        <f>OR(ISBLANK(Table1[[#This Row],[Temperature_F]]),ISERROR(Table1[[#This Row],[Temperature_F]]))</f>
        <v>0</v>
      </c>
    </row>
    <row r="1057" spans="1:13" hidden="1" x14ac:dyDescent="0.25">
      <c r="A1057" s="1" t="s">
        <v>1</v>
      </c>
      <c r="B1057" s="1" t="s">
        <v>2</v>
      </c>
      <c r="C1057" s="1">
        <v>42.360599999999998</v>
      </c>
      <c r="D1057" s="1">
        <v>-71.010599999999997</v>
      </c>
      <c r="E1057" s="5">
        <v>41243</v>
      </c>
      <c r="F1057" s="1" t="str">
        <f t="shared" si="16"/>
        <v>November</v>
      </c>
      <c r="G1057" s="1">
        <v>63</v>
      </c>
      <c r="H1057" s="1">
        <v>0</v>
      </c>
      <c r="I1057" s="1" t="str">
        <f>IF(Table1[[#This Row],[Temperature_F]]&lt;32,"Yes","No")</f>
        <v>No</v>
      </c>
      <c r="J1057" s="1" t="str" cm="1">
        <f t="array" ref="J10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057" s="1" t="str" cm="1">
        <f t="array" ref="K1057">_xlfn.IFS(
H1057=0,"No Rain",
H1057&lt;10,"Light",
H1057&lt;50,"Moderate",
TRUE,"Heavy")</f>
        <v>No Rain</v>
      </c>
      <c r="L1057" s="1" t="str">
        <f>IF(Table1[[#This Row],[Precipitation_mm]]&lt;&gt;0,"Wet","Dry")</f>
        <v>Dry</v>
      </c>
      <c r="M1057" t="b">
        <f>OR(ISBLANK(Table1[[#This Row],[Temperature_F]]),ISERROR(Table1[[#This Row],[Temperature_F]]))</f>
        <v>0</v>
      </c>
    </row>
    <row r="1058" spans="1:13" hidden="1" x14ac:dyDescent="0.25">
      <c r="A1058" s="1" t="s">
        <v>1</v>
      </c>
      <c r="B1058" s="1" t="s">
        <v>2</v>
      </c>
      <c r="C1058" s="1">
        <v>42.360599999999998</v>
      </c>
      <c r="D1058" s="1">
        <v>-71.010599999999997</v>
      </c>
      <c r="E1058" s="5">
        <v>41244</v>
      </c>
      <c r="F1058" s="1" t="str">
        <f t="shared" si="16"/>
        <v>December</v>
      </c>
      <c r="G1058" s="1">
        <v>29</v>
      </c>
      <c r="H1058" s="1">
        <v>8</v>
      </c>
      <c r="I1058" s="1" t="str">
        <f>IF(Table1[[#This Row],[Temperature_F]]&lt;32,"Yes","No")</f>
        <v>Yes</v>
      </c>
      <c r="J1058" s="1" t="str" cm="1">
        <f t="array" ref="J10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58" s="1" t="str" cm="1">
        <f t="array" ref="K1058">_xlfn.IFS(
H1058=0,"No Rain",
H1058&lt;10,"Light",
H1058&lt;50,"Moderate",
TRUE,"Heavy")</f>
        <v>Light</v>
      </c>
      <c r="L1058" s="1" t="str">
        <f>IF(Table1[[#This Row],[Precipitation_mm]]&lt;&gt;0,"Wet","Dry")</f>
        <v>Wet</v>
      </c>
      <c r="M1058" t="b">
        <f>OR(ISBLANK(Table1[[#This Row],[Temperature_F]]),ISERROR(Table1[[#This Row],[Temperature_F]]))</f>
        <v>0</v>
      </c>
    </row>
    <row r="1059" spans="1:13" hidden="1" x14ac:dyDescent="0.25">
      <c r="A1059" s="1" t="s">
        <v>1</v>
      </c>
      <c r="B1059" s="1" t="s">
        <v>2</v>
      </c>
      <c r="C1059" s="1">
        <v>42.360599999999998</v>
      </c>
      <c r="D1059" s="1">
        <v>-71.010599999999997</v>
      </c>
      <c r="E1059" s="5">
        <v>41245</v>
      </c>
      <c r="F1059" s="1" t="str">
        <f t="shared" si="16"/>
        <v>December</v>
      </c>
      <c r="G1059" s="1">
        <v>27</v>
      </c>
      <c r="H1059" s="1">
        <v>0</v>
      </c>
      <c r="I1059" s="1" t="str">
        <f>IF(Table1[[#This Row],[Temperature_F]]&lt;32,"Yes","No")</f>
        <v>Yes</v>
      </c>
      <c r="J1059" s="1" t="str" cm="1">
        <f t="array" ref="J10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59" s="1" t="str" cm="1">
        <f t="array" ref="K1059">_xlfn.IFS(
H1059=0,"No Rain",
H1059&lt;10,"Light",
H1059&lt;50,"Moderate",
TRUE,"Heavy")</f>
        <v>No Rain</v>
      </c>
      <c r="L1059" s="1" t="str">
        <f>IF(Table1[[#This Row],[Precipitation_mm]]&lt;&gt;0,"Wet","Dry")</f>
        <v>Dry</v>
      </c>
      <c r="M1059" t="b">
        <f>OR(ISBLANK(Table1[[#This Row],[Temperature_F]]),ISERROR(Table1[[#This Row],[Temperature_F]]))</f>
        <v>0</v>
      </c>
    </row>
    <row r="1060" spans="1:13" hidden="1" x14ac:dyDescent="0.25">
      <c r="A1060" s="1" t="s">
        <v>1</v>
      </c>
      <c r="B1060" s="1" t="s">
        <v>2</v>
      </c>
      <c r="C1060" s="1">
        <v>42.360599999999998</v>
      </c>
      <c r="D1060" s="1">
        <v>-71.010599999999997</v>
      </c>
      <c r="E1060" s="5">
        <v>41246</v>
      </c>
      <c r="F1060" s="1" t="str">
        <f t="shared" si="16"/>
        <v>December</v>
      </c>
      <c r="G1060" s="1">
        <v>17</v>
      </c>
      <c r="H1060" s="1">
        <v>0</v>
      </c>
      <c r="I1060" s="1" t="str">
        <f>IF(Table1[[#This Row],[Temperature_F]]&lt;32,"Yes","No")</f>
        <v>Yes</v>
      </c>
      <c r="J1060" s="1" t="str" cm="1">
        <f t="array" ref="J10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0" s="1" t="str" cm="1">
        <f t="array" ref="K1060">_xlfn.IFS(
H1060=0,"No Rain",
H1060&lt;10,"Light",
H1060&lt;50,"Moderate",
TRUE,"Heavy")</f>
        <v>No Rain</v>
      </c>
      <c r="L1060" s="1" t="str">
        <f>IF(Table1[[#This Row],[Precipitation_mm]]&lt;&gt;0,"Wet","Dry")</f>
        <v>Dry</v>
      </c>
      <c r="M1060" t="b">
        <f>OR(ISBLANK(Table1[[#This Row],[Temperature_F]]),ISERROR(Table1[[#This Row],[Temperature_F]]))</f>
        <v>0</v>
      </c>
    </row>
    <row r="1061" spans="1:13" hidden="1" x14ac:dyDescent="0.25">
      <c r="A1061" s="1" t="s">
        <v>1</v>
      </c>
      <c r="B1061" s="1" t="s">
        <v>2</v>
      </c>
      <c r="C1061" s="1">
        <v>42.360599999999998</v>
      </c>
      <c r="D1061" s="1">
        <v>-71.010599999999997</v>
      </c>
      <c r="E1061" s="5">
        <v>41247</v>
      </c>
      <c r="F1061" s="1" t="str">
        <f t="shared" si="16"/>
        <v>December</v>
      </c>
      <c r="G1061" s="1">
        <v>20</v>
      </c>
      <c r="H1061" s="1">
        <v>3</v>
      </c>
      <c r="I1061" s="1" t="str">
        <f>IF(Table1[[#This Row],[Temperature_F]]&lt;32,"Yes","No")</f>
        <v>Yes</v>
      </c>
      <c r="J1061" s="1" t="str" cm="1">
        <f t="array" ref="J10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1" s="1" t="str" cm="1">
        <f t="array" ref="K1061">_xlfn.IFS(
H1061=0,"No Rain",
H1061&lt;10,"Light",
H1061&lt;50,"Moderate",
TRUE,"Heavy")</f>
        <v>Light</v>
      </c>
      <c r="L1061" s="1" t="str">
        <f>IF(Table1[[#This Row],[Precipitation_mm]]&lt;&gt;0,"Wet","Dry")</f>
        <v>Wet</v>
      </c>
      <c r="M1061" t="b">
        <f>OR(ISBLANK(Table1[[#This Row],[Temperature_F]]),ISERROR(Table1[[#This Row],[Temperature_F]]))</f>
        <v>0</v>
      </c>
    </row>
    <row r="1062" spans="1:13" hidden="1" x14ac:dyDescent="0.25">
      <c r="A1062" s="1" t="s">
        <v>1</v>
      </c>
      <c r="B1062" s="1" t="s">
        <v>2</v>
      </c>
      <c r="C1062" s="1">
        <v>42.360599999999998</v>
      </c>
      <c r="D1062" s="1">
        <v>-71.010599999999997</v>
      </c>
      <c r="E1062" s="5">
        <v>41248</v>
      </c>
      <c r="F1062" s="1" t="str">
        <f t="shared" si="16"/>
        <v>December</v>
      </c>
      <c r="G1062" s="1">
        <v>29</v>
      </c>
      <c r="H1062" s="1">
        <v>0</v>
      </c>
      <c r="I1062" s="1" t="str">
        <f>IF(Table1[[#This Row],[Temperature_F]]&lt;32,"Yes","No")</f>
        <v>Yes</v>
      </c>
      <c r="J1062" s="1" t="str" cm="1">
        <f t="array" ref="J10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2" s="1" t="str" cm="1">
        <f t="array" ref="K1062">_xlfn.IFS(
H1062=0,"No Rain",
H1062&lt;10,"Light",
H1062&lt;50,"Moderate",
TRUE,"Heavy")</f>
        <v>No Rain</v>
      </c>
      <c r="L1062" s="1" t="str">
        <f>IF(Table1[[#This Row],[Precipitation_mm]]&lt;&gt;0,"Wet","Dry")</f>
        <v>Dry</v>
      </c>
      <c r="M1062" t="b">
        <f>OR(ISBLANK(Table1[[#This Row],[Temperature_F]]),ISERROR(Table1[[#This Row],[Temperature_F]]))</f>
        <v>0</v>
      </c>
    </row>
    <row r="1063" spans="1:13" hidden="1" x14ac:dyDescent="0.25">
      <c r="A1063" s="1" t="s">
        <v>1</v>
      </c>
      <c r="B1063" s="1" t="s">
        <v>2</v>
      </c>
      <c r="C1063" s="1">
        <v>42.360599999999998</v>
      </c>
      <c r="D1063" s="1">
        <v>-71.010599999999997</v>
      </c>
      <c r="E1063" s="5">
        <v>41249</v>
      </c>
      <c r="F1063" s="1" t="str">
        <f t="shared" si="16"/>
        <v>December</v>
      </c>
      <c r="G1063" s="1">
        <v>11</v>
      </c>
      <c r="H1063" s="1">
        <v>0</v>
      </c>
      <c r="I1063" s="1" t="str">
        <f>IF(Table1[[#This Row],[Temperature_F]]&lt;32,"Yes","No")</f>
        <v>Yes</v>
      </c>
      <c r="J1063" s="1" t="str" cm="1">
        <f t="array" ref="J10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3" s="1" t="str" cm="1">
        <f t="array" ref="K1063">_xlfn.IFS(
H1063=0,"No Rain",
H1063&lt;10,"Light",
H1063&lt;50,"Moderate",
TRUE,"Heavy")</f>
        <v>No Rain</v>
      </c>
      <c r="L1063" s="1" t="str">
        <f>IF(Table1[[#This Row],[Precipitation_mm]]&lt;&gt;0,"Wet","Dry")</f>
        <v>Dry</v>
      </c>
      <c r="M1063" t="b">
        <f>OR(ISBLANK(Table1[[#This Row],[Temperature_F]]),ISERROR(Table1[[#This Row],[Temperature_F]]))</f>
        <v>0</v>
      </c>
    </row>
    <row r="1064" spans="1:13" x14ac:dyDescent="0.25">
      <c r="A1064" s="1" t="s">
        <v>1</v>
      </c>
      <c r="B1064" s="1" t="s">
        <v>2</v>
      </c>
      <c r="C1064" s="1">
        <v>42.360599999999998</v>
      </c>
      <c r="D1064" s="1">
        <v>-71.010599999999997</v>
      </c>
      <c r="E1064" s="5">
        <v>41250</v>
      </c>
      <c r="F1064" s="1" t="str">
        <f t="shared" si="16"/>
        <v>December</v>
      </c>
      <c r="G1064" s="1">
        <v>39</v>
      </c>
      <c r="H1064" s="1">
        <v>8</v>
      </c>
      <c r="I1064" s="1" t="str">
        <f>IF(Table1[[#This Row],[Temperature_F]]&lt;32,"Yes","No")</f>
        <v>No</v>
      </c>
      <c r="J1064" s="1" t="str" cm="1">
        <f t="array" ref="J10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64" s="1" t="str" cm="1">
        <f t="array" ref="K1064">_xlfn.IFS(
H1064=0,"No Rain",
H1064&lt;10,"Light",
H1064&lt;50,"Moderate",
TRUE,"Heavy")</f>
        <v>Light</v>
      </c>
      <c r="L1064" s="1" t="str">
        <f>IF(Table1[[#This Row],[Precipitation_mm]]&lt;&gt;0,"Wet","Dry")</f>
        <v>Wet</v>
      </c>
      <c r="M1064" t="b">
        <f>OR(ISBLANK(Table1[[#This Row],[Temperature_F]]),ISERROR(Table1[[#This Row],[Temperature_F]]))</f>
        <v>0</v>
      </c>
    </row>
    <row r="1065" spans="1:13" x14ac:dyDescent="0.25">
      <c r="A1065" s="1" t="s">
        <v>1</v>
      </c>
      <c r="B1065" s="1" t="s">
        <v>2</v>
      </c>
      <c r="C1065" s="1">
        <v>42.360599999999998</v>
      </c>
      <c r="D1065" s="1">
        <v>-71.010599999999997</v>
      </c>
      <c r="E1065" s="5">
        <v>41251</v>
      </c>
      <c r="F1065" s="1" t="str">
        <f t="shared" si="16"/>
        <v>December</v>
      </c>
      <c r="G1065" s="1">
        <v>45</v>
      </c>
      <c r="H1065" s="1">
        <v>86</v>
      </c>
      <c r="I1065" s="1" t="str">
        <f>IF(Table1[[#This Row],[Temperature_F]]&lt;32,"Yes","No")</f>
        <v>No</v>
      </c>
      <c r="J1065" s="1" t="str" cm="1">
        <f t="array" ref="J10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65" s="1" t="str" cm="1">
        <f t="array" ref="K1065">_xlfn.IFS(
H1065=0,"No Rain",
H1065&lt;10,"Light",
H1065&lt;50,"Moderate",
TRUE,"Heavy")</f>
        <v>Heavy</v>
      </c>
      <c r="L1065" s="1" t="str">
        <f>IF(Table1[[#This Row],[Precipitation_mm]]&lt;&gt;0,"Wet","Dry")</f>
        <v>Wet</v>
      </c>
      <c r="M1065" t="b">
        <f>OR(ISBLANK(Table1[[#This Row],[Temperature_F]]),ISERROR(Table1[[#This Row],[Temperature_F]]))</f>
        <v>0</v>
      </c>
    </row>
    <row r="1066" spans="1:13" hidden="1" x14ac:dyDescent="0.25">
      <c r="A1066" s="1" t="s">
        <v>1</v>
      </c>
      <c r="B1066" s="1" t="s">
        <v>2</v>
      </c>
      <c r="C1066" s="1">
        <v>42.360599999999998</v>
      </c>
      <c r="D1066" s="1">
        <v>-71.010599999999997</v>
      </c>
      <c r="E1066" s="5">
        <v>41252</v>
      </c>
      <c r="F1066" s="1" t="str">
        <f t="shared" si="16"/>
        <v>December</v>
      </c>
      <c r="G1066" s="1">
        <v>17</v>
      </c>
      <c r="H1066" s="1">
        <v>20</v>
      </c>
      <c r="I1066" s="1" t="str">
        <f>IF(Table1[[#This Row],[Temperature_F]]&lt;32,"Yes","No")</f>
        <v>Yes</v>
      </c>
      <c r="J1066" s="1" t="str" cm="1">
        <f t="array" ref="J10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6" s="1" t="str" cm="1">
        <f t="array" ref="K1066">_xlfn.IFS(
H1066=0,"No Rain",
H1066&lt;10,"Light",
H1066&lt;50,"Moderate",
TRUE,"Heavy")</f>
        <v>Moderate</v>
      </c>
      <c r="L1066" s="1" t="str">
        <f>IF(Table1[[#This Row],[Precipitation_mm]]&lt;&gt;0,"Wet","Dry")</f>
        <v>Wet</v>
      </c>
      <c r="M1066" t="b">
        <f>OR(ISBLANK(Table1[[#This Row],[Temperature_F]]),ISERROR(Table1[[#This Row],[Temperature_F]]))</f>
        <v>0</v>
      </c>
    </row>
    <row r="1067" spans="1:13" hidden="1" x14ac:dyDescent="0.25">
      <c r="A1067" s="1" t="s">
        <v>1</v>
      </c>
      <c r="B1067" s="1" t="s">
        <v>2</v>
      </c>
      <c r="C1067" s="1">
        <v>42.360599999999998</v>
      </c>
      <c r="D1067" s="1">
        <v>-71.010599999999997</v>
      </c>
      <c r="E1067" s="5">
        <v>41253</v>
      </c>
      <c r="F1067" s="1" t="str">
        <f t="shared" si="16"/>
        <v>December</v>
      </c>
      <c r="G1067" s="1">
        <v>11</v>
      </c>
      <c r="H1067" s="1">
        <v>142</v>
      </c>
      <c r="I1067" s="1" t="str">
        <f>IF(Table1[[#This Row],[Temperature_F]]&lt;32,"Yes","No")</f>
        <v>Yes</v>
      </c>
      <c r="J1067" s="1" t="str" cm="1">
        <f t="array" ref="J10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7" s="1" t="str" cm="1">
        <f t="array" ref="K1067">_xlfn.IFS(
H1067=0,"No Rain",
H1067&lt;10,"Light",
H1067&lt;50,"Moderate",
TRUE,"Heavy")</f>
        <v>Heavy</v>
      </c>
      <c r="L1067" s="1" t="str">
        <f>IF(Table1[[#This Row],[Precipitation_mm]]&lt;&gt;0,"Wet","Dry")</f>
        <v>Wet</v>
      </c>
      <c r="M1067" t="b">
        <f>OR(ISBLANK(Table1[[#This Row],[Temperature_F]]),ISERROR(Table1[[#This Row],[Temperature_F]]))</f>
        <v>0</v>
      </c>
    </row>
    <row r="1068" spans="1:13" hidden="1" x14ac:dyDescent="0.25">
      <c r="A1068" s="1" t="s">
        <v>1</v>
      </c>
      <c r="B1068" s="1" t="s">
        <v>2</v>
      </c>
      <c r="C1068" s="1">
        <v>42.360599999999998</v>
      </c>
      <c r="D1068" s="1">
        <v>-71.010599999999997</v>
      </c>
      <c r="E1068" s="5">
        <v>41254</v>
      </c>
      <c r="F1068" s="1" t="str">
        <f t="shared" si="16"/>
        <v>December</v>
      </c>
      <c r="G1068" s="1">
        <v>29</v>
      </c>
      <c r="H1068" s="1">
        <v>0</v>
      </c>
      <c r="I1068" s="1" t="str">
        <f>IF(Table1[[#This Row],[Temperature_F]]&lt;32,"Yes","No")</f>
        <v>Yes</v>
      </c>
      <c r="J1068" s="1" t="str" cm="1">
        <f t="array" ref="J10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8" s="1" t="str" cm="1">
        <f t="array" ref="K1068">_xlfn.IFS(
H1068=0,"No Rain",
H1068&lt;10,"Light",
H1068&lt;50,"Moderate",
TRUE,"Heavy")</f>
        <v>No Rain</v>
      </c>
      <c r="L1068" s="1" t="str">
        <f>IF(Table1[[#This Row],[Precipitation_mm]]&lt;&gt;0,"Wet","Dry")</f>
        <v>Dry</v>
      </c>
      <c r="M1068" t="b">
        <f>OR(ISBLANK(Table1[[#This Row],[Temperature_F]]),ISERROR(Table1[[#This Row],[Temperature_F]]))</f>
        <v>0</v>
      </c>
    </row>
    <row r="1069" spans="1:13" hidden="1" x14ac:dyDescent="0.25">
      <c r="A1069" s="1" t="s">
        <v>1</v>
      </c>
      <c r="B1069" s="1" t="s">
        <v>2</v>
      </c>
      <c r="C1069" s="1">
        <v>42.360599999999998</v>
      </c>
      <c r="D1069" s="1">
        <v>-71.010599999999997</v>
      </c>
      <c r="E1069" s="5">
        <v>41255</v>
      </c>
      <c r="F1069" s="1" t="str">
        <f t="shared" si="16"/>
        <v>December</v>
      </c>
      <c r="G1069" s="1">
        <v>16</v>
      </c>
      <c r="H1069" s="1">
        <v>0</v>
      </c>
      <c r="I1069" s="1" t="str">
        <f>IF(Table1[[#This Row],[Temperature_F]]&lt;32,"Yes","No")</f>
        <v>Yes</v>
      </c>
      <c r="J1069" s="1" t="str" cm="1">
        <f t="array" ref="J10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69" s="1" t="str" cm="1">
        <f t="array" ref="K1069">_xlfn.IFS(
H1069=0,"No Rain",
H1069&lt;10,"Light",
H1069&lt;50,"Moderate",
TRUE,"Heavy")</f>
        <v>No Rain</v>
      </c>
      <c r="L1069" s="1" t="str">
        <f>IF(Table1[[#This Row],[Precipitation_mm]]&lt;&gt;0,"Wet","Dry")</f>
        <v>Dry</v>
      </c>
      <c r="M1069" t="b">
        <f>OR(ISBLANK(Table1[[#This Row],[Temperature_F]]),ISERROR(Table1[[#This Row],[Temperature_F]]))</f>
        <v>0</v>
      </c>
    </row>
    <row r="1070" spans="1:13" hidden="1" x14ac:dyDescent="0.25">
      <c r="A1070" s="1" t="s">
        <v>1</v>
      </c>
      <c r="B1070" s="1" t="s">
        <v>2</v>
      </c>
      <c r="C1070" s="1">
        <v>42.360599999999998</v>
      </c>
      <c r="D1070" s="1">
        <v>-71.010599999999997</v>
      </c>
      <c r="E1070" s="5">
        <v>41256</v>
      </c>
      <c r="F1070" s="1" t="str">
        <f t="shared" si="16"/>
        <v>December</v>
      </c>
      <c r="G1070" s="1">
        <v>22</v>
      </c>
      <c r="H1070" s="1">
        <v>0</v>
      </c>
      <c r="I1070" s="1" t="str">
        <f>IF(Table1[[#This Row],[Temperature_F]]&lt;32,"Yes","No")</f>
        <v>Yes</v>
      </c>
      <c r="J1070" s="1" t="str" cm="1">
        <f t="array" ref="J10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0" s="1" t="str" cm="1">
        <f t="array" ref="K1070">_xlfn.IFS(
H1070=0,"No Rain",
H1070&lt;10,"Light",
H1070&lt;50,"Moderate",
TRUE,"Heavy")</f>
        <v>No Rain</v>
      </c>
      <c r="L1070" s="1" t="str">
        <f>IF(Table1[[#This Row],[Precipitation_mm]]&lt;&gt;0,"Wet","Dry")</f>
        <v>Dry</v>
      </c>
      <c r="M1070" t="b">
        <f>OR(ISBLANK(Table1[[#This Row],[Temperature_F]]),ISERROR(Table1[[#This Row],[Temperature_F]]))</f>
        <v>0</v>
      </c>
    </row>
    <row r="1071" spans="1:13" hidden="1" x14ac:dyDescent="0.25">
      <c r="A1071" s="1" t="s">
        <v>1</v>
      </c>
      <c r="B1071" s="1" t="s">
        <v>2</v>
      </c>
      <c r="C1071" s="1">
        <v>42.360599999999998</v>
      </c>
      <c r="D1071" s="1">
        <v>-71.010599999999997</v>
      </c>
      <c r="E1071" s="5">
        <v>41257</v>
      </c>
      <c r="F1071" s="1" t="str">
        <f t="shared" si="16"/>
        <v>December</v>
      </c>
      <c r="G1071" s="1">
        <v>28</v>
      </c>
      <c r="H1071" s="1">
        <v>0</v>
      </c>
      <c r="I1071" s="1" t="str">
        <f>IF(Table1[[#This Row],[Temperature_F]]&lt;32,"Yes","No")</f>
        <v>Yes</v>
      </c>
      <c r="J1071" s="1" t="str" cm="1">
        <f t="array" ref="J10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1" s="1" t="str" cm="1">
        <f t="array" ref="K1071">_xlfn.IFS(
H1071=0,"No Rain",
H1071&lt;10,"Light",
H1071&lt;50,"Moderate",
TRUE,"Heavy")</f>
        <v>No Rain</v>
      </c>
      <c r="L1071" s="1" t="str">
        <f>IF(Table1[[#This Row],[Precipitation_mm]]&lt;&gt;0,"Wet","Dry")</f>
        <v>Dry</v>
      </c>
      <c r="M1071" t="b">
        <f>OR(ISBLANK(Table1[[#This Row],[Temperature_F]]),ISERROR(Table1[[#This Row],[Temperature_F]]))</f>
        <v>0</v>
      </c>
    </row>
    <row r="1072" spans="1:13" hidden="1" x14ac:dyDescent="0.25">
      <c r="A1072" s="1" t="s">
        <v>1</v>
      </c>
      <c r="B1072" s="1" t="s">
        <v>2</v>
      </c>
      <c r="C1072" s="1">
        <v>42.360599999999998</v>
      </c>
      <c r="D1072" s="1">
        <v>-71.010599999999997</v>
      </c>
      <c r="E1072" s="5">
        <v>41258</v>
      </c>
      <c r="F1072" s="1" t="str">
        <f t="shared" si="16"/>
        <v>December</v>
      </c>
      <c r="G1072" s="1">
        <v>13</v>
      </c>
      <c r="H1072" s="1">
        <v>0</v>
      </c>
      <c r="I1072" s="1" t="str">
        <f>IF(Table1[[#This Row],[Temperature_F]]&lt;32,"Yes","No")</f>
        <v>Yes</v>
      </c>
      <c r="J1072" s="1" t="str" cm="1">
        <f t="array" ref="J10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2" s="1" t="str" cm="1">
        <f t="array" ref="K1072">_xlfn.IFS(
H1072=0,"No Rain",
H1072&lt;10,"Light",
H1072&lt;50,"Moderate",
TRUE,"Heavy")</f>
        <v>No Rain</v>
      </c>
      <c r="L1072" s="1" t="str">
        <f>IF(Table1[[#This Row],[Precipitation_mm]]&lt;&gt;0,"Wet","Dry")</f>
        <v>Dry</v>
      </c>
      <c r="M1072" t="b">
        <f>OR(ISBLANK(Table1[[#This Row],[Temperature_F]]),ISERROR(Table1[[#This Row],[Temperature_F]]))</f>
        <v>0</v>
      </c>
    </row>
    <row r="1073" spans="1:13" hidden="1" x14ac:dyDescent="0.25">
      <c r="A1073" s="1" t="s">
        <v>1</v>
      </c>
      <c r="B1073" s="1" t="s">
        <v>2</v>
      </c>
      <c r="C1073" s="1">
        <v>42.360599999999998</v>
      </c>
      <c r="D1073" s="1">
        <v>-71.010599999999997</v>
      </c>
      <c r="E1073" s="5">
        <v>41259</v>
      </c>
      <c r="F1073" s="1" t="str">
        <f t="shared" si="16"/>
        <v>December</v>
      </c>
      <c r="G1073" s="1">
        <v>28</v>
      </c>
      <c r="H1073" s="1">
        <v>64</v>
      </c>
      <c r="I1073" s="1" t="str">
        <f>IF(Table1[[#This Row],[Temperature_F]]&lt;32,"Yes","No")</f>
        <v>Yes</v>
      </c>
      <c r="J1073" s="1" t="str" cm="1">
        <f t="array" ref="J10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3" s="1" t="str" cm="1">
        <f t="array" ref="K1073">_xlfn.IFS(
H1073=0,"No Rain",
H1073&lt;10,"Light",
H1073&lt;50,"Moderate",
TRUE,"Heavy")</f>
        <v>Heavy</v>
      </c>
      <c r="L1073" s="1" t="str">
        <f>IF(Table1[[#This Row],[Precipitation_mm]]&lt;&gt;0,"Wet","Dry")</f>
        <v>Wet</v>
      </c>
      <c r="M1073" t="b">
        <f>OR(ISBLANK(Table1[[#This Row],[Temperature_F]]),ISERROR(Table1[[#This Row],[Temperature_F]]))</f>
        <v>0</v>
      </c>
    </row>
    <row r="1074" spans="1:13" hidden="1" x14ac:dyDescent="0.25">
      <c r="A1074" s="1" t="s">
        <v>1</v>
      </c>
      <c r="B1074" s="1" t="s">
        <v>2</v>
      </c>
      <c r="C1074" s="1">
        <v>42.360599999999998</v>
      </c>
      <c r="D1074" s="1">
        <v>-71.010599999999997</v>
      </c>
      <c r="E1074" s="5">
        <v>41260</v>
      </c>
      <c r="F1074" s="1" t="str">
        <f t="shared" si="16"/>
        <v>December</v>
      </c>
      <c r="G1074" s="1">
        <v>28</v>
      </c>
      <c r="H1074" s="1">
        <v>122</v>
      </c>
      <c r="I1074" s="1" t="str">
        <f>IF(Table1[[#This Row],[Temperature_F]]&lt;32,"Yes","No")</f>
        <v>Yes</v>
      </c>
      <c r="J1074" s="1" t="str" cm="1">
        <f t="array" ref="J10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4" s="1" t="str" cm="1">
        <f t="array" ref="K1074">_xlfn.IFS(
H1074=0,"No Rain",
H1074&lt;10,"Light",
H1074&lt;50,"Moderate",
TRUE,"Heavy")</f>
        <v>Heavy</v>
      </c>
      <c r="L1074" s="1" t="str">
        <f>IF(Table1[[#This Row],[Precipitation_mm]]&lt;&gt;0,"Wet","Dry")</f>
        <v>Wet</v>
      </c>
      <c r="M1074" t="b">
        <f>OR(ISBLANK(Table1[[#This Row],[Temperature_F]]),ISERROR(Table1[[#This Row],[Temperature_F]]))</f>
        <v>0</v>
      </c>
    </row>
    <row r="1075" spans="1:13" x14ac:dyDescent="0.25">
      <c r="A1075" s="1" t="s">
        <v>1</v>
      </c>
      <c r="B1075" s="1" t="s">
        <v>2</v>
      </c>
      <c r="C1075" s="1">
        <v>42.360599999999998</v>
      </c>
      <c r="D1075" s="1">
        <v>-71.010599999999997</v>
      </c>
      <c r="E1075" s="5">
        <v>41261</v>
      </c>
      <c r="F1075" s="1" t="str">
        <f t="shared" si="16"/>
        <v>December</v>
      </c>
      <c r="G1075" s="1">
        <v>40</v>
      </c>
      <c r="H1075" s="1">
        <v>218</v>
      </c>
      <c r="I1075" s="1" t="str">
        <f>IF(Table1[[#This Row],[Temperature_F]]&lt;32,"Yes","No")</f>
        <v>No</v>
      </c>
      <c r="J1075" s="1" t="str" cm="1">
        <f t="array" ref="J10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75" s="1" t="str" cm="1">
        <f t="array" ref="K1075">_xlfn.IFS(
H1075=0,"No Rain",
H1075&lt;10,"Light",
H1075&lt;50,"Moderate",
TRUE,"Heavy")</f>
        <v>Heavy</v>
      </c>
      <c r="L1075" s="1" t="str">
        <f>IF(Table1[[#This Row],[Precipitation_mm]]&lt;&gt;0,"Wet","Dry")</f>
        <v>Wet</v>
      </c>
      <c r="M1075" t="b">
        <f>OR(ISBLANK(Table1[[#This Row],[Temperature_F]]),ISERROR(Table1[[#This Row],[Temperature_F]]))</f>
        <v>0</v>
      </c>
    </row>
    <row r="1076" spans="1:13" hidden="1" x14ac:dyDescent="0.25">
      <c r="A1076" s="1" t="s">
        <v>1</v>
      </c>
      <c r="B1076" s="1" t="s">
        <v>2</v>
      </c>
      <c r="C1076" s="1">
        <v>42.360599999999998</v>
      </c>
      <c r="D1076" s="1">
        <v>-71.010599999999997</v>
      </c>
      <c r="E1076" s="5">
        <v>41262</v>
      </c>
      <c r="F1076" s="1" t="str">
        <f t="shared" si="16"/>
        <v>December</v>
      </c>
      <c r="G1076" s="1">
        <v>22</v>
      </c>
      <c r="H1076" s="1">
        <v>0</v>
      </c>
      <c r="I1076" s="1" t="str">
        <f>IF(Table1[[#This Row],[Temperature_F]]&lt;32,"Yes","No")</f>
        <v>Yes</v>
      </c>
      <c r="J1076" s="1" t="str" cm="1">
        <f t="array" ref="J10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6" s="1" t="str" cm="1">
        <f t="array" ref="K1076">_xlfn.IFS(
H1076=0,"No Rain",
H1076&lt;10,"Light",
H1076&lt;50,"Moderate",
TRUE,"Heavy")</f>
        <v>No Rain</v>
      </c>
      <c r="L1076" s="1" t="str">
        <f>IF(Table1[[#This Row],[Precipitation_mm]]&lt;&gt;0,"Wet","Dry")</f>
        <v>Dry</v>
      </c>
      <c r="M1076" t="b">
        <f>OR(ISBLANK(Table1[[#This Row],[Temperature_F]]),ISERROR(Table1[[#This Row],[Temperature_F]]))</f>
        <v>0</v>
      </c>
    </row>
    <row r="1077" spans="1:13" hidden="1" x14ac:dyDescent="0.25">
      <c r="A1077" s="1" t="s">
        <v>1</v>
      </c>
      <c r="B1077" s="1" t="s">
        <v>2</v>
      </c>
      <c r="C1077" s="1">
        <v>42.360599999999998</v>
      </c>
      <c r="D1077" s="1">
        <v>-71.010599999999997</v>
      </c>
      <c r="E1077" s="5">
        <v>41263</v>
      </c>
      <c r="F1077" s="1" t="str">
        <f t="shared" si="16"/>
        <v>December</v>
      </c>
      <c r="G1077" s="1">
        <v>13</v>
      </c>
      <c r="H1077" s="1">
        <v>0</v>
      </c>
      <c r="I1077" s="1" t="str">
        <f>IF(Table1[[#This Row],[Temperature_F]]&lt;32,"Yes","No")</f>
        <v>Yes</v>
      </c>
      <c r="J1077" s="1" t="str" cm="1">
        <f t="array" ref="J10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7" s="1" t="str" cm="1">
        <f t="array" ref="K1077">_xlfn.IFS(
H1077=0,"No Rain",
H1077&lt;10,"Light",
H1077&lt;50,"Moderate",
TRUE,"Heavy")</f>
        <v>No Rain</v>
      </c>
      <c r="L1077" s="1" t="str">
        <f>IF(Table1[[#This Row],[Precipitation_mm]]&lt;&gt;0,"Wet","Dry")</f>
        <v>Dry</v>
      </c>
      <c r="M1077" t="b">
        <f>OR(ISBLANK(Table1[[#This Row],[Temperature_F]]),ISERROR(Table1[[#This Row],[Temperature_F]]))</f>
        <v>0</v>
      </c>
    </row>
    <row r="1078" spans="1:13" x14ac:dyDescent="0.25">
      <c r="A1078" s="1" t="s">
        <v>1</v>
      </c>
      <c r="B1078" s="1" t="s">
        <v>2</v>
      </c>
      <c r="C1078" s="1">
        <v>42.360599999999998</v>
      </c>
      <c r="D1078" s="1">
        <v>-71.010599999999997</v>
      </c>
      <c r="E1078" s="5">
        <v>41264</v>
      </c>
      <c r="F1078" s="1" t="str">
        <f t="shared" si="16"/>
        <v>December</v>
      </c>
      <c r="G1078" s="1">
        <v>40</v>
      </c>
      <c r="H1078" s="1">
        <v>165</v>
      </c>
      <c r="I1078" s="1" t="str">
        <f>IF(Table1[[#This Row],[Temperature_F]]&lt;32,"Yes","No")</f>
        <v>No</v>
      </c>
      <c r="J1078" s="1" t="str" cm="1">
        <f t="array" ref="J10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78" s="1" t="str" cm="1">
        <f t="array" ref="K1078">_xlfn.IFS(
H1078=0,"No Rain",
H1078&lt;10,"Light",
H1078&lt;50,"Moderate",
TRUE,"Heavy")</f>
        <v>Heavy</v>
      </c>
      <c r="L1078" s="1" t="str">
        <f>IF(Table1[[#This Row],[Precipitation_mm]]&lt;&gt;0,"Wet","Dry")</f>
        <v>Wet</v>
      </c>
      <c r="M1078" t="b">
        <f>OR(ISBLANK(Table1[[#This Row],[Temperature_F]]),ISERROR(Table1[[#This Row],[Temperature_F]]))</f>
        <v>0</v>
      </c>
    </row>
    <row r="1079" spans="1:13" hidden="1" x14ac:dyDescent="0.25">
      <c r="A1079" s="1" t="s">
        <v>1</v>
      </c>
      <c r="B1079" s="1" t="s">
        <v>2</v>
      </c>
      <c r="C1079" s="1">
        <v>42.360599999999998</v>
      </c>
      <c r="D1079" s="1">
        <v>-71.010599999999997</v>
      </c>
      <c r="E1079" s="5">
        <v>41265</v>
      </c>
      <c r="F1079" s="1" t="str">
        <f t="shared" si="16"/>
        <v>December</v>
      </c>
      <c r="G1079" s="1">
        <v>27</v>
      </c>
      <c r="H1079" s="1">
        <v>0</v>
      </c>
      <c r="I1079" s="1" t="str">
        <f>IF(Table1[[#This Row],[Temperature_F]]&lt;32,"Yes","No")</f>
        <v>Yes</v>
      </c>
      <c r="J1079" s="1" t="str" cm="1">
        <f t="array" ref="J10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79" s="1" t="str" cm="1">
        <f t="array" ref="K1079">_xlfn.IFS(
H1079=0,"No Rain",
H1079&lt;10,"Light",
H1079&lt;50,"Moderate",
TRUE,"Heavy")</f>
        <v>No Rain</v>
      </c>
      <c r="L1079" s="1" t="str">
        <f>IF(Table1[[#This Row],[Precipitation_mm]]&lt;&gt;0,"Wet","Dry")</f>
        <v>Dry</v>
      </c>
      <c r="M1079" t="b">
        <f>OR(ISBLANK(Table1[[#This Row],[Temperature_F]]),ISERROR(Table1[[#This Row],[Temperature_F]]))</f>
        <v>0</v>
      </c>
    </row>
    <row r="1080" spans="1:13" hidden="1" x14ac:dyDescent="0.25">
      <c r="A1080" s="1" t="s">
        <v>1</v>
      </c>
      <c r="B1080" s="1" t="s">
        <v>2</v>
      </c>
      <c r="C1080" s="1">
        <v>42.360599999999998</v>
      </c>
      <c r="D1080" s="1">
        <v>-71.010599999999997</v>
      </c>
      <c r="E1080" s="5">
        <v>41266</v>
      </c>
      <c r="F1080" s="1" t="str">
        <f t="shared" si="16"/>
        <v>December</v>
      </c>
      <c r="G1080" s="1">
        <v>29</v>
      </c>
      <c r="H1080" s="1">
        <v>0</v>
      </c>
      <c r="I1080" s="1" t="str">
        <f>IF(Table1[[#This Row],[Temperature_F]]&lt;32,"Yes","No")</f>
        <v>Yes</v>
      </c>
      <c r="J1080" s="1" t="str" cm="1">
        <f t="array" ref="J10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80" s="1" t="str" cm="1">
        <f t="array" ref="K1080">_xlfn.IFS(
H1080=0,"No Rain",
H1080&lt;10,"Light",
H1080&lt;50,"Moderate",
TRUE,"Heavy")</f>
        <v>No Rain</v>
      </c>
      <c r="L1080" s="1" t="str">
        <f>IF(Table1[[#This Row],[Precipitation_mm]]&lt;&gt;0,"Wet","Dry")</f>
        <v>Dry</v>
      </c>
      <c r="M1080" t="b">
        <f>OR(ISBLANK(Table1[[#This Row],[Temperature_F]]),ISERROR(Table1[[#This Row],[Temperature_F]]))</f>
        <v>0</v>
      </c>
    </row>
    <row r="1081" spans="1:13" x14ac:dyDescent="0.25">
      <c r="A1081" s="1" t="s">
        <v>1</v>
      </c>
      <c r="B1081" s="1" t="s">
        <v>2</v>
      </c>
      <c r="C1081" s="1">
        <v>42.360599999999998</v>
      </c>
      <c r="D1081" s="1">
        <v>-71.010599999999997</v>
      </c>
      <c r="E1081" s="5">
        <v>41267</v>
      </c>
      <c r="F1081" s="1" t="str">
        <f t="shared" si="16"/>
        <v>December</v>
      </c>
      <c r="G1081" s="1">
        <v>40</v>
      </c>
      <c r="H1081" s="1">
        <v>0</v>
      </c>
      <c r="I1081" s="1" t="str">
        <f>IF(Table1[[#This Row],[Temperature_F]]&lt;32,"Yes","No")</f>
        <v>No</v>
      </c>
      <c r="J1081" s="1" t="str" cm="1">
        <f t="array" ref="J10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81" s="1" t="str" cm="1">
        <f t="array" ref="K1081">_xlfn.IFS(
H1081=0,"No Rain",
H1081&lt;10,"Light",
H1081&lt;50,"Moderate",
TRUE,"Heavy")</f>
        <v>No Rain</v>
      </c>
      <c r="L1081" s="1" t="str">
        <f>IF(Table1[[#This Row],[Precipitation_mm]]&lt;&gt;0,"Wet","Dry")</f>
        <v>Dry</v>
      </c>
      <c r="M1081" t="b">
        <f>OR(ISBLANK(Table1[[#This Row],[Temperature_F]]),ISERROR(Table1[[#This Row],[Temperature_F]]))</f>
        <v>0</v>
      </c>
    </row>
    <row r="1082" spans="1:13" x14ac:dyDescent="0.25">
      <c r="A1082" s="1" t="s">
        <v>1</v>
      </c>
      <c r="B1082" s="1" t="s">
        <v>2</v>
      </c>
      <c r="C1082" s="1">
        <v>42.360599999999998</v>
      </c>
      <c r="D1082" s="1">
        <v>-71.010599999999997</v>
      </c>
      <c r="E1082" s="5">
        <v>41268</v>
      </c>
      <c r="F1082" s="1" t="str">
        <f t="shared" ref="F1082:F1142" si="17">TEXT(E1082,"mmmm")</f>
        <v>December</v>
      </c>
      <c r="G1082" s="1">
        <v>39</v>
      </c>
      <c r="H1082" s="1">
        <v>3</v>
      </c>
      <c r="I1082" s="1" t="str">
        <f>IF(Table1[[#This Row],[Temperature_F]]&lt;32,"Yes","No")</f>
        <v>No</v>
      </c>
      <c r="J1082" s="1" t="str" cm="1">
        <f t="array" ref="J10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82" s="1" t="str" cm="1">
        <f t="array" ref="K1082">_xlfn.IFS(
H1082=0,"No Rain",
H1082&lt;10,"Light",
H1082&lt;50,"Moderate",
TRUE,"Heavy")</f>
        <v>Light</v>
      </c>
      <c r="L1082" s="1" t="str">
        <f>IF(Table1[[#This Row],[Precipitation_mm]]&lt;&gt;0,"Wet","Dry")</f>
        <v>Wet</v>
      </c>
      <c r="M1082" t="b">
        <f>OR(ISBLANK(Table1[[#This Row],[Temperature_F]]),ISERROR(Table1[[#This Row],[Temperature_F]]))</f>
        <v>0</v>
      </c>
    </row>
    <row r="1083" spans="1:13" hidden="1" x14ac:dyDescent="0.25">
      <c r="A1083" s="1" t="s">
        <v>1</v>
      </c>
      <c r="B1083" s="1" t="s">
        <v>2</v>
      </c>
      <c r="C1083" s="1">
        <v>42.360599999999998</v>
      </c>
      <c r="D1083" s="1">
        <v>-71.010599999999997</v>
      </c>
      <c r="E1083" s="5">
        <v>41269</v>
      </c>
      <c r="F1083" s="1" t="str">
        <f t="shared" si="17"/>
        <v>December</v>
      </c>
      <c r="G1083" s="1">
        <v>28</v>
      </c>
      <c r="H1083" s="1">
        <v>58</v>
      </c>
      <c r="I1083" s="1" t="str">
        <f>IF(Table1[[#This Row],[Temperature_F]]&lt;32,"Yes","No")</f>
        <v>Yes</v>
      </c>
      <c r="J1083" s="1" t="str" cm="1">
        <f t="array" ref="J10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83" s="1" t="str" cm="1">
        <f t="array" ref="K1083">_xlfn.IFS(
H1083=0,"No Rain",
H1083&lt;10,"Light",
H1083&lt;50,"Moderate",
TRUE,"Heavy")</f>
        <v>Heavy</v>
      </c>
      <c r="L1083" s="1" t="str">
        <f>IF(Table1[[#This Row],[Precipitation_mm]]&lt;&gt;0,"Wet","Dry")</f>
        <v>Wet</v>
      </c>
      <c r="M1083" t="b">
        <f>OR(ISBLANK(Table1[[#This Row],[Temperature_F]]),ISERROR(Table1[[#This Row],[Temperature_F]]))</f>
        <v>0</v>
      </c>
    </row>
    <row r="1084" spans="1:13" x14ac:dyDescent="0.25">
      <c r="A1084" s="1" t="s">
        <v>1</v>
      </c>
      <c r="B1084" s="1" t="s">
        <v>2</v>
      </c>
      <c r="C1084" s="1">
        <v>42.360599999999998</v>
      </c>
      <c r="D1084" s="1">
        <v>-71.010599999999997</v>
      </c>
      <c r="E1084" s="5">
        <v>41270</v>
      </c>
      <c r="F1084" s="1" t="str">
        <f t="shared" si="17"/>
        <v>December</v>
      </c>
      <c r="G1084" s="1">
        <v>34</v>
      </c>
      <c r="H1084" s="1">
        <v>424</v>
      </c>
      <c r="I1084" s="1" t="str">
        <f>IF(Table1[[#This Row],[Temperature_F]]&lt;32,"Yes","No")</f>
        <v>No</v>
      </c>
      <c r="J1084" s="1" t="str" cm="1">
        <f t="array" ref="J10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84" s="1" t="str" cm="1">
        <f t="array" ref="K1084">_xlfn.IFS(
H1084=0,"No Rain",
H1084&lt;10,"Light",
H1084&lt;50,"Moderate",
TRUE,"Heavy")</f>
        <v>Heavy</v>
      </c>
      <c r="L1084" s="1" t="str">
        <f>IF(Table1[[#This Row],[Precipitation_mm]]&lt;&gt;0,"Wet","Dry")</f>
        <v>Wet</v>
      </c>
      <c r="M1084" t="b">
        <f>OR(ISBLANK(Table1[[#This Row],[Temperature_F]]),ISERROR(Table1[[#This Row],[Temperature_F]]))</f>
        <v>0</v>
      </c>
    </row>
    <row r="1085" spans="1:13" hidden="1" x14ac:dyDescent="0.25">
      <c r="A1085" s="1" t="s">
        <v>1</v>
      </c>
      <c r="B1085" s="1" t="s">
        <v>2</v>
      </c>
      <c r="C1085" s="1">
        <v>42.360599999999998</v>
      </c>
      <c r="D1085" s="1">
        <v>-71.010599999999997</v>
      </c>
      <c r="E1085" s="5">
        <v>41271</v>
      </c>
      <c r="F1085" s="1" t="str">
        <f t="shared" si="17"/>
        <v>December</v>
      </c>
      <c r="G1085" s="1">
        <v>13</v>
      </c>
      <c r="H1085" s="1">
        <v>0</v>
      </c>
      <c r="I1085" s="1" t="str">
        <f>IF(Table1[[#This Row],[Temperature_F]]&lt;32,"Yes","No")</f>
        <v>Yes</v>
      </c>
      <c r="J1085" s="1" t="str" cm="1">
        <f t="array" ref="J10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85" s="1" t="str" cm="1">
        <f t="array" ref="K1085">_xlfn.IFS(
H1085=0,"No Rain",
H1085&lt;10,"Light",
H1085&lt;50,"Moderate",
TRUE,"Heavy")</f>
        <v>No Rain</v>
      </c>
      <c r="L1085" s="1" t="str">
        <f>IF(Table1[[#This Row],[Precipitation_mm]]&lt;&gt;0,"Wet","Dry")</f>
        <v>Dry</v>
      </c>
      <c r="M1085" t="b">
        <f>OR(ISBLANK(Table1[[#This Row],[Temperature_F]]),ISERROR(Table1[[#This Row],[Temperature_F]]))</f>
        <v>0</v>
      </c>
    </row>
    <row r="1086" spans="1:13" hidden="1" x14ac:dyDescent="0.25">
      <c r="A1086" s="1" t="s">
        <v>1</v>
      </c>
      <c r="B1086" s="1" t="s">
        <v>2</v>
      </c>
      <c r="C1086" s="1">
        <v>42.360599999999998</v>
      </c>
      <c r="D1086" s="1">
        <v>-71.010599999999997</v>
      </c>
      <c r="E1086" s="5">
        <v>41272</v>
      </c>
      <c r="F1086" s="1" t="str">
        <f t="shared" si="17"/>
        <v>December</v>
      </c>
      <c r="G1086" s="1">
        <v>29</v>
      </c>
      <c r="H1086" s="1">
        <v>175</v>
      </c>
      <c r="I1086" s="1" t="str">
        <f>IF(Table1[[#This Row],[Temperature_F]]&lt;32,"Yes","No")</f>
        <v>Yes</v>
      </c>
      <c r="J1086" s="1" t="str" cm="1">
        <f t="array" ref="J10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86" s="1" t="str" cm="1">
        <f t="array" ref="K1086">_xlfn.IFS(
H1086=0,"No Rain",
H1086&lt;10,"Light",
H1086&lt;50,"Moderate",
TRUE,"Heavy")</f>
        <v>Heavy</v>
      </c>
      <c r="L1086" s="1" t="str">
        <f>IF(Table1[[#This Row],[Precipitation_mm]]&lt;&gt;0,"Wet","Dry")</f>
        <v>Wet</v>
      </c>
      <c r="M1086" t="b">
        <f>OR(ISBLANK(Table1[[#This Row],[Temperature_F]]),ISERROR(Table1[[#This Row],[Temperature_F]]))</f>
        <v>0</v>
      </c>
    </row>
    <row r="1087" spans="1:13" hidden="1" x14ac:dyDescent="0.25">
      <c r="A1087" s="1" t="s">
        <v>1</v>
      </c>
      <c r="B1087" s="1" t="s">
        <v>2</v>
      </c>
      <c r="C1087" s="1">
        <v>42.360599999999998</v>
      </c>
      <c r="D1087" s="1">
        <v>-71.010599999999997</v>
      </c>
      <c r="E1087" s="5">
        <v>41273</v>
      </c>
      <c r="F1087" s="1" t="str">
        <f t="shared" si="17"/>
        <v>December</v>
      </c>
      <c r="G1087" s="1">
        <v>23</v>
      </c>
      <c r="H1087" s="1">
        <v>10</v>
      </c>
      <c r="I1087" s="1" t="str">
        <f>IF(Table1[[#This Row],[Temperature_F]]&lt;32,"Yes","No")</f>
        <v>Yes</v>
      </c>
      <c r="J1087" s="1" t="str" cm="1">
        <f t="array" ref="J10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87" s="1" t="str" cm="1">
        <f t="array" ref="K1087">_xlfn.IFS(
H1087=0,"No Rain",
H1087&lt;10,"Light",
H1087&lt;50,"Moderate",
TRUE,"Heavy")</f>
        <v>Moderate</v>
      </c>
      <c r="L1087" s="1" t="str">
        <f>IF(Table1[[#This Row],[Precipitation_mm]]&lt;&gt;0,"Wet","Dry")</f>
        <v>Wet</v>
      </c>
      <c r="M1087" t="b">
        <f>OR(ISBLANK(Table1[[#This Row],[Temperature_F]]),ISERROR(Table1[[#This Row],[Temperature_F]]))</f>
        <v>0</v>
      </c>
    </row>
    <row r="1088" spans="1:13" hidden="1" x14ac:dyDescent="0.25">
      <c r="A1088" s="1" t="s">
        <v>1</v>
      </c>
      <c r="B1088" s="1" t="s">
        <v>2</v>
      </c>
      <c r="C1088" s="1">
        <v>42.360599999999998</v>
      </c>
      <c r="D1088" s="1">
        <v>-71.010599999999997</v>
      </c>
      <c r="E1088" s="5">
        <v>41274</v>
      </c>
      <c r="F1088" s="1" t="str">
        <f t="shared" si="17"/>
        <v>December</v>
      </c>
      <c r="G1088" s="1">
        <v>27</v>
      </c>
      <c r="H1088" s="1">
        <v>0</v>
      </c>
      <c r="I1088" s="1" t="str">
        <f>IF(Table1[[#This Row],[Temperature_F]]&lt;32,"Yes","No")</f>
        <v>Yes</v>
      </c>
      <c r="J1088" s="1" t="str" cm="1">
        <f t="array" ref="J10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88" s="1" t="str" cm="1">
        <f t="array" ref="K1088">_xlfn.IFS(
H1088=0,"No Rain",
H1088&lt;10,"Light",
H1088&lt;50,"Moderate",
TRUE,"Heavy")</f>
        <v>No Rain</v>
      </c>
      <c r="L1088" s="1" t="str">
        <f>IF(Table1[[#This Row],[Precipitation_mm]]&lt;&gt;0,"Wet","Dry")</f>
        <v>Dry</v>
      </c>
      <c r="M1088" t="b">
        <f>OR(ISBLANK(Table1[[#This Row],[Temperature_F]]),ISERROR(Table1[[#This Row],[Temperature_F]]))</f>
        <v>0</v>
      </c>
    </row>
    <row r="1089" spans="1:13" x14ac:dyDescent="0.25">
      <c r="A1089" s="1" t="s">
        <v>1</v>
      </c>
      <c r="B1089" s="1" t="s">
        <v>2</v>
      </c>
      <c r="C1089" s="1">
        <v>42.360599999999998</v>
      </c>
      <c r="D1089" s="1">
        <v>-71.010599999999997</v>
      </c>
      <c r="E1089" s="5">
        <v>41275</v>
      </c>
      <c r="F1089" s="1" t="str">
        <f t="shared" si="17"/>
        <v>January</v>
      </c>
      <c r="G1089" s="1">
        <v>37</v>
      </c>
      <c r="H1089" s="1">
        <v>0</v>
      </c>
      <c r="I1089" s="1" t="str">
        <f>IF(Table1[[#This Row],[Temperature_F]]&lt;32,"Yes","No")</f>
        <v>No</v>
      </c>
      <c r="J1089" s="1" t="str" cm="1">
        <f t="array" ref="J10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89" s="1" t="str" cm="1">
        <f t="array" ref="K1089">_xlfn.IFS(
H1089=0,"No Rain",
H1089&lt;10,"Light",
H1089&lt;50,"Moderate",
TRUE,"Heavy")</f>
        <v>No Rain</v>
      </c>
      <c r="L1089" s="1" t="str">
        <f>IF(Table1[[#This Row],[Precipitation_mm]]&lt;&gt;0,"Wet","Dry")</f>
        <v>Dry</v>
      </c>
      <c r="M1089" t="b">
        <f>OR(ISBLANK(Table1[[#This Row],[Temperature_F]]),ISERROR(Table1[[#This Row],[Temperature_F]]))</f>
        <v>0</v>
      </c>
    </row>
    <row r="1090" spans="1:13" hidden="1" x14ac:dyDescent="0.25">
      <c r="A1090" s="1" t="s">
        <v>1</v>
      </c>
      <c r="B1090" s="1" t="s">
        <v>2</v>
      </c>
      <c r="C1090" s="1">
        <v>42.360599999999998</v>
      </c>
      <c r="D1090" s="1">
        <v>-71.010599999999997</v>
      </c>
      <c r="E1090" s="5">
        <v>41276</v>
      </c>
      <c r="F1090" s="1" t="str">
        <f t="shared" si="17"/>
        <v>January</v>
      </c>
      <c r="G1090" s="1">
        <v>29</v>
      </c>
      <c r="H1090" s="1">
        <v>0</v>
      </c>
      <c r="I1090" s="1" t="str">
        <f>IF(Table1[[#This Row],[Temperature_F]]&lt;32,"Yes","No")</f>
        <v>Yes</v>
      </c>
      <c r="J1090" s="1" t="str" cm="1">
        <f t="array" ref="J10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0" s="1" t="str" cm="1">
        <f t="array" ref="K1090">_xlfn.IFS(
H1090=0,"No Rain",
H1090&lt;10,"Light",
H1090&lt;50,"Moderate",
TRUE,"Heavy")</f>
        <v>No Rain</v>
      </c>
      <c r="L1090" s="1" t="str">
        <f>IF(Table1[[#This Row],[Precipitation_mm]]&lt;&gt;0,"Wet","Dry")</f>
        <v>Dry</v>
      </c>
      <c r="M1090" t="b">
        <f>OR(ISBLANK(Table1[[#This Row],[Temperature_F]]),ISERROR(Table1[[#This Row],[Temperature_F]]))</f>
        <v>0</v>
      </c>
    </row>
    <row r="1091" spans="1:13" x14ac:dyDescent="0.25">
      <c r="A1091" s="1" t="s">
        <v>1</v>
      </c>
      <c r="B1091" s="1" t="s">
        <v>2</v>
      </c>
      <c r="C1091" s="1">
        <v>42.360599999999998</v>
      </c>
      <c r="D1091" s="1">
        <v>-71.010599999999997</v>
      </c>
      <c r="E1091" s="5">
        <v>41277</v>
      </c>
      <c r="F1091" s="1" t="str">
        <f t="shared" si="17"/>
        <v>January</v>
      </c>
      <c r="G1091" s="1">
        <v>36</v>
      </c>
      <c r="H1091" s="1">
        <v>0</v>
      </c>
      <c r="I1091" s="1" t="str">
        <f>IF(Table1[[#This Row],[Temperature_F]]&lt;32,"Yes","No")</f>
        <v>No</v>
      </c>
      <c r="J1091" s="1" t="str" cm="1">
        <f t="array" ref="J10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91" s="1" t="str" cm="1">
        <f t="array" ref="K1091">_xlfn.IFS(
H1091=0,"No Rain",
H1091&lt;10,"Light",
H1091&lt;50,"Moderate",
TRUE,"Heavy")</f>
        <v>No Rain</v>
      </c>
      <c r="L1091" s="1" t="str">
        <f>IF(Table1[[#This Row],[Precipitation_mm]]&lt;&gt;0,"Wet","Dry")</f>
        <v>Dry</v>
      </c>
      <c r="M1091" t="b">
        <f>OR(ISBLANK(Table1[[#This Row],[Temperature_F]]),ISERROR(Table1[[#This Row],[Temperature_F]]))</f>
        <v>0</v>
      </c>
    </row>
    <row r="1092" spans="1:13" hidden="1" x14ac:dyDescent="0.25">
      <c r="A1092" s="1" t="s">
        <v>1</v>
      </c>
      <c r="B1092" s="1" t="s">
        <v>2</v>
      </c>
      <c r="C1092" s="1">
        <v>42.360599999999998</v>
      </c>
      <c r="D1092" s="1">
        <v>-71.010599999999997</v>
      </c>
      <c r="E1092" s="5">
        <v>41278</v>
      </c>
      <c r="F1092" s="1" t="str">
        <f t="shared" si="17"/>
        <v>January</v>
      </c>
      <c r="G1092" s="1">
        <v>15</v>
      </c>
      <c r="H1092" s="1">
        <v>0</v>
      </c>
      <c r="I1092" s="1" t="str">
        <f>IF(Table1[[#This Row],[Temperature_F]]&lt;32,"Yes","No")</f>
        <v>Yes</v>
      </c>
      <c r="J1092" s="1" t="str" cm="1">
        <f t="array" ref="J10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2" s="1" t="str" cm="1">
        <f t="array" ref="K1092">_xlfn.IFS(
H1092=0,"No Rain",
H1092&lt;10,"Light",
H1092&lt;50,"Moderate",
TRUE,"Heavy")</f>
        <v>No Rain</v>
      </c>
      <c r="L1092" s="1" t="str">
        <f>IF(Table1[[#This Row],[Precipitation_mm]]&lt;&gt;0,"Wet","Dry")</f>
        <v>Dry</v>
      </c>
      <c r="M1092" t="b">
        <f>OR(ISBLANK(Table1[[#This Row],[Temperature_F]]),ISERROR(Table1[[#This Row],[Temperature_F]]))</f>
        <v>0</v>
      </c>
    </row>
    <row r="1093" spans="1:13" hidden="1" x14ac:dyDescent="0.25">
      <c r="A1093" s="1" t="s">
        <v>1</v>
      </c>
      <c r="B1093" s="1" t="s">
        <v>2</v>
      </c>
      <c r="C1093" s="1">
        <v>42.360599999999998</v>
      </c>
      <c r="D1093" s="1">
        <v>-71.010599999999997</v>
      </c>
      <c r="E1093" s="5">
        <v>41279</v>
      </c>
      <c r="F1093" s="1" t="str">
        <f t="shared" si="17"/>
        <v>January</v>
      </c>
      <c r="G1093" s="1">
        <v>18</v>
      </c>
      <c r="H1093" s="1">
        <v>0</v>
      </c>
      <c r="I1093" s="1" t="str">
        <f>IF(Table1[[#This Row],[Temperature_F]]&lt;32,"Yes","No")</f>
        <v>Yes</v>
      </c>
      <c r="J1093" s="1" t="str" cm="1">
        <f t="array" ref="J10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3" s="1" t="str" cm="1">
        <f t="array" ref="K1093">_xlfn.IFS(
H1093=0,"No Rain",
H1093&lt;10,"Light",
H1093&lt;50,"Moderate",
TRUE,"Heavy")</f>
        <v>No Rain</v>
      </c>
      <c r="L1093" s="1" t="str">
        <f>IF(Table1[[#This Row],[Precipitation_mm]]&lt;&gt;0,"Wet","Dry")</f>
        <v>Dry</v>
      </c>
      <c r="M1093" t="b">
        <f>OR(ISBLANK(Table1[[#This Row],[Temperature_F]]),ISERROR(Table1[[#This Row],[Temperature_F]]))</f>
        <v>0</v>
      </c>
    </row>
    <row r="1094" spans="1:13" hidden="1" x14ac:dyDescent="0.25">
      <c r="A1094" s="1" t="s">
        <v>1</v>
      </c>
      <c r="B1094" s="1" t="s">
        <v>2</v>
      </c>
      <c r="C1094" s="1">
        <v>42.360599999999998</v>
      </c>
      <c r="D1094" s="1">
        <v>-71.010599999999997</v>
      </c>
      <c r="E1094" s="5">
        <v>41280</v>
      </c>
      <c r="F1094" s="1" t="str">
        <f t="shared" si="17"/>
        <v>January</v>
      </c>
      <c r="G1094" s="1">
        <v>18</v>
      </c>
      <c r="H1094" s="1">
        <v>0</v>
      </c>
      <c r="I1094" s="1" t="str">
        <f>IF(Table1[[#This Row],[Temperature_F]]&lt;32,"Yes","No")</f>
        <v>Yes</v>
      </c>
      <c r="J1094" s="1" t="str" cm="1">
        <f t="array" ref="J10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4" s="1" t="str" cm="1">
        <f t="array" ref="K1094">_xlfn.IFS(
H1094=0,"No Rain",
H1094&lt;10,"Light",
H1094&lt;50,"Moderate",
TRUE,"Heavy")</f>
        <v>No Rain</v>
      </c>
      <c r="L1094" s="1" t="str">
        <f>IF(Table1[[#This Row],[Precipitation_mm]]&lt;&gt;0,"Wet","Dry")</f>
        <v>Dry</v>
      </c>
      <c r="M1094" t="b">
        <f>OR(ISBLANK(Table1[[#This Row],[Temperature_F]]),ISERROR(Table1[[#This Row],[Temperature_F]]))</f>
        <v>0</v>
      </c>
    </row>
    <row r="1095" spans="1:13" hidden="1" x14ac:dyDescent="0.25">
      <c r="A1095" s="1" t="s">
        <v>1</v>
      </c>
      <c r="B1095" s="1" t="s">
        <v>2</v>
      </c>
      <c r="C1095" s="1">
        <v>42.360599999999998</v>
      </c>
      <c r="D1095" s="1">
        <v>-71.010599999999997</v>
      </c>
      <c r="E1095" s="5">
        <v>41281</v>
      </c>
      <c r="F1095" s="1" t="str">
        <f t="shared" si="17"/>
        <v>January</v>
      </c>
      <c r="G1095" s="1">
        <v>23</v>
      </c>
      <c r="H1095" s="1">
        <v>0</v>
      </c>
      <c r="I1095" s="1" t="str">
        <f>IF(Table1[[#This Row],[Temperature_F]]&lt;32,"Yes","No")</f>
        <v>Yes</v>
      </c>
      <c r="J1095" s="1" t="str" cm="1">
        <f t="array" ref="J10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5" s="1" t="str" cm="1">
        <f t="array" ref="K1095">_xlfn.IFS(
H1095=0,"No Rain",
H1095&lt;10,"Light",
H1095&lt;50,"Moderate",
TRUE,"Heavy")</f>
        <v>No Rain</v>
      </c>
      <c r="L1095" s="1" t="str">
        <f>IF(Table1[[#This Row],[Precipitation_mm]]&lt;&gt;0,"Wet","Dry")</f>
        <v>Dry</v>
      </c>
      <c r="M1095" t="b">
        <f>OR(ISBLANK(Table1[[#This Row],[Temperature_F]]),ISERROR(Table1[[#This Row],[Temperature_F]]))</f>
        <v>0</v>
      </c>
    </row>
    <row r="1096" spans="1:13" hidden="1" x14ac:dyDescent="0.25">
      <c r="A1096" s="1" t="s">
        <v>1</v>
      </c>
      <c r="B1096" s="1" t="s">
        <v>2</v>
      </c>
      <c r="C1096" s="1">
        <v>42.360599999999998</v>
      </c>
      <c r="D1096" s="1">
        <v>-71.010599999999997</v>
      </c>
      <c r="E1096" s="5">
        <v>41282</v>
      </c>
      <c r="F1096" s="1" t="str">
        <f t="shared" si="17"/>
        <v>January</v>
      </c>
      <c r="G1096" s="1">
        <v>24</v>
      </c>
      <c r="H1096" s="1">
        <v>0</v>
      </c>
      <c r="I1096" s="1" t="str">
        <f>IF(Table1[[#This Row],[Temperature_F]]&lt;32,"Yes","No")</f>
        <v>Yes</v>
      </c>
      <c r="J1096" s="1" t="str" cm="1">
        <f t="array" ref="J10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6" s="1" t="str" cm="1">
        <f t="array" ref="K1096">_xlfn.IFS(
H1096=0,"No Rain",
H1096&lt;10,"Light",
H1096&lt;50,"Moderate",
TRUE,"Heavy")</f>
        <v>No Rain</v>
      </c>
      <c r="L1096" s="1" t="str">
        <f>IF(Table1[[#This Row],[Precipitation_mm]]&lt;&gt;0,"Wet","Dry")</f>
        <v>Dry</v>
      </c>
      <c r="M1096" t="b">
        <f>OR(ISBLANK(Table1[[#This Row],[Temperature_F]]),ISERROR(Table1[[#This Row],[Temperature_F]]))</f>
        <v>0</v>
      </c>
    </row>
    <row r="1097" spans="1:13" hidden="1" x14ac:dyDescent="0.25">
      <c r="A1097" s="1" t="s">
        <v>1</v>
      </c>
      <c r="B1097" s="1" t="s">
        <v>2</v>
      </c>
      <c r="C1097" s="1">
        <v>42.360599999999998</v>
      </c>
      <c r="D1097" s="1">
        <v>-71.010599999999997</v>
      </c>
      <c r="E1097" s="5">
        <v>41283</v>
      </c>
      <c r="F1097" s="1" t="str">
        <f t="shared" si="17"/>
        <v>January</v>
      </c>
      <c r="G1097" s="1">
        <v>26</v>
      </c>
      <c r="H1097" s="1">
        <v>0</v>
      </c>
      <c r="I1097" s="1" t="str">
        <f>IF(Table1[[#This Row],[Temperature_F]]&lt;32,"Yes","No")</f>
        <v>Yes</v>
      </c>
      <c r="J1097" s="1" t="str" cm="1">
        <f t="array" ref="J10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7" s="1" t="str" cm="1">
        <f t="array" ref="K1097">_xlfn.IFS(
H1097=0,"No Rain",
H1097&lt;10,"Light",
H1097&lt;50,"Moderate",
TRUE,"Heavy")</f>
        <v>No Rain</v>
      </c>
      <c r="L1097" s="1" t="str">
        <f>IF(Table1[[#This Row],[Precipitation_mm]]&lt;&gt;0,"Wet","Dry")</f>
        <v>Dry</v>
      </c>
      <c r="M1097" t="b">
        <f>OR(ISBLANK(Table1[[#This Row],[Temperature_F]]),ISERROR(Table1[[#This Row],[Temperature_F]]))</f>
        <v>0</v>
      </c>
    </row>
    <row r="1098" spans="1:13" hidden="1" x14ac:dyDescent="0.25">
      <c r="A1098" s="1" t="s">
        <v>1</v>
      </c>
      <c r="B1098" s="1" t="s">
        <v>2</v>
      </c>
      <c r="C1098" s="1">
        <v>42.360599999999998</v>
      </c>
      <c r="D1098" s="1">
        <v>-71.010599999999997</v>
      </c>
      <c r="E1098" s="5">
        <v>41284</v>
      </c>
      <c r="F1098" s="1" t="str">
        <f t="shared" si="17"/>
        <v>January</v>
      </c>
      <c r="G1098" s="1">
        <v>11</v>
      </c>
      <c r="H1098" s="1">
        <v>0</v>
      </c>
      <c r="I1098" s="1" t="str">
        <f>IF(Table1[[#This Row],[Temperature_F]]&lt;32,"Yes","No")</f>
        <v>Yes</v>
      </c>
      <c r="J1098" s="1" t="str" cm="1">
        <f t="array" ref="J10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098" s="1" t="str" cm="1">
        <f t="array" ref="K1098">_xlfn.IFS(
H1098=0,"No Rain",
H1098&lt;10,"Light",
H1098&lt;50,"Moderate",
TRUE,"Heavy")</f>
        <v>No Rain</v>
      </c>
      <c r="L1098" s="1" t="str">
        <f>IF(Table1[[#This Row],[Precipitation_mm]]&lt;&gt;0,"Wet","Dry")</f>
        <v>Dry</v>
      </c>
      <c r="M1098" t="b">
        <f>OR(ISBLANK(Table1[[#This Row],[Temperature_F]]),ISERROR(Table1[[#This Row],[Temperature_F]]))</f>
        <v>0</v>
      </c>
    </row>
    <row r="1099" spans="1:13" x14ac:dyDescent="0.25">
      <c r="A1099" s="1" t="s">
        <v>1</v>
      </c>
      <c r="B1099" s="1" t="s">
        <v>2</v>
      </c>
      <c r="C1099" s="1">
        <v>42.360599999999998</v>
      </c>
      <c r="D1099" s="1">
        <v>-71.010599999999997</v>
      </c>
      <c r="E1099" s="5">
        <v>41285</v>
      </c>
      <c r="F1099" s="1" t="str">
        <f t="shared" si="17"/>
        <v>January</v>
      </c>
      <c r="G1099" s="1">
        <v>39</v>
      </c>
      <c r="H1099" s="1">
        <v>30</v>
      </c>
      <c r="I1099" s="1" t="str">
        <f>IF(Table1[[#This Row],[Temperature_F]]&lt;32,"Yes","No")</f>
        <v>No</v>
      </c>
      <c r="J1099" s="1" t="str" cm="1">
        <f t="array" ref="J10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099" s="1" t="str" cm="1">
        <f t="array" ref="K1099">_xlfn.IFS(
H1099=0,"No Rain",
H1099&lt;10,"Light",
H1099&lt;50,"Moderate",
TRUE,"Heavy")</f>
        <v>Moderate</v>
      </c>
      <c r="L1099" s="1" t="str">
        <f>IF(Table1[[#This Row],[Precipitation_mm]]&lt;&gt;0,"Wet","Dry")</f>
        <v>Wet</v>
      </c>
      <c r="M1099" t="b">
        <f>OR(ISBLANK(Table1[[#This Row],[Temperature_F]]),ISERROR(Table1[[#This Row],[Temperature_F]]))</f>
        <v>0</v>
      </c>
    </row>
    <row r="1100" spans="1:13" hidden="1" x14ac:dyDescent="0.25">
      <c r="A1100" s="1" t="s">
        <v>1</v>
      </c>
      <c r="B1100" s="1" t="s">
        <v>2</v>
      </c>
      <c r="C1100" s="1">
        <v>42.360599999999998</v>
      </c>
      <c r="D1100" s="1">
        <v>-71.010599999999997</v>
      </c>
      <c r="E1100" s="5">
        <v>41286</v>
      </c>
      <c r="F1100" s="1" t="str">
        <f t="shared" si="17"/>
        <v>January</v>
      </c>
      <c r="G1100" s="1">
        <v>17</v>
      </c>
      <c r="H1100" s="1">
        <v>3</v>
      </c>
      <c r="I1100" s="1" t="str">
        <f>IF(Table1[[#This Row],[Temperature_F]]&lt;32,"Yes","No")</f>
        <v>Yes</v>
      </c>
      <c r="J1100" s="1" t="str" cm="1">
        <f t="array" ref="J11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00" s="1" t="str" cm="1">
        <f t="array" ref="K1100">_xlfn.IFS(
H1100=0,"No Rain",
H1100&lt;10,"Light",
H1100&lt;50,"Moderate",
TRUE,"Heavy")</f>
        <v>Light</v>
      </c>
      <c r="L1100" s="1" t="str">
        <f>IF(Table1[[#This Row],[Precipitation_mm]]&lt;&gt;0,"Wet","Dry")</f>
        <v>Wet</v>
      </c>
      <c r="M1100" t="b">
        <f>OR(ISBLANK(Table1[[#This Row],[Temperature_F]]),ISERROR(Table1[[#This Row],[Temperature_F]]))</f>
        <v>0</v>
      </c>
    </row>
    <row r="1101" spans="1:13" x14ac:dyDescent="0.25">
      <c r="A1101" s="1" t="s">
        <v>1</v>
      </c>
      <c r="B1101" s="1" t="s">
        <v>2</v>
      </c>
      <c r="C1101" s="1">
        <v>42.360599999999998</v>
      </c>
      <c r="D1101" s="1">
        <v>-71.010599999999997</v>
      </c>
      <c r="E1101" s="5">
        <v>41287</v>
      </c>
      <c r="F1101" s="1" t="str">
        <f t="shared" si="17"/>
        <v>January</v>
      </c>
      <c r="G1101" s="1">
        <v>33</v>
      </c>
      <c r="H1101" s="1">
        <v>0</v>
      </c>
      <c r="I1101" s="1" t="str">
        <f>IF(Table1[[#This Row],[Temperature_F]]&lt;32,"Yes","No")</f>
        <v>No</v>
      </c>
      <c r="J1101" s="1" t="str" cm="1">
        <f t="array" ref="J11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01" s="1" t="str" cm="1">
        <f t="array" ref="K1101">_xlfn.IFS(
H1101=0,"No Rain",
H1101&lt;10,"Light",
H1101&lt;50,"Moderate",
TRUE,"Heavy")</f>
        <v>No Rain</v>
      </c>
      <c r="L1101" s="1" t="str">
        <f>IF(Table1[[#This Row],[Precipitation_mm]]&lt;&gt;0,"Wet","Dry")</f>
        <v>Dry</v>
      </c>
      <c r="M1101" t="b">
        <f>OR(ISBLANK(Table1[[#This Row],[Temperature_F]]),ISERROR(Table1[[#This Row],[Temperature_F]]))</f>
        <v>0</v>
      </c>
    </row>
    <row r="1102" spans="1:13" hidden="1" x14ac:dyDescent="0.25">
      <c r="A1102" s="1" t="s">
        <v>1</v>
      </c>
      <c r="B1102" s="1" t="s">
        <v>2</v>
      </c>
      <c r="C1102" s="1">
        <v>42.360599999999998</v>
      </c>
      <c r="D1102" s="1">
        <v>-71.010599999999997</v>
      </c>
      <c r="E1102" s="5">
        <v>41288</v>
      </c>
      <c r="F1102" s="1" t="str">
        <f t="shared" si="17"/>
        <v>January</v>
      </c>
      <c r="G1102" s="1">
        <v>10</v>
      </c>
      <c r="H1102" s="1">
        <v>0</v>
      </c>
      <c r="I1102" s="1" t="str">
        <f>IF(Table1[[#This Row],[Temperature_F]]&lt;32,"Yes","No")</f>
        <v>Yes</v>
      </c>
      <c r="J1102" s="1" t="str" cm="1">
        <f t="array" ref="J11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02" s="1" t="str" cm="1">
        <f t="array" ref="K1102">_xlfn.IFS(
H1102=0,"No Rain",
H1102&lt;10,"Light",
H1102&lt;50,"Moderate",
TRUE,"Heavy")</f>
        <v>No Rain</v>
      </c>
      <c r="L1102" s="1" t="str">
        <f>IF(Table1[[#This Row],[Precipitation_mm]]&lt;&gt;0,"Wet","Dry")</f>
        <v>Dry</v>
      </c>
      <c r="M1102" t="b">
        <f>OR(ISBLANK(Table1[[#This Row],[Temperature_F]]),ISERROR(Table1[[#This Row],[Temperature_F]]))</f>
        <v>0</v>
      </c>
    </row>
    <row r="1103" spans="1:13" x14ac:dyDescent="0.25">
      <c r="A1103" s="1" t="s">
        <v>1</v>
      </c>
      <c r="B1103" s="1" t="s">
        <v>2</v>
      </c>
      <c r="C1103" s="1">
        <v>42.360599999999998</v>
      </c>
      <c r="D1103" s="1">
        <v>-71.010599999999997</v>
      </c>
      <c r="E1103" s="5">
        <v>41290</v>
      </c>
      <c r="F1103" s="1" t="str">
        <f t="shared" si="17"/>
        <v>January</v>
      </c>
      <c r="G1103" s="1">
        <v>35</v>
      </c>
      <c r="H1103" s="1">
        <v>94</v>
      </c>
      <c r="I1103" s="1" t="str">
        <f>IF(Table1[[#This Row],[Temperature_F]]&lt;32,"Yes","No")</f>
        <v>No</v>
      </c>
      <c r="J1103" s="1" t="str" cm="1">
        <f t="array" ref="J11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03" s="1" t="str" cm="1">
        <f t="array" ref="K1103">_xlfn.IFS(
H1103=0,"No Rain",
H1103&lt;10,"Light",
H1103&lt;50,"Moderate",
TRUE,"Heavy")</f>
        <v>Heavy</v>
      </c>
      <c r="L1103" s="1" t="str">
        <f>IF(Table1[[#This Row],[Precipitation_mm]]&lt;&gt;0,"Wet","Dry")</f>
        <v>Wet</v>
      </c>
      <c r="M1103" t="b">
        <f>OR(ISBLANK(Table1[[#This Row],[Temperature_F]]),ISERROR(Table1[[#This Row],[Temperature_F]]))</f>
        <v>0</v>
      </c>
    </row>
    <row r="1104" spans="1:13" x14ac:dyDescent="0.25">
      <c r="A1104" s="1" t="s">
        <v>1</v>
      </c>
      <c r="B1104" s="1" t="s">
        <v>2</v>
      </c>
      <c r="C1104" s="1">
        <v>42.360599999999998</v>
      </c>
      <c r="D1104" s="1">
        <v>-71.010599999999997</v>
      </c>
      <c r="E1104" s="5">
        <v>41291</v>
      </c>
      <c r="F1104" s="1" t="str">
        <f t="shared" si="17"/>
        <v>January</v>
      </c>
      <c r="G1104" s="1">
        <v>36</v>
      </c>
      <c r="H1104" s="1">
        <v>0</v>
      </c>
      <c r="I1104" s="1" t="str">
        <f>IF(Table1[[#This Row],[Temperature_F]]&lt;32,"Yes","No")</f>
        <v>No</v>
      </c>
      <c r="J1104" s="1" t="str" cm="1">
        <f t="array" ref="J11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04" s="1" t="str" cm="1">
        <f t="array" ref="K1104">_xlfn.IFS(
H1104=0,"No Rain",
H1104&lt;10,"Light",
H1104&lt;50,"Moderate",
TRUE,"Heavy")</f>
        <v>No Rain</v>
      </c>
      <c r="L1104" s="1" t="str">
        <f>IF(Table1[[#This Row],[Precipitation_mm]]&lt;&gt;0,"Wet","Dry")</f>
        <v>Dry</v>
      </c>
      <c r="M1104" t="b">
        <f>OR(ISBLANK(Table1[[#This Row],[Temperature_F]]),ISERROR(Table1[[#This Row],[Temperature_F]]))</f>
        <v>0</v>
      </c>
    </row>
    <row r="1105" spans="1:13" hidden="1" x14ac:dyDescent="0.25">
      <c r="A1105" s="1" t="s">
        <v>1</v>
      </c>
      <c r="B1105" s="1" t="s">
        <v>2</v>
      </c>
      <c r="C1105" s="1">
        <v>42.360599999999998</v>
      </c>
      <c r="D1105" s="1">
        <v>-71.010599999999997</v>
      </c>
      <c r="E1105" s="5">
        <v>41292</v>
      </c>
      <c r="F1105" s="1" t="str">
        <f t="shared" si="17"/>
        <v>January</v>
      </c>
      <c r="G1105" s="1">
        <v>24</v>
      </c>
      <c r="H1105" s="1">
        <v>0</v>
      </c>
      <c r="I1105" s="1" t="str">
        <f>IF(Table1[[#This Row],[Temperature_F]]&lt;32,"Yes","No")</f>
        <v>Yes</v>
      </c>
      <c r="J1105" s="1" t="str" cm="1">
        <f t="array" ref="J11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05" s="1" t="str" cm="1">
        <f t="array" ref="K1105">_xlfn.IFS(
H1105=0,"No Rain",
H1105&lt;10,"Light",
H1105&lt;50,"Moderate",
TRUE,"Heavy")</f>
        <v>No Rain</v>
      </c>
      <c r="L1105" s="1" t="str">
        <f>IF(Table1[[#This Row],[Precipitation_mm]]&lt;&gt;0,"Wet","Dry")</f>
        <v>Dry</v>
      </c>
      <c r="M1105" t="b">
        <f>OR(ISBLANK(Table1[[#This Row],[Temperature_F]]),ISERROR(Table1[[#This Row],[Temperature_F]]))</f>
        <v>0</v>
      </c>
    </row>
    <row r="1106" spans="1:13" hidden="1" x14ac:dyDescent="0.25">
      <c r="A1106" s="1" t="s">
        <v>1</v>
      </c>
      <c r="B1106" s="1" t="s">
        <v>2</v>
      </c>
      <c r="C1106" s="1">
        <v>42.360599999999998</v>
      </c>
      <c r="D1106" s="1">
        <v>-71.010599999999997</v>
      </c>
      <c r="E1106" s="5">
        <v>41293</v>
      </c>
      <c r="F1106" s="1" t="str">
        <f t="shared" si="17"/>
        <v>January</v>
      </c>
      <c r="G1106" s="1">
        <v>15</v>
      </c>
      <c r="H1106" s="1">
        <v>0</v>
      </c>
      <c r="I1106" s="1" t="str">
        <f>IF(Table1[[#This Row],[Temperature_F]]&lt;32,"Yes","No")</f>
        <v>Yes</v>
      </c>
      <c r="J1106" s="1" t="str" cm="1">
        <f t="array" ref="J11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06" s="1" t="str" cm="1">
        <f t="array" ref="K1106">_xlfn.IFS(
H1106=0,"No Rain",
H1106&lt;10,"Light",
H1106&lt;50,"Moderate",
TRUE,"Heavy")</f>
        <v>No Rain</v>
      </c>
      <c r="L1106" s="1" t="str">
        <f>IF(Table1[[#This Row],[Precipitation_mm]]&lt;&gt;0,"Wet","Dry")</f>
        <v>Dry</v>
      </c>
      <c r="M1106" t="b">
        <f>OR(ISBLANK(Table1[[#This Row],[Temperature_F]]),ISERROR(Table1[[#This Row],[Temperature_F]]))</f>
        <v>0</v>
      </c>
    </row>
    <row r="1107" spans="1:13" x14ac:dyDescent="0.25">
      <c r="A1107" s="1" t="s">
        <v>1</v>
      </c>
      <c r="B1107" s="1" t="s">
        <v>2</v>
      </c>
      <c r="C1107" s="1">
        <v>42.360599999999998</v>
      </c>
      <c r="D1107" s="1">
        <v>-71.010599999999997</v>
      </c>
      <c r="E1107" s="5">
        <v>41294</v>
      </c>
      <c r="F1107" s="1" t="str">
        <f t="shared" si="17"/>
        <v>January</v>
      </c>
      <c r="G1107" s="1">
        <v>37</v>
      </c>
      <c r="H1107" s="1">
        <v>0</v>
      </c>
      <c r="I1107" s="1" t="str">
        <f>IF(Table1[[#This Row],[Temperature_F]]&lt;32,"Yes","No")</f>
        <v>No</v>
      </c>
      <c r="J1107" s="1" t="str" cm="1">
        <f t="array" ref="J11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07" s="1" t="str" cm="1">
        <f t="array" ref="K1107">_xlfn.IFS(
H1107=0,"No Rain",
H1107&lt;10,"Light",
H1107&lt;50,"Moderate",
TRUE,"Heavy")</f>
        <v>No Rain</v>
      </c>
      <c r="L1107" s="1" t="str">
        <f>IF(Table1[[#This Row],[Precipitation_mm]]&lt;&gt;0,"Wet","Dry")</f>
        <v>Dry</v>
      </c>
      <c r="M1107" t="b">
        <f>OR(ISBLANK(Table1[[#This Row],[Temperature_F]]),ISERROR(Table1[[#This Row],[Temperature_F]]))</f>
        <v>0</v>
      </c>
    </row>
    <row r="1108" spans="1:13" hidden="1" x14ac:dyDescent="0.25">
      <c r="A1108" s="1" t="s">
        <v>1</v>
      </c>
      <c r="B1108" s="1" t="s">
        <v>2</v>
      </c>
      <c r="C1108" s="1">
        <v>42.360599999999998</v>
      </c>
      <c r="D1108" s="1">
        <v>-71.010599999999997</v>
      </c>
      <c r="E1108" s="5">
        <v>41295</v>
      </c>
      <c r="F1108" s="1" t="str">
        <f t="shared" si="17"/>
        <v>January</v>
      </c>
      <c r="G1108" s="1">
        <v>27</v>
      </c>
      <c r="H1108" s="1">
        <v>3</v>
      </c>
      <c r="I1108" s="1" t="str">
        <f>IF(Table1[[#This Row],[Temperature_F]]&lt;32,"Yes","No")</f>
        <v>Yes</v>
      </c>
      <c r="J1108" s="1" t="str" cm="1">
        <f t="array" ref="J11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08" s="1" t="str" cm="1">
        <f t="array" ref="K1108">_xlfn.IFS(
H1108=0,"No Rain",
H1108&lt;10,"Light",
H1108&lt;50,"Moderate",
TRUE,"Heavy")</f>
        <v>Light</v>
      </c>
      <c r="L1108" s="1" t="str">
        <f>IF(Table1[[#This Row],[Precipitation_mm]]&lt;&gt;0,"Wet","Dry")</f>
        <v>Wet</v>
      </c>
      <c r="M1108" t="b">
        <f>OR(ISBLANK(Table1[[#This Row],[Temperature_F]]),ISERROR(Table1[[#This Row],[Temperature_F]]))</f>
        <v>0</v>
      </c>
    </row>
    <row r="1109" spans="1:13" x14ac:dyDescent="0.25">
      <c r="A1109" s="1" t="s">
        <v>1</v>
      </c>
      <c r="B1109" s="1" t="s">
        <v>2</v>
      </c>
      <c r="C1109" s="1">
        <v>42.360599999999998</v>
      </c>
      <c r="D1109" s="1">
        <v>-71.010599999999997</v>
      </c>
      <c r="E1109" s="5">
        <v>41298</v>
      </c>
      <c r="F1109" s="1" t="str">
        <f t="shared" si="17"/>
        <v>January</v>
      </c>
      <c r="G1109" s="1">
        <v>44</v>
      </c>
      <c r="H1109" s="1">
        <v>0</v>
      </c>
      <c r="I1109" s="1" t="str">
        <f>IF(Table1[[#This Row],[Temperature_F]]&lt;32,"Yes","No")</f>
        <v>No</v>
      </c>
      <c r="J1109" s="1" t="str" cm="1">
        <f t="array" ref="J11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09" s="1" t="str" cm="1">
        <f t="array" ref="K1109">_xlfn.IFS(
H1109=0,"No Rain",
H1109&lt;10,"Light",
H1109&lt;50,"Moderate",
TRUE,"Heavy")</f>
        <v>No Rain</v>
      </c>
      <c r="L1109" s="1" t="str">
        <f>IF(Table1[[#This Row],[Precipitation_mm]]&lt;&gt;0,"Wet","Dry")</f>
        <v>Dry</v>
      </c>
      <c r="M1109" t="b">
        <f>OR(ISBLANK(Table1[[#This Row],[Temperature_F]]),ISERROR(Table1[[#This Row],[Temperature_F]]))</f>
        <v>0</v>
      </c>
    </row>
    <row r="1110" spans="1:13" x14ac:dyDescent="0.25">
      <c r="A1110" s="1" t="s">
        <v>1</v>
      </c>
      <c r="B1110" s="1" t="s">
        <v>2</v>
      </c>
      <c r="C1110" s="1">
        <v>42.360599999999998</v>
      </c>
      <c r="D1110" s="1">
        <v>-71.010599999999997</v>
      </c>
      <c r="E1110" s="5">
        <v>41299</v>
      </c>
      <c r="F1110" s="1" t="str">
        <f t="shared" si="17"/>
        <v>January</v>
      </c>
      <c r="G1110" s="1">
        <v>44</v>
      </c>
      <c r="H1110" s="1">
        <v>3</v>
      </c>
      <c r="I1110" s="1" t="str">
        <f>IF(Table1[[#This Row],[Temperature_F]]&lt;32,"Yes","No")</f>
        <v>No</v>
      </c>
      <c r="J1110" s="1" t="str" cm="1">
        <f t="array" ref="J11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10" s="1" t="str" cm="1">
        <f t="array" ref="K1110">_xlfn.IFS(
H1110=0,"No Rain",
H1110&lt;10,"Light",
H1110&lt;50,"Moderate",
TRUE,"Heavy")</f>
        <v>Light</v>
      </c>
      <c r="L1110" s="1" t="str">
        <f>IF(Table1[[#This Row],[Precipitation_mm]]&lt;&gt;0,"Wet","Dry")</f>
        <v>Wet</v>
      </c>
      <c r="M1110" t="b">
        <f>OR(ISBLANK(Table1[[#This Row],[Temperature_F]]),ISERROR(Table1[[#This Row],[Temperature_F]]))</f>
        <v>0</v>
      </c>
    </row>
    <row r="1111" spans="1:13" hidden="1" x14ac:dyDescent="0.25">
      <c r="A1111" s="1" t="s">
        <v>1</v>
      </c>
      <c r="B1111" s="1" t="s">
        <v>2</v>
      </c>
      <c r="C1111" s="1">
        <v>42.360599999999998</v>
      </c>
      <c r="D1111" s="1">
        <v>-71.010599999999997</v>
      </c>
      <c r="E1111" s="5">
        <v>41300</v>
      </c>
      <c r="F1111" s="1" t="str">
        <f t="shared" si="17"/>
        <v>January</v>
      </c>
      <c r="G1111" s="1">
        <v>16</v>
      </c>
      <c r="H1111" s="1">
        <v>3</v>
      </c>
      <c r="I1111" s="1" t="str">
        <f>IF(Table1[[#This Row],[Temperature_F]]&lt;32,"Yes","No")</f>
        <v>Yes</v>
      </c>
      <c r="J1111" s="1" t="str" cm="1">
        <f t="array" ref="J11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11" s="1" t="str" cm="1">
        <f t="array" ref="K1111">_xlfn.IFS(
H1111=0,"No Rain",
H1111&lt;10,"Light",
H1111&lt;50,"Moderate",
TRUE,"Heavy")</f>
        <v>Light</v>
      </c>
      <c r="L1111" s="1" t="str">
        <f>IF(Table1[[#This Row],[Precipitation_mm]]&lt;&gt;0,"Wet","Dry")</f>
        <v>Wet</v>
      </c>
      <c r="M1111" t="b">
        <f>OR(ISBLANK(Table1[[#This Row],[Temperature_F]]),ISERROR(Table1[[#This Row],[Temperature_F]]))</f>
        <v>0</v>
      </c>
    </row>
    <row r="1112" spans="1:13" x14ac:dyDescent="0.25">
      <c r="A1112" s="1" t="s">
        <v>1</v>
      </c>
      <c r="B1112" s="1" t="s">
        <v>2</v>
      </c>
      <c r="C1112" s="1">
        <v>42.360599999999998</v>
      </c>
      <c r="D1112" s="1">
        <v>-71.010599999999997</v>
      </c>
      <c r="E1112" s="5">
        <v>41301</v>
      </c>
      <c r="F1112" s="1" t="str">
        <f t="shared" si="17"/>
        <v>January</v>
      </c>
      <c r="G1112" s="1">
        <v>39</v>
      </c>
      <c r="H1112" s="1">
        <v>0</v>
      </c>
      <c r="I1112" s="1" t="str">
        <f>IF(Table1[[#This Row],[Temperature_F]]&lt;32,"Yes","No")</f>
        <v>No</v>
      </c>
      <c r="J1112" s="1" t="str" cm="1">
        <f t="array" ref="J11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12" s="1" t="str" cm="1">
        <f t="array" ref="K1112">_xlfn.IFS(
H1112=0,"No Rain",
H1112&lt;10,"Light",
H1112&lt;50,"Moderate",
TRUE,"Heavy")</f>
        <v>No Rain</v>
      </c>
      <c r="L1112" s="1" t="str">
        <f>IF(Table1[[#This Row],[Precipitation_mm]]&lt;&gt;0,"Wet","Dry")</f>
        <v>Dry</v>
      </c>
      <c r="M1112" t="b">
        <f>OR(ISBLANK(Table1[[#This Row],[Temperature_F]]),ISERROR(Table1[[#This Row],[Temperature_F]]))</f>
        <v>0</v>
      </c>
    </row>
    <row r="1113" spans="1:13" x14ac:dyDescent="0.25">
      <c r="A1113" s="1" t="s">
        <v>1</v>
      </c>
      <c r="B1113" s="1" t="s">
        <v>2</v>
      </c>
      <c r="C1113" s="1">
        <v>42.360599999999998</v>
      </c>
      <c r="D1113" s="1">
        <v>-71.010599999999997</v>
      </c>
      <c r="E1113" s="5">
        <v>41302</v>
      </c>
      <c r="F1113" s="1" t="str">
        <f t="shared" si="17"/>
        <v>January</v>
      </c>
      <c r="G1113" s="1">
        <v>34</v>
      </c>
      <c r="H1113" s="1">
        <v>43</v>
      </c>
      <c r="I1113" s="1" t="str">
        <f>IF(Table1[[#This Row],[Temperature_F]]&lt;32,"Yes","No")</f>
        <v>No</v>
      </c>
      <c r="J1113" s="1" t="str" cm="1">
        <f t="array" ref="J11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13" s="1" t="str" cm="1">
        <f t="array" ref="K1113">_xlfn.IFS(
H1113=0,"No Rain",
H1113&lt;10,"Light",
H1113&lt;50,"Moderate",
TRUE,"Heavy")</f>
        <v>Moderate</v>
      </c>
      <c r="L1113" s="1" t="str">
        <f>IF(Table1[[#This Row],[Precipitation_mm]]&lt;&gt;0,"Wet","Dry")</f>
        <v>Wet</v>
      </c>
      <c r="M1113" t="b">
        <f>OR(ISBLANK(Table1[[#This Row],[Temperature_F]]),ISERROR(Table1[[#This Row],[Temperature_F]]))</f>
        <v>0</v>
      </c>
    </row>
    <row r="1114" spans="1:13" hidden="1" x14ac:dyDescent="0.25">
      <c r="A1114" s="1" t="s">
        <v>1</v>
      </c>
      <c r="B1114" s="1" t="s">
        <v>2</v>
      </c>
      <c r="C1114" s="1">
        <v>42.360599999999998</v>
      </c>
      <c r="D1114" s="1">
        <v>-71.010599999999997</v>
      </c>
      <c r="E1114" s="5">
        <v>41303</v>
      </c>
      <c r="F1114" s="1" t="str">
        <f t="shared" si="17"/>
        <v>January</v>
      </c>
      <c r="G1114" s="1">
        <v>21</v>
      </c>
      <c r="H1114" s="1">
        <v>3</v>
      </c>
      <c r="I1114" s="1" t="str">
        <f>IF(Table1[[#This Row],[Temperature_F]]&lt;32,"Yes","No")</f>
        <v>Yes</v>
      </c>
      <c r="J1114" s="1" t="str" cm="1">
        <f t="array" ref="J11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14" s="1" t="str" cm="1">
        <f t="array" ref="K1114">_xlfn.IFS(
H1114=0,"No Rain",
H1114&lt;10,"Light",
H1114&lt;50,"Moderate",
TRUE,"Heavy")</f>
        <v>Light</v>
      </c>
      <c r="L1114" s="1" t="str">
        <f>IF(Table1[[#This Row],[Precipitation_mm]]&lt;&gt;0,"Wet","Dry")</f>
        <v>Wet</v>
      </c>
      <c r="M1114" t="b">
        <f>OR(ISBLANK(Table1[[#This Row],[Temperature_F]]),ISERROR(Table1[[#This Row],[Temperature_F]]))</f>
        <v>0</v>
      </c>
    </row>
    <row r="1115" spans="1:13" x14ac:dyDescent="0.25">
      <c r="A1115" s="1" t="s">
        <v>1</v>
      </c>
      <c r="B1115" s="1" t="s">
        <v>2</v>
      </c>
      <c r="C1115" s="1">
        <v>42.360599999999998</v>
      </c>
      <c r="D1115" s="1">
        <v>-71.010599999999997</v>
      </c>
      <c r="E1115" s="5">
        <v>41304</v>
      </c>
      <c r="F1115" s="1" t="str">
        <f t="shared" si="17"/>
        <v>January</v>
      </c>
      <c r="G1115" s="1">
        <v>36</v>
      </c>
      <c r="H1115" s="1">
        <v>15</v>
      </c>
      <c r="I1115" s="1" t="str">
        <f>IF(Table1[[#This Row],[Temperature_F]]&lt;32,"Yes","No")</f>
        <v>No</v>
      </c>
      <c r="J1115" s="1" t="str" cm="1">
        <f t="array" ref="J11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15" s="1" t="str" cm="1">
        <f t="array" ref="K1115">_xlfn.IFS(
H1115=0,"No Rain",
H1115&lt;10,"Light",
H1115&lt;50,"Moderate",
TRUE,"Heavy")</f>
        <v>Moderate</v>
      </c>
      <c r="L1115" s="1" t="str">
        <f>IF(Table1[[#This Row],[Precipitation_mm]]&lt;&gt;0,"Wet","Dry")</f>
        <v>Wet</v>
      </c>
      <c r="M1115" t="b">
        <f>OR(ISBLANK(Table1[[#This Row],[Temperature_F]]),ISERROR(Table1[[#This Row],[Temperature_F]]))</f>
        <v>0</v>
      </c>
    </row>
    <row r="1116" spans="1:13" hidden="1" x14ac:dyDescent="0.25">
      <c r="A1116" s="1" t="s">
        <v>1</v>
      </c>
      <c r="B1116" s="1" t="s">
        <v>2</v>
      </c>
      <c r="C1116" s="1">
        <v>42.360599999999998</v>
      </c>
      <c r="D1116" s="1">
        <v>-71.010599999999997</v>
      </c>
      <c r="E1116" s="5">
        <v>41305</v>
      </c>
      <c r="F1116" s="1" t="str">
        <f t="shared" si="17"/>
        <v>January</v>
      </c>
      <c r="G1116" s="1">
        <v>21</v>
      </c>
      <c r="H1116" s="1">
        <v>79</v>
      </c>
      <c r="I1116" s="1" t="str">
        <f>IF(Table1[[#This Row],[Temperature_F]]&lt;32,"Yes","No")</f>
        <v>Yes</v>
      </c>
      <c r="J1116" s="1" t="str" cm="1">
        <f t="array" ref="J11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16" s="1" t="str" cm="1">
        <f t="array" ref="K1116">_xlfn.IFS(
H1116=0,"No Rain",
H1116&lt;10,"Light",
H1116&lt;50,"Moderate",
TRUE,"Heavy")</f>
        <v>Heavy</v>
      </c>
      <c r="L1116" s="1" t="str">
        <f>IF(Table1[[#This Row],[Precipitation_mm]]&lt;&gt;0,"Wet","Dry")</f>
        <v>Wet</v>
      </c>
      <c r="M1116" t="b">
        <f>OR(ISBLANK(Table1[[#This Row],[Temperature_F]]),ISERROR(Table1[[#This Row],[Temperature_F]]))</f>
        <v>0</v>
      </c>
    </row>
    <row r="1117" spans="1:13" x14ac:dyDescent="0.25">
      <c r="A1117" s="1" t="s">
        <v>1</v>
      </c>
      <c r="B1117" s="1" t="s">
        <v>2</v>
      </c>
      <c r="C1117" s="1">
        <v>42.360599999999998</v>
      </c>
      <c r="D1117" s="1">
        <v>-71.010599999999997</v>
      </c>
      <c r="E1117" s="5">
        <v>41306</v>
      </c>
      <c r="F1117" s="1" t="str">
        <f t="shared" si="17"/>
        <v>February</v>
      </c>
      <c r="G1117" s="1">
        <v>39</v>
      </c>
      <c r="H1117" s="1">
        <v>0</v>
      </c>
      <c r="I1117" s="1" t="str">
        <f>IF(Table1[[#This Row],[Temperature_F]]&lt;32,"Yes","No")</f>
        <v>No</v>
      </c>
      <c r="J1117" s="1" t="str" cm="1">
        <f t="array" ref="J11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17" s="1" t="str" cm="1">
        <f t="array" ref="K1117">_xlfn.IFS(
H1117=0,"No Rain",
H1117&lt;10,"Light",
H1117&lt;50,"Moderate",
TRUE,"Heavy")</f>
        <v>No Rain</v>
      </c>
      <c r="L1117" s="1" t="str">
        <f>IF(Table1[[#This Row],[Precipitation_mm]]&lt;&gt;0,"Wet","Dry")</f>
        <v>Dry</v>
      </c>
      <c r="M1117" t="b">
        <f>OR(ISBLANK(Table1[[#This Row],[Temperature_F]]),ISERROR(Table1[[#This Row],[Temperature_F]]))</f>
        <v>0</v>
      </c>
    </row>
    <row r="1118" spans="1:13" hidden="1" x14ac:dyDescent="0.25">
      <c r="A1118" s="1" t="s">
        <v>1</v>
      </c>
      <c r="B1118" s="1" t="s">
        <v>2</v>
      </c>
      <c r="C1118" s="1">
        <v>42.360599999999998</v>
      </c>
      <c r="D1118" s="1">
        <v>-71.010599999999997</v>
      </c>
      <c r="E1118" s="5">
        <v>41307</v>
      </c>
      <c r="F1118" s="1" t="str">
        <f t="shared" si="17"/>
        <v>February</v>
      </c>
      <c r="G1118" s="1">
        <v>29</v>
      </c>
      <c r="H1118" s="1">
        <v>0</v>
      </c>
      <c r="I1118" s="1" t="str">
        <f>IF(Table1[[#This Row],[Temperature_F]]&lt;32,"Yes","No")</f>
        <v>Yes</v>
      </c>
      <c r="J1118" s="1" t="str" cm="1">
        <f t="array" ref="J11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18" s="1" t="str" cm="1">
        <f t="array" ref="K1118">_xlfn.IFS(
H1118=0,"No Rain",
H1118&lt;10,"Light",
H1118&lt;50,"Moderate",
TRUE,"Heavy")</f>
        <v>No Rain</v>
      </c>
      <c r="L1118" s="1" t="str">
        <f>IF(Table1[[#This Row],[Precipitation_mm]]&lt;&gt;0,"Wet","Dry")</f>
        <v>Dry</v>
      </c>
      <c r="M1118" t="b">
        <f>OR(ISBLANK(Table1[[#This Row],[Temperature_F]]),ISERROR(Table1[[#This Row],[Temperature_F]]))</f>
        <v>0</v>
      </c>
    </row>
    <row r="1119" spans="1:13" hidden="1" x14ac:dyDescent="0.25">
      <c r="A1119" s="1" t="s">
        <v>1</v>
      </c>
      <c r="B1119" s="1" t="s">
        <v>2</v>
      </c>
      <c r="C1119" s="1">
        <v>42.360599999999998</v>
      </c>
      <c r="D1119" s="1">
        <v>-71.010599999999997</v>
      </c>
      <c r="E1119" s="5">
        <v>41308</v>
      </c>
      <c r="F1119" s="1" t="str">
        <f t="shared" si="17"/>
        <v>February</v>
      </c>
      <c r="G1119" s="1">
        <v>25</v>
      </c>
      <c r="H1119" s="1">
        <v>8</v>
      </c>
      <c r="I1119" s="1" t="str">
        <f>IF(Table1[[#This Row],[Temperature_F]]&lt;32,"Yes","No")</f>
        <v>Yes</v>
      </c>
      <c r="J1119" s="1" t="str" cm="1">
        <f t="array" ref="J11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19" s="1" t="str" cm="1">
        <f t="array" ref="K1119">_xlfn.IFS(
H1119=0,"No Rain",
H1119&lt;10,"Light",
H1119&lt;50,"Moderate",
TRUE,"Heavy")</f>
        <v>Light</v>
      </c>
      <c r="L1119" s="1" t="str">
        <f>IF(Table1[[#This Row],[Precipitation_mm]]&lt;&gt;0,"Wet","Dry")</f>
        <v>Wet</v>
      </c>
      <c r="M1119" t="b">
        <f>OR(ISBLANK(Table1[[#This Row],[Temperature_F]]),ISERROR(Table1[[#This Row],[Temperature_F]]))</f>
        <v>0</v>
      </c>
    </row>
    <row r="1120" spans="1:13" hidden="1" x14ac:dyDescent="0.25">
      <c r="A1120" s="1" t="s">
        <v>1</v>
      </c>
      <c r="B1120" s="1" t="s">
        <v>2</v>
      </c>
      <c r="C1120" s="1">
        <v>42.360599999999998</v>
      </c>
      <c r="D1120" s="1">
        <v>-71.010599999999997</v>
      </c>
      <c r="E1120" s="5">
        <v>41309</v>
      </c>
      <c r="F1120" s="1" t="str">
        <f t="shared" si="17"/>
        <v>February</v>
      </c>
      <c r="G1120" s="1">
        <v>21</v>
      </c>
      <c r="H1120" s="1">
        <v>0</v>
      </c>
      <c r="I1120" s="1" t="str">
        <f>IF(Table1[[#This Row],[Temperature_F]]&lt;32,"Yes","No")</f>
        <v>Yes</v>
      </c>
      <c r="J1120" s="1" t="str" cm="1">
        <f t="array" ref="J11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0" s="1" t="str" cm="1">
        <f t="array" ref="K1120">_xlfn.IFS(
H1120=0,"No Rain",
H1120&lt;10,"Light",
H1120&lt;50,"Moderate",
TRUE,"Heavy")</f>
        <v>No Rain</v>
      </c>
      <c r="L1120" s="1" t="str">
        <f>IF(Table1[[#This Row],[Precipitation_mm]]&lt;&gt;0,"Wet","Dry")</f>
        <v>Dry</v>
      </c>
      <c r="M1120" t="b">
        <f>OR(ISBLANK(Table1[[#This Row],[Temperature_F]]),ISERROR(Table1[[#This Row],[Temperature_F]]))</f>
        <v>0</v>
      </c>
    </row>
    <row r="1121" spans="1:13" x14ac:dyDescent="0.25">
      <c r="A1121" s="1" t="s">
        <v>1</v>
      </c>
      <c r="B1121" s="1" t="s">
        <v>2</v>
      </c>
      <c r="C1121" s="1">
        <v>42.360599999999998</v>
      </c>
      <c r="D1121" s="1">
        <v>-71.010599999999997</v>
      </c>
      <c r="E1121" s="5">
        <v>41310</v>
      </c>
      <c r="F1121" s="1" t="str">
        <f t="shared" si="17"/>
        <v>February</v>
      </c>
      <c r="G1121" s="1">
        <v>39</v>
      </c>
      <c r="H1121" s="1">
        <v>8</v>
      </c>
      <c r="I1121" s="1" t="str">
        <f>IF(Table1[[#This Row],[Temperature_F]]&lt;32,"Yes","No")</f>
        <v>No</v>
      </c>
      <c r="J1121" s="1" t="str" cm="1">
        <f t="array" ref="J11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21" s="1" t="str" cm="1">
        <f t="array" ref="K1121">_xlfn.IFS(
H1121=0,"No Rain",
H1121&lt;10,"Light",
H1121&lt;50,"Moderate",
TRUE,"Heavy")</f>
        <v>Light</v>
      </c>
      <c r="L1121" s="1" t="str">
        <f>IF(Table1[[#This Row],[Precipitation_mm]]&lt;&gt;0,"Wet","Dry")</f>
        <v>Wet</v>
      </c>
      <c r="M1121" t="b">
        <f>OR(ISBLANK(Table1[[#This Row],[Temperature_F]]),ISERROR(Table1[[#This Row],[Temperature_F]]))</f>
        <v>0</v>
      </c>
    </row>
    <row r="1122" spans="1:13" x14ac:dyDescent="0.25">
      <c r="A1122" s="1" t="s">
        <v>1</v>
      </c>
      <c r="B1122" s="1" t="s">
        <v>2</v>
      </c>
      <c r="C1122" s="1">
        <v>42.360599999999998</v>
      </c>
      <c r="D1122" s="1">
        <v>-71.010599999999997</v>
      </c>
      <c r="E1122" s="5">
        <v>41311</v>
      </c>
      <c r="F1122" s="1" t="str">
        <f t="shared" si="17"/>
        <v>February</v>
      </c>
      <c r="G1122" s="1">
        <v>33</v>
      </c>
      <c r="H1122" s="1">
        <v>13</v>
      </c>
      <c r="I1122" s="1" t="str">
        <f>IF(Table1[[#This Row],[Temperature_F]]&lt;32,"Yes","No")</f>
        <v>No</v>
      </c>
      <c r="J1122" s="1" t="str" cm="1">
        <f t="array" ref="J11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22" s="1" t="str" cm="1">
        <f t="array" ref="K1122">_xlfn.IFS(
H1122=0,"No Rain",
H1122&lt;10,"Light",
H1122&lt;50,"Moderate",
TRUE,"Heavy")</f>
        <v>Moderate</v>
      </c>
      <c r="L1122" s="1" t="str">
        <f>IF(Table1[[#This Row],[Precipitation_mm]]&lt;&gt;0,"Wet","Dry")</f>
        <v>Wet</v>
      </c>
      <c r="M1122" t="b">
        <f>OR(ISBLANK(Table1[[#This Row],[Temperature_F]]),ISERROR(Table1[[#This Row],[Temperature_F]]))</f>
        <v>0</v>
      </c>
    </row>
    <row r="1123" spans="1:13" hidden="1" x14ac:dyDescent="0.25">
      <c r="A1123" s="1" t="s">
        <v>1</v>
      </c>
      <c r="B1123" s="1" t="s">
        <v>2</v>
      </c>
      <c r="C1123" s="1">
        <v>42.360599999999998</v>
      </c>
      <c r="D1123" s="1">
        <v>-71.010599999999997</v>
      </c>
      <c r="E1123" s="5">
        <v>41312</v>
      </c>
      <c r="F1123" s="1" t="str">
        <f t="shared" si="17"/>
        <v>February</v>
      </c>
      <c r="G1123" s="1">
        <v>12</v>
      </c>
      <c r="H1123" s="1">
        <v>0</v>
      </c>
      <c r="I1123" s="1" t="str">
        <f>IF(Table1[[#This Row],[Temperature_F]]&lt;32,"Yes","No")</f>
        <v>Yes</v>
      </c>
      <c r="J1123" s="1" t="str" cm="1">
        <f t="array" ref="J11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3" s="1" t="str" cm="1">
        <f t="array" ref="K1123">_xlfn.IFS(
H1123=0,"No Rain",
H1123&lt;10,"Light",
H1123&lt;50,"Moderate",
TRUE,"Heavy")</f>
        <v>No Rain</v>
      </c>
      <c r="L1123" s="1" t="str">
        <f>IF(Table1[[#This Row],[Precipitation_mm]]&lt;&gt;0,"Wet","Dry")</f>
        <v>Dry</v>
      </c>
      <c r="M1123" t="b">
        <f>OR(ISBLANK(Table1[[#This Row],[Temperature_F]]),ISERROR(Table1[[#This Row],[Temperature_F]]))</f>
        <v>0</v>
      </c>
    </row>
    <row r="1124" spans="1:13" hidden="1" x14ac:dyDescent="0.25">
      <c r="A1124" s="1" t="s">
        <v>1</v>
      </c>
      <c r="B1124" s="1" t="s">
        <v>2</v>
      </c>
      <c r="C1124" s="1">
        <v>42.360599999999998</v>
      </c>
      <c r="D1124" s="1">
        <v>-71.010599999999997</v>
      </c>
      <c r="E1124" s="5">
        <v>41313</v>
      </c>
      <c r="F1124" s="1" t="str">
        <f t="shared" si="17"/>
        <v>February</v>
      </c>
      <c r="G1124" s="1">
        <v>27</v>
      </c>
      <c r="H1124" s="1">
        <v>216</v>
      </c>
      <c r="I1124" s="1" t="str">
        <f>IF(Table1[[#This Row],[Temperature_F]]&lt;32,"Yes","No")</f>
        <v>Yes</v>
      </c>
      <c r="J1124" s="1" t="str" cm="1">
        <f t="array" ref="J11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4" s="1" t="str" cm="1">
        <f t="array" ref="K1124">_xlfn.IFS(
H1124=0,"No Rain",
H1124&lt;10,"Light",
H1124&lt;50,"Moderate",
TRUE,"Heavy")</f>
        <v>Heavy</v>
      </c>
      <c r="L1124" s="1" t="str">
        <f>IF(Table1[[#This Row],[Precipitation_mm]]&lt;&gt;0,"Wet","Dry")</f>
        <v>Wet</v>
      </c>
      <c r="M1124" t="b">
        <f>OR(ISBLANK(Table1[[#This Row],[Temperature_F]]),ISERROR(Table1[[#This Row],[Temperature_F]]))</f>
        <v>0</v>
      </c>
    </row>
    <row r="1125" spans="1:13" hidden="1" x14ac:dyDescent="0.25">
      <c r="A1125" s="1" t="s">
        <v>1</v>
      </c>
      <c r="B1125" s="1" t="s">
        <v>2</v>
      </c>
      <c r="C1125" s="1">
        <v>42.360599999999998</v>
      </c>
      <c r="D1125" s="1">
        <v>-71.010599999999997</v>
      </c>
      <c r="E1125" s="5">
        <v>41314</v>
      </c>
      <c r="F1125" s="1" t="str">
        <f t="shared" si="17"/>
        <v>February</v>
      </c>
      <c r="G1125" s="1">
        <v>24</v>
      </c>
      <c r="H1125" s="1">
        <v>254</v>
      </c>
      <c r="I1125" s="1" t="str">
        <f>IF(Table1[[#This Row],[Temperature_F]]&lt;32,"Yes","No")</f>
        <v>Yes</v>
      </c>
      <c r="J1125" s="1" t="str" cm="1">
        <f t="array" ref="J11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5" s="1" t="str" cm="1">
        <f t="array" ref="K1125">_xlfn.IFS(
H1125=0,"No Rain",
H1125&lt;10,"Light",
H1125&lt;50,"Moderate",
TRUE,"Heavy")</f>
        <v>Heavy</v>
      </c>
      <c r="L1125" s="1" t="str">
        <f>IF(Table1[[#This Row],[Precipitation_mm]]&lt;&gt;0,"Wet","Dry")</f>
        <v>Wet</v>
      </c>
      <c r="M1125" t="b">
        <f>OR(ISBLANK(Table1[[#This Row],[Temperature_F]]),ISERROR(Table1[[#This Row],[Temperature_F]]))</f>
        <v>0</v>
      </c>
    </row>
    <row r="1126" spans="1:13" hidden="1" x14ac:dyDescent="0.25">
      <c r="A1126" s="1" t="s">
        <v>1</v>
      </c>
      <c r="B1126" s="1" t="s">
        <v>2</v>
      </c>
      <c r="C1126" s="1">
        <v>42.360599999999998</v>
      </c>
      <c r="D1126" s="1">
        <v>-71.010599999999997</v>
      </c>
      <c r="E1126" s="5">
        <v>41315</v>
      </c>
      <c r="F1126" s="1" t="str">
        <f t="shared" si="17"/>
        <v>February</v>
      </c>
      <c r="G1126" s="1">
        <v>27</v>
      </c>
      <c r="H1126" s="1">
        <v>0</v>
      </c>
      <c r="I1126" s="1" t="str">
        <f>IF(Table1[[#This Row],[Temperature_F]]&lt;32,"Yes","No")</f>
        <v>Yes</v>
      </c>
      <c r="J1126" s="1" t="str" cm="1">
        <f t="array" ref="J11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6" s="1" t="str" cm="1">
        <f t="array" ref="K1126">_xlfn.IFS(
H1126=0,"No Rain",
H1126&lt;10,"Light",
H1126&lt;50,"Moderate",
TRUE,"Heavy")</f>
        <v>No Rain</v>
      </c>
      <c r="L1126" s="1" t="str">
        <f>IF(Table1[[#This Row],[Precipitation_mm]]&lt;&gt;0,"Wet","Dry")</f>
        <v>Dry</v>
      </c>
      <c r="M1126" t="b">
        <f>OR(ISBLANK(Table1[[#This Row],[Temperature_F]]),ISERROR(Table1[[#This Row],[Temperature_F]]))</f>
        <v>0</v>
      </c>
    </row>
    <row r="1127" spans="1:13" x14ac:dyDescent="0.25">
      <c r="A1127" s="1" t="s">
        <v>1</v>
      </c>
      <c r="B1127" s="1" t="s">
        <v>2</v>
      </c>
      <c r="C1127" s="1">
        <v>42.360599999999998</v>
      </c>
      <c r="D1127" s="1">
        <v>-71.010599999999997</v>
      </c>
      <c r="E1127" s="5">
        <v>41316</v>
      </c>
      <c r="F1127" s="1" t="str">
        <f t="shared" si="17"/>
        <v>February</v>
      </c>
      <c r="G1127" s="1">
        <v>36</v>
      </c>
      <c r="H1127" s="1">
        <v>51</v>
      </c>
      <c r="I1127" s="1" t="str">
        <f>IF(Table1[[#This Row],[Temperature_F]]&lt;32,"Yes","No")</f>
        <v>No</v>
      </c>
      <c r="J1127" s="1" t="str" cm="1">
        <f t="array" ref="J11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27" s="1" t="str" cm="1">
        <f t="array" ref="K1127">_xlfn.IFS(
H1127=0,"No Rain",
H1127&lt;10,"Light",
H1127&lt;50,"Moderate",
TRUE,"Heavy")</f>
        <v>Heavy</v>
      </c>
      <c r="L1127" s="1" t="str">
        <f>IF(Table1[[#This Row],[Precipitation_mm]]&lt;&gt;0,"Wet","Dry")</f>
        <v>Wet</v>
      </c>
      <c r="M1127" t="b">
        <f>OR(ISBLANK(Table1[[#This Row],[Temperature_F]]),ISERROR(Table1[[#This Row],[Temperature_F]]))</f>
        <v>0</v>
      </c>
    </row>
    <row r="1128" spans="1:13" hidden="1" x14ac:dyDescent="0.25">
      <c r="A1128" s="1" t="s">
        <v>1</v>
      </c>
      <c r="B1128" s="1" t="s">
        <v>2</v>
      </c>
      <c r="C1128" s="1">
        <v>42.360599999999998</v>
      </c>
      <c r="D1128" s="1">
        <v>-71.010599999999997</v>
      </c>
      <c r="E1128" s="5">
        <v>41317</v>
      </c>
      <c r="F1128" s="1" t="str">
        <f t="shared" si="17"/>
        <v>February</v>
      </c>
      <c r="G1128" s="1">
        <v>13</v>
      </c>
      <c r="H1128" s="1">
        <v>0</v>
      </c>
      <c r="I1128" s="1" t="str">
        <f>IF(Table1[[#This Row],[Temperature_F]]&lt;32,"Yes","No")</f>
        <v>Yes</v>
      </c>
      <c r="J1128" s="1" t="str" cm="1">
        <f t="array" ref="J11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8" s="1" t="str" cm="1">
        <f t="array" ref="K1128">_xlfn.IFS(
H1128=0,"No Rain",
H1128&lt;10,"Light",
H1128&lt;50,"Moderate",
TRUE,"Heavy")</f>
        <v>No Rain</v>
      </c>
      <c r="L1128" s="1" t="str">
        <f>IF(Table1[[#This Row],[Precipitation_mm]]&lt;&gt;0,"Wet","Dry")</f>
        <v>Dry</v>
      </c>
      <c r="M1128" t="b">
        <f>OR(ISBLANK(Table1[[#This Row],[Temperature_F]]),ISERROR(Table1[[#This Row],[Temperature_F]]))</f>
        <v>0</v>
      </c>
    </row>
    <row r="1129" spans="1:13" hidden="1" x14ac:dyDescent="0.25">
      <c r="A1129" s="1" t="s">
        <v>1</v>
      </c>
      <c r="B1129" s="1" t="s">
        <v>2</v>
      </c>
      <c r="C1129" s="1">
        <v>42.360599999999998</v>
      </c>
      <c r="D1129" s="1">
        <v>-71.010599999999997</v>
      </c>
      <c r="E1129" s="5">
        <v>41318</v>
      </c>
      <c r="F1129" s="1" t="str">
        <f t="shared" si="17"/>
        <v>February</v>
      </c>
      <c r="G1129" s="1">
        <v>26</v>
      </c>
      <c r="H1129" s="1">
        <v>0</v>
      </c>
      <c r="I1129" s="1" t="str">
        <f>IF(Table1[[#This Row],[Temperature_F]]&lt;32,"Yes","No")</f>
        <v>Yes</v>
      </c>
      <c r="J1129" s="1" t="str" cm="1">
        <f t="array" ref="J11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29" s="1" t="str" cm="1">
        <f t="array" ref="K1129">_xlfn.IFS(
H1129=0,"No Rain",
H1129&lt;10,"Light",
H1129&lt;50,"Moderate",
TRUE,"Heavy")</f>
        <v>No Rain</v>
      </c>
      <c r="L1129" s="1" t="str">
        <f>IF(Table1[[#This Row],[Precipitation_mm]]&lt;&gt;0,"Wet","Dry")</f>
        <v>Dry</v>
      </c>
      <c r="M1129" t="b">
        <f>OR(ISBLANK(Table1[[#This Row],[Temperature_F]]),ISERROR(Table1[[#This Row],[Temperature_F]]))</f>
        <v>0</v>
      </c>
    </row>
    <row r="1130" spans="1:13" hidden="1" x14ac:dyDescent="0.25">
      <c r="A1130" s="1" t="s">
        <v>1</v>
      </c>
      <c r="B1130" s="1" t="s">
        <v>2</v>
      </c>
      <c r="C1130" s="1">
        <v>42.360599999999998</v>
      </c>
      <c r="D1130" s="1">
        <v>-71.010599999999997</v>
      </c>
      <c r="E1130" s="5">
        <v>41319</v>
      </c>
      <c r="F1130" s="1" t="str">
        <f t="shared" si="17"/>
        <v>February</v>
      </c>
      <c r="G1130" s="1">
        <v>28</v>
      </c>
      <c r="H1130" s="1">
        <v>0</v>
      </c>
      <c r="I1130" s="1" t="str">
        <f>IF(Table1[[#This Row],[Temperature_F]]&lt;32,"Yes","No")</f>
        <v>Yes</v>
      </c>
      <c r="J1130" s="1" t="str" cm="1">
        <f t="array" ref="J11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30" s="1" t="str" cm="1">
        <f t="array" ref="K1130">_xlfn.IFS(
H1130=0,"No Rain",
H1130&lt;10,"Light",
H1130&lt;50,"Moderate",
TRUE,"Heavy")</f>
        <v>No Rain</v>
      </c>
      <c r="L1130" s="1" t="str">
        <f>IF(Table1[[#This Row],[Precipitation_mm]]&lt;&gt;0,"Wet","Dry")</f>
        <v>Dry</v>
      </c>
      <c r="M1130" t="b">
        <f>OR(ISBLANK(Table1[[#This Row],[Temperature_F]]),ISERROR(Table1[[#This Row],[Temperature_F]]))</f>
        <v>0</v>
      </c>
    </row>
    <row r="1131" spans="1:13" hidden="1" x14ac:dyDescent="0.25">
      <c r="A1131" s="1" t="s">
        <v>1</v>
      </c>
      <c r="B1131" s="1" t="s">
        <v>2</v>
      </c>
      <c r="C1131" s="1">
        <v>42.360599999999998</v>
      </c>
      <c r="D1131" s="1">
        <v>-71.010599999999997</v>
      </c>
      <c r="E1131" s="5">
        <v>41320</v>
      </c>
      <c r="F1131" s="1" t="str">
        <f t="shared" si="17"/>
        <v>February</v>
      </c>
      <c r="G1131" s="1">
        <v>15</v>
      </c>
      <c r="H1131" s="1">
        <v>0</v>
      </c>
      <c r="I1131" s="1" t="str">
        <f>IF(Table1[[#This Row],[Temperature_F]]&lt;32,"Yes","No")</f>
        <v>Yes</v>
      </c>
      <c r="J1131" s="1" t="str" cm="1">
        <f t="array" ref="J11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31" s="1" t="str" cm="1">
        <f t="array" ref="K1131">_xlfn.IFS(
H1131=0,"No Rain",
H1131&lt;10,"Light",
H1131&lt;50,"Moderate",
TRUE,"Heavy")</f>
        <v>No Rain</v>
      </c>
      <c r="L1131" s="1" t="str">
        <f>IF(Table1[[#This Row],[Precipitation_mm]]&lt;&gt;0,"Wet","Dry")</f>
        <v>Dry</v>
      </c>
      <c r="M1131" t="b">
        <f>OR(ISBLANK(Table1[[#This Row],[Temperature_F]]),ISERROR(Table1[[#This Row],[Temperature_F]]))</f>
        <v>0</v>
      </c>
    </row>
    <row r="1132" spans="1:13" x14ac:dyDescent="0.25">
      <c r="A1132" s="1" t="s">
        <v>1</v>
      </c>
      <c r="B1132" s="1" t="s">
        <v>2</v>
      </c>
      <c r="C1132" s="1">
        <v>42.360599999999998</v>
      </c>
      <c r="D1132" s="1">
        <v>-71.010599999999997</v>
      </c>
      <c r="E1132" s="5">
        <v>41321</v>
      </c>
      <c r="F1132" s="1" t="str">
        <f t="shared" si="17"/>
        <v>February</v>
      </c>
      <c r="G1132" s="1">
        <v>39</v>
      </c>
      <c r="H1132" s="1">
        <v>3</v>
      </c>
      <c r="I1132" s="1" t="str">
        <f>IF(Table1[[#This Row],[Temperature_F]]&lt;32,"Yes","No")</f>
        <v>No</v>
      </c>
      <c r="J1132" s="1" t="str" cm="1">
        <f t="array" ref="J11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32" s="1" t="str" cm="1">
        <f t="array" ref="K1132">_xlfn.IFS(
H1132=0,"No Rain",
H1132&lt;10,"Light",
H1132&lt;50,"Moderate",
TRUE,"Heavy")</f>
        <v>Light</v>
      </c>
      <c r="L1132" s="1" t="str">
        <f>IF(Table1[[#This Row],[Precipitation_mm]]&lt;&gt;0,"Wet","Dry")</f>
        <v>Wet</v>
      </c>
      <c r="M1132" t="b">
        <f>OR(ISBLANK(Table1[[#This Row],[Temperature_F]]),ISERROR(Table1[[#This Row],[Temperature_F]]))</f>
        <v>0</v>
      </c>
    </row>
    <row r="1133" spans="1:13" x14ac:dyDescent="0.25">
      <c r="A1133" s="1" t="s">
        <v>1</v>
      </c>
      <c r="B1133" s="1" t="s">
        <v>2</v>
      </c>
      <c r="C1133" s="1">
        <v>42.360599999999998</v>
      </c>
      <c r="D1133" s="1">
        <v>-71.010599999999997</v>
      </c>
      <c r="E1133" s="5">
        <v>41322</v>
      </c>
      <c r="F1133" s="1" t="str">
        <f t="shared" si="17"/>
        <v>February</v>
      </c>
      <c r="G1133" s="1">
        <v>45</v>
      </c>
      <c r="H1133" s="1">
        <v>51</v>
      </c>
      <c r="I1133" s="1" t="str">
        <f>IF(Table1[[#This Row],[Temperature_F]]&lt;32,"Yes","No")</f>
        <v>No</v>
      </c>
      <c r="J1133" s="1" t="str" cm="1">
        <f t="array" ref="J11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33" s="1" t="str" cm="1">
        <f t="array" ref="K1133">_xlfn.IFS(
H1133=0,"No Rain",
H1133&lt;10,"Light",
H1133&lt;50,"Moderate",
TRUE,"Heavy")</f>
        <v>Heavy</v>
      </c>
      <c r="L1133" s="1" t="str">
        <f>IF(Table1[[#This Row],[Precipitation_mm]]&lt;&gt;0,"Wet","Dry")</f>
        <v>Wet</v>
      </c>
      <c r="M1133" t="b">
        <f>OR(ISBLANK(Table1[[#This Row],[Temperature_F]]),ISERROR(Table1[[#This Row],[Temperature_F]]))</f>
        <v>0</v>
      </c>
    </row>
    <row r="1134" spans="1:13" x14ac:dyDescent="0.25">
      <c r="A1134" s="1" t="s">
        <v>1</v>
      </c>
      <c r="B1134" s="1" t="s">
        <v>2</v>
      </c>
      <c r="C1134" s="1">
        <v>42.360599999999998</v>
      </c>
      <c r="D1134" s="1">
        <v>-71.010599999999997</v>
      </c>
      <c r="E1134" s="5">
        <v>41323</v>
      </c>
      <c r="F1134" s="1" t="str">
        <f t="shared" si="17"/>
        <v>February</v>
      </c>
      <c r="G1134" s="1">
        <v>38</v>
      </c>
      <c r="H1134" s="1">
        <v>0</v>
      </c>
      <c r="I1134" s="1" t="str">
        <f>IF(Table1[[#This Row],[Temperature_F]]&lt;32,"Yes","No")</f>
        <v>No</v>
      </c>
      <c r="J1134" s="1" t="str" cm="1">
        <f t="array" ref="J11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34" s="1" t="str" cm="1">
        <f t="array" ref="K1134">_xlfn.IFS(
H1134=0,"No Rain",
H1134&lt;10,"Light",
H1134&lt;50,"Moderate",
TRUE,"Heavy")</f>
        <v>No Rain</v>
      </c>
      <c r="L1134" s="1" t="str">
        <f>IF(Table1[[#This Row],[Precipitation_mm]]&lt;&gt;0,"Wet","Dry")</f>
        <v>Dry</v>
      </c>
      <c r="M1134" t="b">
        <f>OR(ISBLANK(Table1[[#This Row],[Temperature_F]]),ISERROR(Table1[[#This Row],[Temperature_F]]))</f>
        <v>0</v>
      </c>
    </row>
    <row r="1135" spans="1:13" hidden="1" x14ac:dyDescent="0.25">
      <c r="A1135" s="1" t="s">
        <v>1</v>
      </c>
      <c r="B1135" s="1" t="s">
        <v>2</v>
      </c>
      <c r="C1135" s="1">
        <v>42.360599999999998</v>
      </c>
      <c r="D1135" s="1">
        <v>-71.010599999999997</v>
      </c>
      <c r="E1135" s="5">
        <v>41324</v>
      </c>
      <c r="F1135" s="1" t="str">
        <f t="shared" si="17"/>
        <v>February</v>
      </c>
      <c r="G1135" s="1">
        <v>26</v>
      </c>
      <c r="H1135" s="1">
        <v>114</v>
      </c>
      <c r="I1135" s="1" t="str">
        <f>IF(Table1[[#This Row],[Temperature_F]]&lt;32,"Yes","No")</f>
        <v>Yes</v>
      </c>
      <c r="J1135" s="1" t="str" cm="1">
        <f t="array" ref="J11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35" s="1" t="str" cm="1">
        <f t="array" ref="K1135">_xlfn.IFS(
H1135=0,"No Rain",
H1135&lt;10,"Light",
H1135&lt;50,"Moderate",
TRUE,"Heavy")</f>
        <v>Heavy</v>
      </c>
      <c r="L1135" s="1" t="str">
        <f>IF(Table1[[#This Row],[Precipitation_mm]]&lt;&gt;0,"Wet","Dry")</f>
        <v>Wet</v>
      </c>
      <c r="M1135" t="b">
        <f>OR(ISBLANK(Table1[[#This Row],[Temperature_F]]),ISERROR(Table1[[#This Row],[Temperature_F]]))</f>
        <v>0</v>
      </c>
    </row>
    <row r="1136" spans="1:13" hidden="1" x14ac:dyDescent="0.25">
      <c r="A1136" s="1" t="s">
        <v>1</v>
      </c>
      <c r="B1136" s="1" t="s">
        <v>2</v>
      </c>
      <c r="C1136" s="1">
        <v>42.360599999999998</v>
      </c>
      <c r="D1136" s="1">
        <v>-71.010599999999997</v>
      </c>
      <c r="E1136" s="5">
        <v>41325</v>
      </c>
      <c r="F1136" s="1" t="str">
        <f t="shared" si="17"/>
        <v>February</v>
      </c>
      <c r="G1136" s="1">
        <v>19</v>
      </c>
      <c r="H1136" s="1">
        <v>3</v>
      </c>
      <c r="I1136" s="1" t="str">
        <f>IF(Table1[[#This Row],[Temperature_F]]&lt;32,"Yes","No")</f>
        <v>Yes</v>
      </c>
      <c r="J1136" s="1" t="str" cm="1">
        <f t="array" ref="J11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36" s="1" t="str" cm="1">
        <f t="array" ref="K1136">_xlfn.IFS(
H1136=0,"No Rain",
H1136&lt;10,"Light",
H1136&lt;50,"Moderate",
TRUE,"Heavy")</f>
        <v>Light</v>
      </c>
      <c r="L1136" s="1" t="str">
        <f>IF(Table1[[#This Row],[Precipitation_mm]]&lt;&gt;0,"Wet","Dry")</f>
        <v>Wet</v>
      </c>
      <c r="M1136" t="b">
        <f>OR(ISBLANK(Table1[[#This Row],[Temperature_F]]),ISERROR(Table1[[#This Row],[Temperature_F]]))</f>
        <v>0</v>
      </c>
    </row>
    <row r="1137" spans="1:13" x14ac:dyDescent="0.25">
      <c r="A1137" s="1" t="s">
        <v>1</v>
      </c>
      <c r="B1137" s="1" t="s">
        <v>2</v>
      </c>
      <c r="C1137" s="1">
        <v>42.360599999999998</v>
      </c>
      <c r="D1137" s="1">
        <v>-71.010599999999997</v>
      </c>
      <c r="E1137" s="5">
        <v>41326</v>
      </c>
      <c r="F1137" s="1" t="str">
        <f t="shared" si="17"/>
        <v>February</v>
      </c>
      <c r="G1137" s="1">
        <v>39</v>
      </c>
      <c r="H1137" s="1">
        <v>0</v>
      </c>
      <c r="I1137" s="1" t="str">
        <f>IF(Table1[[#This Row],[Temperature_F]]&lt;32,"Yes","No")</f>
        <v>No</v>
      </c>
      <c r="J1137" s="1" t="str" cm="1">
        <f t="array" ref="J11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37" s="1" t="str" cm="1">
        <f t="array" ref="K1137">_xlfn.IFS(
H1137=0,"No Rain",
H1137&lt;10,"Light",
H1137&lt;50,"Moderate",
TRUE,"Heavy")</f>
        <v>No Rain</v>
      </c>
      <c r="L1137" s="1" t="str">
        <f>IF(Table1[[#This Row],[Precipitation_mm]]&lt;&gt;0,"Wet","Dry")</f>
        <v>Dry</v>
      </c>
      <c r="M1137" t="b">
        <f>OR(ISBLANK(Table1[[#This Row],[Temperature_F]]),ISERROR(Table1[[#This Row],[Temperature_F]]))</f>
        <v>0</v>
      </c>
    </row>
    <row r="1138" spans="1:13" hidden="1" x14ac:dyDescent="0.25">
      <c r="A1138" s="1" t="s">
        <v>1</v>
      </c>
      <c r="B1138" s="1" t="s">
        <v>2</v>
      </c>
      <c r="C1138" s="1">
        <v>42.360599999999998</v>
      </c>
      <c r="D1138" s="1">
        <v>-71.010599999999997</v>
      </c>
      <c r="E1138" s="5">
        <v>41327</v>
      </c>
      <c r="F1138" s="1" t="str">
        <f t="shared" si="17"/>
        <v>February</v>
      </c>
      <c r="G1138" s="1">
        <v>16</v>
      </c>
      <c r="H1138" s="1">
        <v>0</v>
      </c>
      <c r="I1138" s="1" t="str">
        <f>IF(Table1[[#This Row],[Temperature_F]]&lt;32,"Yes","No")</f>
        <v>Yes</v>
      </c>
      <c r="J1138" s="1" t="str" cm="1">
        <f t="array" ref="J11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38" s="1" t="str" cm="1">
        <f t="array" ref="K1138">_xlfn.IFS(
H1138=0,"No Rain",
H1138&lt;10,"Light",
H1138&lt;50,"Moderate",
TRUE,"Heavy")</f>
        <v>No Rain</v>
      </c>
      <c r="L1138" s="1" t="str">
        <f>IF(Table1[[#This Row],[Precipitation_mm]]&lt;&gt;0,"Wet","Dry")</f>
        <v>Dry</v>
      </c>
      <c r="M1138" t="b">
        <f>OR(ISBLANK(Table1[[#This Row],[Temperature_F]]),ISERROR(Table1[[#This Row],[Temperature_F]]))</f>
        <v>0</v>
      </c>
    </row>
    <row r="1139" spans="1:13" x14ac:dyDescent="0.25">
      <c r="A1139" s="1" t="s">
        <v>1</v>
      </c>
      <c r="B1139" s="1" t="s">
        <v>2</v>
      </c>
      <c r="C1139" s="1">
        <v>42.360599999999998</v>
      </c>
      <c r="D1139" s="1">
        <v>-71.010599999999997</v>
      </c>
      <c r="E1139" s="5">
        <v>41328</v>
      </c>
      <c r="F1139" s="1" t="str">
        <f t="shared" si="17"/>
        <v>February</v>
      </c>
      <c r="G1139" s="1">
        <v>33</v>
      </c>
      <c r="H1139" s="1">
        <v>58</v>
      </c>
      <c r="I1139" s="1" t="str">
        <f>IF(Table1[[#This Row],[Temperature_F]]&lt;32,"Yes","No")</f>
        <v>No</v>
      </c>
      <c r="J1139" s="1" t="str" cm="1">
        <f t="array" ref="J11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39" s="1" t="str" cm="1">
        <f t="array" ref="K1139">_xlfn.IFS(
H1139=0,"No Rain",
H1139&lt;10,"Light",
H1139&lt;50,"Moderate",
TRUE,"Heavy")</f>
        <v>Heavy</v>
      </c>
      <c r="L1139" s="1" t="str">
        <f>IF(Table1[[#This Row],[Precipitation_mm]]&lt;&gt;0,"Wet","Dry")</f>
        <v>Wet</v>
      </c>
      <c r="M1139" t="b">
        <f>OR(ISBLANK(Table1[[#This Row],[Temperature_F]]),ISERROR(Table1[[#This Row],[Temperature_F]]))</f>
        <v>0</v>
      </c>
    </row>
    <row r="1140" spans="1:13" hidden="1" x14ac:dyDescent="0.25">
      <c r="A1140" s="1" t="s">
        <v>1</v>
      </c>
      <c r="B1140" s="1" t="s">
        <v>2</v>
      </c>
      <c r="C1140" s="1">
        <v>42.360599999999998</v>
      </c>
      <c r="D1140" s="1">
        <v>-71.010599999999997</v>
      </c>
      <c r="E1140" s="5">
        <v>41329</v>
      </c>
      <c r="F1140" s="1" t="str">
        <f t="shared" si="17"/>
        <v>February</v>
      </c>
      <c r="G1140" s="1">
        <v>32</v>
      </c>
      <c r="H1140" s="1">
        <v>208</v>
      </c>
      <c r="I1140" s="1" t="str">
        <f>IF(Table1[[#This Row],[Temperature_F]]&lt;32,"Yes","No")</f>
        <v>No</v>
      </c>
      <c r="J1140" s="1" t="str" cm="1">
        <f t="array" ref="J11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0" s="1" t="str" cm="1">
        <f t="array" ref="K1140">_xlfn.IFS(
H1140=0,"No Rain",
H1140&lt;10,"Light",
H1140&lt;50,"Moderate",
TRUE,"Heavy")</f>
        <v>Heavy</v>
      </c>
      <c r="L1140" s="1" t="str">
        <f>IF(Table1[[#This Row],[Precipitation_mm]]&lt;&gt;0,"Wet","Dry")</f>
        <v>Wet</v>
      </c>
      <c r="M1140" t="b">
        <f>OR(ISBLANK(Table1[[#This Row],[Temperature_F]]),ISERROR(Table1[[#This Row],[Temperature_F]]))</f>
        <v>0</v>
      </c>
    </row>
    <row r="1141" spans="1:13" hidden="1" x14ac:dyDescent="0.25">
      <c r="A1141" s="1" t="s">
        <v>1</v>
      </c>
      <c r="B1141" s="1" t="s">
        <v>2</v>
      </c>
      <c r="C1141" s="1">
        <v>42.360599999999998</v>
      </c>
      <c r="D1141" s="1">
        <v>-71.010599999999997</v>
      </c>
      <c r="E1141" s="5">
        <v>41330</v>
      </c>
      <c r="F1141" s="1" t="str">
        <f t="shared" si="17"/>
        <v>February</v>
      </c>
      <c r="G1141" s="1">
        <v>32</v>
      </c>
      <c r="H1141" s="1">
        <v>3</v>
      </c>
      <c r="I1141" s="1" t="str">
        <f>IF(Table1[[#This Row],[Temperature_F]]&lt;32,"Yes","No")</f>
        <v>No</v>
      </c>
      <c r="J1141" s="1" t="str" cm="1">
        <f t="array" ref="J11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1" s="1" t="str" cm="1">
        <f t="array" ref="K1141">_xlfn.IFS(
H1141=0,"No Rain",
H1141&lt;10,"Light",
H1141&lt;50,"Moderate",
TRUE,"Heavy")</f>
        <v>Light</v>
      </c>
      <c r="L1141" s="1" t="str">
        <f>IF(Table1[[#This Row],[Precipitation_mm]]&lt;&gt;0,"Wet","Dry")</f>
        <v>Wet</v>
      </c>
      <c r="M1141" t="b">
        <f>OR(ISBLANK(Table1[[#This Row],[Temperature_F]]),ISERROR(Table1[[#This Row],[Temperature_F]]))</f>
        <v>0</v>
      </c>
    </row>
    <row r="1142" spans="1:13" hidden="1" x14ac:dyDescent="0.25">
      <c r="A1142" s="1" t="s">
        <v>1</v>
      </c>
      <c r="B1142" s="1" t="s">
        <v>2</v>
      </c>
      <c r="C1142" s="1">
        <v>42.360599999999998</v>
      </c>
      <c r="D1142" s="1">
        <v>-71.010599999999997</v>
      </c>
      <c r="E1142" s="5">
        <v>41331</v>
      </c>
      <c r="F1142" s="1" t="str">
        <f t="shared" si="17"/>
        <v>February</v>
      </c>
      <c r="G1142" s="1">
        <v>31</v>
      </c>
      <c r="H1142" s="1">
        <v>0</v>
      </c>
      <c r="I1142" s="1" t="str">
        <f>IF(Table1[[#This Row],[Temperature_F]]&lt;32,"Yes","No")</f>
        <v>Yes</v>
      </c>
      <c r="J1142" s="1" t="str" cm="1">
        <f t="array" ref="J11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2" s="1" t="str" cm="1">
        <f t="array" ref="K1142">_xlfn.IFS(
H1142=0,"No Rain",
H1142&lt;10,"Light",
H1142&lt;50,"Moderate",
TRUE,"Heavy")</f>
        <v>No Rain</v>
      </c>
      <c r="L1142" s="1" t="str">
        <f>IF(Table1[[#This Row],[Precipitation_mm]]&lt;&gt;0,"Wet","Dry")</f>
        <v>Dry</v>
      </c>
      <c r="M1142" t="b">
        <f>OR(ISBLANK(Table1[[#This Row],[Temperature_F]]),ISERROR(Table1[[#This Row],[Temperature_F]]))</f>
        <v>0</v>
      </c>
    </row>
    <row r="1143" spans="1:13" x14ac:dyDescent="0.25">
      <c r="A1143" s="1" t="s">
        <v>1</v>
      </c>
      <c r="B1143" s="1" t="s">
        <v>2</v>
      </c>
      <c r="C1143" s="1">
        <v>42.360599999999998</v>
      </c>
      <c r="D1143" s="1">
        <v>-71.010599999999997</v>
      </c>
      <c r="E1143" s="5">
        <v>41332</v>
      </c>
      <c r="F1143" s="1" t="str">
        <f t="shared" ref="F1143:F1206" si="18">TEXT(E1143,"mmmm")</f>
        <v>February</v>
      </c>
      <c r="G1143" s="1">
        <v>43</v>
      </c>
      <c r="H1143" s="1">
        <v>348</v>
      </c>
      <c r="I1143" s="1" t="str">
        <f>IF(Table1[[#This Row],[Temperature_F]]&lt;32,"Yes","No")</f>
        <v>No</v>
      </c>
      <c r="J1143" s="1" t="str" cm="1">
        <f t="array" ref="J11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43" s="1" t="str" cm="1">
        <f t="array" ref="K1143">_xlfn.IFS(
H1143=0,"No Rain",
H1143&lt;10,"Light",
H1143&lt;50,"Moderate",
TRUE,"Heavy")</f>
        <v>Heavy</v>
      </c>
      <c r="L1143" s="1" t="str">
        <f>IF(Table1[[#This Row],[Precipitation_mm]]&lt;&gt;0,"Wet","Dry")</f>
        <v>Wet</v>
      </c>
      <c r="M1143" t="b">
        <f>OR(ISBLANK(Table1[[#This Row],[Temperature_F]]),ISERROR(Table1[[#This Row],[Temperature_F]]))</f>
        <v>0</v>
      </c>
    </row>
    <row r="1144" spans="1:13" x14ac:dyDescent="0.25">
      <c r="A1144" s="1" t="s">
        <v>1</v>
      </c>
      <c r="B1144" s="1" t="s">
        <v>2</v>
      </c>
      <c r="C1144" s="1">
        <v>42.360599999999998</v>
      </c>
      <c r="D1144" s="1">
        <v>-71.010599999999997</v>
      </c>
      <c r="E1144" s="5">
        <v>41333</v>
      </c>
      <c r="F1144" s="1" t="str">
        <f t="shared" si="18"/>
        <v>February</v>
      </c>
      <c r="G1144" s="1">
        <v>39</v>
      </c>
      <c r="H1144" s="1">
        <v>0</v>
      </c>
      <c r="I1144" s="1" t="str">
        <f>IF(Table1[[#This Row],[Temperature_F]]&lt;32,"Yes","No")</f>
        <v>No</v>
      </c>
      <c r="J1144" s="1" t="str" cm="1">
        <f t="array" ref="J11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44" s="1" t="str" cm="1">
        <f t="array" ref="K1144">_xlfn.IFS(
H1144=0,"No Rain",
H1144&lt;10,"Light",
H1144&lt;50,"Moderate",
TRUE,"Heavy")</f>
        <v>No Rain</v>
      </c>
      <c r="L1144" s="1" t="str">
        <f>IF(Table1[[#This Row],[Precipitation_mm]]&lt;&gt;0,"Wet","Dry")</f>
        <v>Dry</v>
      </c>
      <c r="M1144" t="b">
        <f>OR(ISBLANK(Table1[[#This Row],[Temperature_F]]),ISERROR(Table1[[#This Row],[Temperature_F]]))</f>
        <v>0</v>
      </c>
    </row>
    <row r="1145" spans="1:13" hidden="1" x14ac:dyDescent="0.25">
      <c r="A1145" s="1" t="s">
        <v>1</v>
      </c>
      <c r="B1145" s="1" t="s">
        <v>2</v>
      </c>
      <c r="C1145" s="1">
        <v>42.360599999999998</v>
      </c>
      <c r="D1145" s="1">
        <v>-71.010599999999997</v>
      </c>
      <c r="E1145" s="5">
        <v>41334</v>
      </c>
      <c r="F1145" s="1" t="str">
        <f t="shared" si="18"/>
        <v>March</v>
      </c>
      <c r="G1145" s="1">
        <v>15</v>
      </c>
      <c r="H1145" s="1">
        <v>0</v>
      </c>
      <c r="I1145" s="1" t="str">
        <f>IF(Table1[[#This Row],[Temperature_F]]&lt;32,"Yes","No")</f>
        <v>Yes</v>
      </c>
      <c r="J1145" s="1" t="str" cm="1">
        <f t="array" ref="J11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5" s="1" t="str" cm="1">
        <f t="array" ref="K1145">_xlfn.IFS(
H1145=0,"No Rain",
H1145&lt;10,"Light",
H1145&lt;50,"Moderate",
TRUE,"Heavy")</f>
        <v>No Rain</v>
      </c>
      <c r="L1145" s="1" t="str">
        <f>IF(Table1[[#This Row],[Precipitation_mm]]&lt;&gt;0,"Wet","Dry")</f>
        <v>Dry</v>
      </c>
      <c r="M1145" t="b">
        <f>OR(ISBLANK(Table1[[#This Row],[Temperature_F]]),ISERROR(Table1[[#This Row],[Temperature_F]]))</f>
        <v>0</v>
      </c>
    </row>
    <row r="1146" spans="1:13" hidden="1" x14ac:dyDescent="0.25">
      <c r="A1146" s="1" t="s">
        <v>1</v>
      </c>
      <c r="B1146" s="1" t="s">
        <v>2</v>
      </c>
      <c r="C1146" s="1">
        <v>42.360599999999998</v>
      </c>
      <c r="D1146" s="1">
        <v>-71.010599999999997</v>
      </c>
      <c r="E1146" s="5">
        <v>41335</v>
      </c>
      <c r="F1146" s="1" t="str">
        <f t="shared" si="18"/>
        <v>March</v>
      </c>
      <c r="G1146" s="1">
        <v>16</v>
      </c>
      <c r="H1146" s="1">
        <v>0</v>
      </c>
      <c r="I1146" s="1" t="str">
        <f>IF(Table1[[#This Row],[Temperature_F]]&lt;32,"Yes","No")</f>
        <v>Yes</v>
      </c>
      <c r="J1146" s="1" t="str" cm="1">
        <f t="array" ref="J11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6" s="1" t="str" cm="1">
        <f t="array" ref="K1146">_xlfn.IFS(
H1146=0,"No Rain",
H1146&lt;10,"Light",
H1146&lt;50,"Moderate",
TRUE,"Heavy")</f>
        <v>No Rain</v>
      </c>
      <c r="L1146" s="1" t="str">
        <f>IF(Table1[[#This Row],[Precipitation_mm]]&lt;&gt;0,"Wet","Dry")</f>
        <v>Dry</v>
      </c>
      <c r="M1146" t="b">
        <f>OR(ISBLANK(Table1[[#This Row],[Temperature_F]]),ISERROR(Table1[[#This Row],[Temperature_F]]))</f>
        <v>0</v>
      </c>
    </row>
    <row r="1147" spans="1:13" hidden="1" x14ac:dyDescent="0.25">
      <c r="A1147" s="1" t="s">
        <v>1</v>
      </c>
      <c r="B1147" s="1" t="s">
        <v>2</v>
      </c>
      <c r="C1147" s="1">
        <v>42.360599999999998</v>
      </c>
      <c r="D1147" s="1">
        <v>-71.010599999999997</v>
      </c>
      <c r="E1147" s="5">
        <v>41336</v>
      </c>
      <c r="F1147" s="1" t="str">
        <f t="shared" si="18"/>
        <v>March</v>
      </c>
      <c r="G1147" s="1">
        <v>17</v>
      </c>
      <c r="H1147" s="1">
        <v>0</v>
      </c>
      <c r="I1147" s="1" t="str">
        <f>IF(Table1[[#This Row],[Temperature_F]]&lt;32,"Yes","No")</f>
        <v>Yes</v>
      </c>
      <c r="J1147" s="1" t="str" cm="1">
        <f t="array" ref="J11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7" s="1" t="str" cm="1">
        <f t="array" ref="K1147">_xlfn.IFS(
H1147=0,"No Rain",
H1147&lt;10,"Light",
H1147&lt;50,"Moderate",
TRUE,"Heavy")</f>
        <v>No Rain</v>
      </c>
      <c r="L1147" s="1" t="str">
        <f>IF(Table1[[#This Row],[Precipitation_mm]]&lt;&gt;0,"Wet","Dry")</f>
        <v>Dry</v>
      </c>
      <c r="M1147" t="b">
        <f>OR(ISBLANK(Table1[[#This Row],[Temperature_F]]),ISERROR(Table1[[#This Row],[Temperature_F]]))</f>
        <v>0</v>
      </c>
    </row>
    <row r="1148" spans="1:13" x14ac:dyDescent="0.25">
      <c r="A1148" s="1" t="s">
        <v>1</v>
      </c>
      <c r="B1148" s="1" t="s">
        <v>2</v>
      </c>
      <c r="C1148" s="1">
        <v>42.360599999999998</v>
      </c>
      <c r="D1148" s="1">
        <v>-71.010599999999997</v>
      </c>
      <c r="E1148" s="5">
        <v>41337</v>
      </c>
      <c r="F1148" s="1" t="str">
        <f t="shared" si="18"/>
        <v>March</v>
      </c>
      <c r="G1148" s="1">
        <v>37</v>
      </c>
      <c r="H1148" s="1">
        <v>0</v>
      </c>
      <c r="I1148" s="1" t="str">
        <f>IF(Table1[[#This Row],[Temperature_F]]&lt;32,"Yes","No")</f>
        <v>No</v>
      </c>
      <c r="J1148" s="1" t="str" cm="1">
        <f t="array" ref="J11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48" s="1" t="str" cm="1">
        <f t="array" ref="K1148">_xlfn.IFS(
H1148=0,"No Rain",
H1148&lt;10,"Light",
H1148&lt;50,"Moderate",
TRUE,"Heavy")</f>
        <v>No Rain</v>
      </c>
      <c r="L1148" s="1" t="str">
        <f>IF(Table1[[#This Row],[Precipitation_mm]]&lt;&gt;0,"Wet","Dry")</f>
        <v>Dry</v>
      </c>
      <c r="M1148" t="b">
        <f>OR(ISBLANK(Table1[[#This Row],[Temperature_F]]),ISERROR(Table1[[#This Row],[Temperature_F]]))</f>
        <v>0</v>
      </c>
    </row>
    <row r="1149" spans="1:13" hidden="1" x14ac:dyDescent="0.25">
      <c r="A1149" s="1" t="s">
        <v>1</v>
      </c>
      <c r="B1149" s="1" t="s">
        <v>2</v>
      </c>
      <c r="C1149" s="1">
        <v>42.360599999999998</v>
      </c>
      <c r="D1149" s="1">
        <v>-71.010599999999997</v>
      </c>
      <c r="E1149" s="5">
        <v>41338</v>
      </c>
      <c r="F1149" s="1" t="str">
        <f t="shared" si="18"/>
        <v>March</v>
      </c>
      <c r="G1149" s="1">
        <v>19</v>
      </c>
      <c r="H1149" s="1">
        <v>0</v>
      </c>
      <c r="I1149" s="1" t="str">
        <f>IF(Table1[[#This Row],[Temperature_F]]&lt;32,"Yes","No")</f>
        <v>Yes</v>
      </c>
      <c r="J1149" s="1" t="str" cm="1">
        <f t="array" ref="J11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49" s="1" t="str" cm="1">
        <f t="array" ref="K1149">_xlfn.IFS(
H1149=0,"No Rain",
H1149&lt;10,"Light",
H1149&lt;50,"Moderate",
TRUE,"Heavy")</f>
        <v>No Rain</v>
      </c>
      <c r="L1149" s="1" t="str">
        <f>IF(Table1[[#This Row],[Precipitation_mm]]&lt;&gt;0,"Wet","Dry")</f>
        <v>Dry</v>
      </c>
      <c r="M1149" t="b">
        <f>OR(ISBLANK(Table1[[#This Row],[Temperature_F]]),ISERROR(Table1[[#This Row],[Temperature_F]]))</f>
        <v>0</v>
      </c>
    </row>
    <row r="1150" spans="1:13" hidden="1" x14ac:dyDescent="0.25">
      <c r="A1150" s="1" t="s">
        <v>1</v>
      </c>
      <c r="B1150" s="1" t="s">
        <v>2</v>
      </c>
      <c r="C1150" s="1">
        <v>42.360599999999998</v>
      </c>
      <c r="D1150" s="1">
        <v>-71.010599999999997</v>
      </c>
      <c r="E1150" s="5">
        <v>41339</v>
      </c>
      <c r="F1150" s="1" t="str">
        <f t="shared" si="18"/>
        <v>March</v>
      </c>
      <c r="G1150" s="1">
        <v>16</v>
      </c>
      <c r="H1150" s="1">
        <v>13</v>
      </c>
      <c r="I1150" s="1" t="str">
        <f>IF(Table1[[#This Row],[Temperature_F]]&lt;32,"Yes","No")</f>
        <v>Yes</v>
      </c>
      <c r="J1150" s="1" t="str" cm="1">
        <f t="array" ref="J11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50" s="1" t="str" cm="1">
        <f t="array" ref="K1150">_xlfn.IFS(
H1150=0,"No Rain",
H1150&lt;10,"Light",
H1150&lt;50,"Moderate",
TRUE,"Heavy")</f>
        <v>Moderate</v>
      </c>
      <c r="L1150" s="1" t="str">
        <f>IF(Table1[[#This Row],[Precipitation_mm]]&lt;&gt;0,"Wet","Dry")</f>
        <v>Wet</v>
      </c>
      <c r="M1150" t="b">
        <f>OR(ISBLANK(Table1[[#This Row],[Temperature_F]]),ISERROR(Table1[[#This Row],[Temperature_F]]))</f>
        <v>0</v>
      </c>
    </row>
    <row r="1151" spans="1:13" hidden="1" x14ac:dyDescent="0.25">
      <c r="A1151" s="1" t="s">
        <v>1</v>
      </c>
      <c r="B1151" s="1" t="s">
        <v>2</v>
      </c>
      <c r="C1151" s="1">
        <v>42.360599999999998</v>
      </c>
      <c r="D1151" s="1">
        <v>-71.010599999999997</v>
      </c>
      <c r="E1151" s="5">
        <v>41340</v>
      </c>
      <c r="F1151" s="1" t="str">
        <f t="shared" si="18"/>
        <v>March</v>
      </c>
      <c r="G1151" s="1">
        <v>19</v>
      </c>
      <c r="H1151" s="1">
        <v>117</v>
      </c>
      <c r="I1151" s="1" t="str">
        <f>IF(Table1[[#This Row],[Temperature_F]]&lt;32,"Yes","No")</f>
        <v>Yes</v>
      </c>
      <c r="J1151" s="1" t="str" cm="1">
        <f t="array" ref="J11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51" s="1" t="str" cm="1">
        <f t="array" ref="K1151">_xlfn.IFS(
H1151=0,"No Rain",
H1151&lt;10,"Light",
H1151&lt;50,"Moderate",
TRUE,"Heavy")</f>
        <v>Heavy</v>
      </c>
      <c r="L1151" s="1" t="str">
        <f>IF(Table1[[#This Row],[Precipitation_mm]]&lt;&gt;0,"Wet","Dry")</f>
        <v>Wet</v>
      </c>
      <c r="M1151" t="b">
        <f>OR(ISBLANK(Table1[[#This Row],[Temperature_F]]),ISERROR(Table1[[#This Row],[Temperature_F]]))</f>
        <v>0</v>
      </c>
    </row>
    <row r="1152" spans="1:13" hidden="1" x14ac:dyDescent="0.25">
      <c r="A1152" s="1" t="s">
        <v>1</v>
      </c>
      <c r="B1152" s="1" t="s">
        <v>2</v>
      </c>
      <c r="C1152" s="1">
        <v>42.360599999999998</v>
      </c>
      <c r="D1152" s="1">
        <v>-71.010599999999997</v>
      </c>
      <c r="E1152" s="5">
        <v>41341</v>
      </c>
      <c r="F1152" s="1" t="str">
        <f t="shared" si="18"/>
        <v>March</v>
      </c>
      <c r="G1152" s="1">
        <v>13</v>
      </c>
      <c r="H1152" s="1">
        <v>239</v>
      </c>
      <c r="I1152" s="1" t="str">
        <f>IF(Table1[[#This Row],[Temperature_F]]&lt;32,"Yes","No")</f>
        <v>Yes</v>
      </c>
      <c r="J1152" s="1" t="str" cm="1">
        <f t="array" ref="J11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52" s="1" t="str" cm="1">
        <f t="array" ref="K1152">_xlfn.IFS(
H1152=0,"No Rain",
H1152&lt;10,"Light",
H1152&lt;50,"Moderate",
TRUE,"Heavy")</f>
        <v>Heavy</v>
      </c>
      <c r="L1152" s="1" t="str">
        <f>IF(Table1[[#This Row],[Precipitation_mm]]&lt;&gt;0,"Wet","Dry")</f>
        <v>Wet</v>
      </c>
      <c r="M1152" t="b">
        <f>OR(ISBLANK(Table1[[#This Row],[Temperature_F]]),ISERROR(Table1[[#This Row],[Temperature_F]]))</f>
        <v>0</v>
      </c>
    </row>
    <row r="1153" spans="1:13" x14ac:dyDescent="0.25">
      <c r="A1153" s="1" t="s">
        <v>1</v>
      </c>
      <c r="B1153" s="1" t="s">
        <v>2</v>
      </c>
      <c r="C1153" s="1">
        <v>42.360599999999998</v>
      </c>
      <c r="D1153" s="1">
        <v>-71.010599999999997</v>
      </c>
      <c r="E1153" s="5">
        <v>41342</v>
      </c>
      <c r="F1153" s="1" t="str">
        <f t="shared" si="18"/>
        <v>March</v>
      </c>
      <c r="G1153" s="1">
        <v>42</v>
      </c>
      <c r="H1153" s="1">
        <v>0</v>
      </c>
      <c r="I1153" s="1" t="str">
        <f>IF(Table1[[#This Row],[Temperature_F]]&lt;32,"Yes","No")</f>
        <v>No</v>
      </c>
      <c r="J1153" s="1" t="str" cm="1">
        <f t="array" ref="J11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53" s="1" t="str" cm="1">
        <f t="array" ref="K1153">_xlfn.IFS(
H1153=0,"No Rain",
H1153&lt;10,"Light",
H1153&lt;50,"Moderate",
TRUE,"Heavy")</f>
        <v>No Rain</v>
      </c>
      <c r="L1153" s="1" t="str">
        <f>IF(Table1[[#This Row],[Precipitation_mm]]&lt;&gt;0,"Wet","Dry")</f>
        <v>Dry</v>
      </c>
      <c r="M1153" t="b">
        <f>OR(ISBLANK(Table1[[#This Row],[Temperature_F]]),ISERROR(Table1[[#This Row],[Temperature_F]]))</f>
        <v>0</v>
      </c>
    </row>
    <row r="1154" spans="1:13" x14ac:dyDescent="0.25">
      <c r="A1154" s="1" t="s">
        <v>1</v>
      </c>
      <c r="B1154" s="1" t="s">
        <v>2</v>
      </c>
      <c r="C1154" s="1">
        <v>42.360599999999998</v>
      </c>
      <c r="D1154" s="1">
        <v>-71.010599999999997</v>
      </c>
      <c r="E1154" s="5">
        <v>41343</v>
      </c>
      <c r="F1154" s="1" t="str">
        <f t="shared" si="18"/>
        <v>March</v>
      </c>
      <c r="G1154" s="1">
        <v>39</v>
      </c>
      <c r="H1154" s="1">
        <v>0</v>
      </c>
      <c r="I1154" s="1" t="str">
        <f>IF(Table1[[#This Row],[Temperature_F]]&lt;32,"Yes","No")</f>
        <v>No</v>
      </c>
      <c r="J1154" s="1" t="str" cm="1">
        <f t="array" ref="J11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54" s="1" t="str" cm="1">
        <f t="array" ref="K1154">_xlfn.IFS(
H1154=0,"No Rain",
H1154&lt;10,"Light",
H1154&lt;50,"Moderate",
TRUE,"Heavy")</f>
        <v>No Rain</v>
      </c>
      <c r="L1154" s="1" t="str">
        <f>IF(Table1[[#This Row],[Precipitation_mm]]&lt;&gt;0,"Wet","Dry")</f>
        <v>Dry</v>
      </c>
      <c r="M1154" t="b">
        <f>OR(ISBLANK(Table1[[#This Row],[Temperature_F]]),ISERROR(Table1[[#This Row],[Temperature_F]]))</f>
        <v>0</v>
      </c>
    </row>
    <row r="1155" spans="1:13" hidden="1" x14ac:dyDescent="0.25">
      <c r="A1155" s="1" t="s">
        <v>1</v>
      </c>
      <c r="B1155" s="1" t="s">
        <v>2</v>
      </c>
      <c r="C1155" s="1">
        <v>42.360599999999998</v>
      </c>
      <c r="D1155" s="1">
        <v>-71.010599999999997</v>
      </c>
      <c r="E1155" s="5">
        <v>41344</v>
      </c>
      <c r="F1155" s="1" t="str">
        <f t="shared" si="18"/>
        <v>March</v>
      </c>
      <c r="G1155" s="1">
        <v>21</v>
      </c>
      <c r="H1155" s="1">
        <v>0</v>
      </c>
      <c r="I1155" s="1" t="str">
        <f>IF(Table1[[#This Row],[Temperature_F]]&lt;32,"Yes","No")</f>
        <v>Yes</v>
      </c>
      <c r="J1155" s="1" t="str" cm="1">
        <f t="array" ref="J11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55" s="1" t="str" cm="1">
        <f t="array" ref="K1155">_xlfn.IFS(
H1155=0,"No Rain",
H1155&lt;10,"Light",
H1155&lt;50,"Moderate",
TRUE,"Heavy")</f>
        <v>No Rain</v>
      </c>
      <c r="L1155" s="1" t="str">
        <f>IF(Table1[[#This Row],[Precipitation_mm]]&lt;&gt;0,"Wet","Dry")</f>
        <v>Dry</v>
      </c>
      <c r="M1155" t="b">
        <f>OR(ISBLANK(Table1[[#This Row],[Temperature_F]]),ISERROR(Table1[[#This Row],[Temperature_F]]))</f>
        <v>0</v>
      </c>
    </row>
    <row r="1156" spans="1:13" x14ac:dyDescent="0.25">
      <c r="A1156" s="1" t="s">
        <v>1</v>
      </c>
      <c r="B1156" s="1" t="s">
        <v>2</v>
      </c>
      <c r="C1156" s="1">
        <v>42.360599999999998</v>
      </c>
      <c r="D1156" s="1">
        <v>-71.010599999999997</v>
      </c>
      <c r="E1156" s="5">
        <v>41345</v>
      </c>
      <c r="F1156" s="1" t="str">
        <f t="shared" si="18"/>
        <v>March</v>
      </c>
      <c r="G1156" s="1">
        <v>37</v>
      </c>
      <c r="H1156" s="1">
        <v>74</v>
      </c>
      <c r="I1156" s="1" t="str">
        <f>IF(Table1[[#This Row],[Temperature_F]]&lt;32,"Yes","No")</f>
        <v>No</v>
      </c>
      <c r="J1156" s="1" t="str" cm="1">
        <f t="array" ref="J11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56" s="1" t="str" cm="1">
        <f t="array" ref="K1156">_xlfn.IFS(
H1156=0,"No Rain",
H1156&lt;10,"Light",
H1156&lt;50,"Moderate",
TRUE,"Heavy")</f>
        <v>Heavy</v>
      </c>
      <c r="L1156" s="1" t="str">
        <f>IF(Table1[[#This Row],[Precipitation_mm]]&lt;&gt;0,"Wet","Dry")</f>
        <v>Wet</v>
      </c>
      <c r="M1156" t="b">
        <f>OR(ISBLANK(Table1[[#This Row],[Temperature_F]]),ISERROR(Table1[[#This Row],[Temperature_F]]))</f>
        <v>0</v>
      </c>
    </row>
    <row r="1157" spans="1:13" hidden="1" x14ac:dyDescent="0.25">
      <c r="A1157" s="1" t="s">
        <v>1</v>
      </c>
      <c r="B1157" s="1" t="s">
        <v>2</v>
      </c>
      <c r="C1157" s="1">
        <v>42.360599999999998</v>
      </c>
      <c r="D1157" s="1">
        <v>-71.010599999999997</v>
      </c>
      <c r="E1157" s="5">
        <v>41346</v>
      </c>
      <c r="F1157" s="1" t="str">
        <f t="shared" si="18"/>
        <v>March</v>
      </c>
      <c r="G1157" s="1">
        <v>22</v>
      </c>
      <c r="H1157" s="1">
        <v>0</v>
      </c>
      <c r="I1157" s="1" t="str">
        <f>IF(Table1[[#This Row],[Temperature_F]]&lt;32,"Yes","No")</f>
        <v>Yes</v>
      </c>
      <c r="J1157" s="1" t="str" cm="1">
        <f t="array" ref="J11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57" s="1" t="str" cm="1">
        <f t="array" ref="K1157">_xlfn.IFS(
H1157=0,"No Rain",
H1157&lt;10,"Light",
H1157&lt;50,"Moderate",
TRUE,"Heavy")</f>
        <v>No Rain</v>
      </c>
      <c r="L1157" s="1" t="str">
        <f>IF(Table1[[#This Row],[Precipitation_mm]]&lt;&gt;0,"Wet","Dry")</f>
        <v>Dry</v>
      </c>
      <c r="M1157" t="b">
        <f>OR(ISBLANK(Table1[[#This Row],[Temperature_F]]),ISERROR(Table1[[#This Row],[Temperature_F]]))</f>
        <v>0</v>
      </c>
    </row>
    <row r="1158" spans="1:13" x14ac:dyDescent="0.25">
      <c r="A1158" s="1" t="s">
        <v>1</v>
      </c>
      <c r="B1158" s="1" t="s">
        <v>2</v>
      </c>
      <c r="C1158" s="1">
        <v>42.360599999999998</v>
      </c>
      <c r="D1158" s="1">
        <v>-71.010599999999997</v>
      </c>
      <c r="E1158" s="5">
        <v>41347</v>
      </c>
      <c r="F1158" s="1" t="str">
        <f t="shared" si="18"/>
        <v>March</v>
      </c>
      <c r="G1158" s="1">
        <v>35</v>
      </c>
      <c r="H1158" s="1">
        <v>0</v>
      </c>
      <c r="I1158" s="1" t="str">
        <f>IF(Table1[[#This Row],[Temperature_F]]&lt;32,"Yes","No")</f>
        <v>No</v>
      </c>
      <c r="J1158" s="1" t="str" cm="1">
        <f t="array" ref="J11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58" s="1" t="str" cm="1">
        <f t="array" ref="K1158">_xlfn.IFS(
H1158=0,"No Rain",
H1158&lt;10,"Light",
H1158&lt;50,"Moderate",
TRUE,"Heavy")</f>
        <v>No Rain</v>
      </c>
      <c r="L1158" s="1" t="str">
        <f>IF(Table1[[#This Row],[Precipitation_mm]]&lt;&gt;0,"Wet","Dry")</f>
        <v>Dry</v>
      </c>
      <c r="M1158" t="b">
        <f>OR(ISBLANK(Table1[[#This Row],[Temperature_F]]),ISERROR(Table1[[#This Row],[Temperature_F]]))</f>
        <v>0</v>
      </c>
    </row>
    <row r="1159" spans="1:13" hidden="1" x14ac:dyDescent="0.25">
      <c r="A1159" s="1" t="s">
        <v>1</v>
      </c>
      <c r="B1159" s="1" t="s">
        <v>2</v>
      </c>
      <c r="C1159" s="1">
        <v>42.360599999999998</v>
      </c>
      <c r="D1159" s="1">
        <v>-71.010599999999997</v>
      </c>
      <c r="E1159" s="5">
        <v>41348</v>
      </c>
      <c r="F1159" s="1" t="str">
        <f t="shared" si="18"/>
        <v>March</v>
      </c>
      <c r="G1159" s="1">
        <v>10</v>
      </c>
      <c r="H1159" s="1">
        <v>0</v>
      </c>
      <c r="I1159" s="1" t="str">
        <f>IF(Table1[[#This Row],[Temperature_F]]&lt;32,"Yes","No")</f>
        <v>Yes</v>
      </c>
      <c r="J1159" s="1" t="str" cm="1">
        <f t="array" ref="J11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59" s="1" t="str" cm="1">
        <f t="array" ref="K1159">_xlfn.IFS(
H1159=0,"No Rain",
H1159&lt;10,"Light",
H1159&lt;50,"Moderate",
TRUE,"Heavy")</f>
        <v>No Rain</v>
      </c>
      <c r="L1159" s="1" t="str">
        <f>IF(Table1[[#This Row],[Precipitation_mm]]&lt;&gt;0,"Wet","Dry")</f>
        <v>Dry</v>
      </c>
      <c r="M1159" t="b">
        <f>OR(ISBLANK(Table1[[#This Row],[Temperature_F]]),ISERROR(Table1[[#This Row],[Temperature_F]]))</f>
        <v>0</v>
      </c>
    </row>
    <row r="1160" spans="1:13" hidden="1" x14ac:dyDescent="0.25">
      <c r="A1160" s="1" t="s">
        <v>1</v>
      </c>
      <c r="B1160" s="1" t="s">
        <v>2</v>
      </c>
      <c r="C1160" s="1">
        <v>42.360599999999998</v>
      </c>
      <c r="D1160" s="1">
        <v>-71.010599999999997</v>
      </c>
      <c r="E1160" s="5">
        <v>41349</v>
      </c>
      <c r="F1160" s="1" t="str">
        <f t="shared" si="18"/>
        <v>March</v>
      </c>
      <c r="G1160" s="1">
        <v>28</v>
      </c>
      <c r="H1160" s="1">
        <v>0</v>
      </c>
      <c r="I1160" s="1" t="str">
        <f>IF(Table1[[#This Row],[Temperature_F]]&lt;32,"Yes","No")</f>
        <v>Yes</v>
      </c>
      <c r="J1160" s="1" t="str" cm="1">
        <f t="array" ref="J11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0" s="1" t="str" cm="1">
        <f t="array" ref="K1160">_xlfn.IFS(
H1160=0,"No Rain",
H1160&lt;10,"Light",
H1160&lt;50,"Moderate",
TRUE,"Heavy")</f>
        <v>No Rain</v>
      </c>
      <c r="L1160" s="1" t="str">
        <f>IF(Table1[[#This Row],[Precipitation_mm]]&lt;&gt;0,"Wet","Dry")</f>
        <v>Dry</v>
      </c>
      <c r="M1160" t="b">
        <f>OR(ISBLANK(Table1[[#This Row],[Temperature_F]]),ISERROR(Table1[[#This Row],[Temperature_F]]))</f>
        <v>0</v>
      </c>
    </row>
    <row r="1161" spans="1:13" hidden="1" x14ac:dyDescent="0.25">
      <c r="A1161" s="1" t="s">
        <v>1</v>
      </c>
      <c r="B1161" s="1" t="s">
        <v>2</v>
      </c>
      <c r="C1161" s="1">
        <v>42.360599999999998</v>
      </c>
      <c r="D1161" s="1">
        <v>-71.010599999999997</v>
      </c>
      <c r="E1161" s="5">
        <v>41350</v>
      </c>
      <c r="F1161" s="1" t="str">
        <f t="shared" si="18"/>
        <v>March</v>
      </c>
      <c r="G1161" s="1">
        <v>28</v>
      </c>
      <c r="H1161" s="1">
        <v>0</v>
      </c>
      <c r="I1161" s="1" t="str">
        <f>IF(Table1[[#This Row],[Temperature_F]]&lt;32,"Yes","No")</f>
        <v>Yes</v>
      </c>
      <c r="J1161" s="1" t="str" cm="1">
        <f t="array" ref="J11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1" s="1" t="str" cm="1">
        <f t="array" ref="K1161">_xlfn.IFS(
H1161=0,"No Rain",
H1161&lt;10,"Light",
H1161&lt;50,"Moderate",
TRUE,"Heavy")</f>
        <v>No Rain</v>
      </c>
      <c r="L1161" s="1" t="str">
        <f>IF(Table1[[#This Row],[Precipitation_mm]]&lt;&gt;0,"Wet","Dry")</f>
        <v>Dry</v>
      </c>
      <c r="M1161" t="b">
        <f>OR(ISBLANK(Table1[[#This Row],[Temperature_F]]),ISERROR(Table1[[#This Row],[Temperature_F]]))</f>
        <v>0</v>
      </c>
    </row>
    <row r="1162" spans="1:13" hidden="1" x14ac:dyDescent="0.25">
      <c r="A1162" s="1" t="s">
        <v>1</v>
      </c>
      <c r="B1162" s="1" t="s">
        <v>2</v>
      </c>
      <c r="C1162" s="1">
        <v>42.360599999999998</v>
      </c>
      <c r="D1162" s="1">
        <v>-71.010599999999997</v>
      </c>
      <c r="E1162" s="5">
        <v>41351</v>
      </c>
      <c r="F1162" s="1" t="str">
        <f t="shared" si="18"/>
        <v>March</v>
      </c>
      <c r="G1162" s="1">
        <v>22</v>
      </c>
      <c r="H1162" s="1">
        <v>30</v>
      </c>
      <c r="I1162" s="1" t="str">
        <f>IF(Table1[[#This Row],[Temperature_F]]&lt;32,"Yes","No")</f>
        <v>Yes</v>
      </c>
      <c r="J1162" s="1" t="str" cm="1">
        <f t="array" ref="J11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2" s="1" t="str" cm="1">
        <f t="array" ref="K1162">_xlfn.IFS(
H1162=0,"No Rain",
H1162&lt;10,"Light",
H1162&lt;50,"Moderate",
TRUE,"Heavy")</f>
        <v>Moderate</v>
      </c>
      <c r="L1162" s="1" t="str">
        <f>IF(Table1[[#This Row],[Precipitation_mm]]&lt;&gt;0,"Wet","Dry")</f>
        <v>Wet</v>
      </c>
      <c r="M1162" t="b">
        <f>OR(ISBLANK(Table1[[#This Row],[Temperature_F]]),ISERROR(Table1[[#This Row],[Temperature_F]]))</f>
        <v>0</v>
      </c>
    </row>
    <row r="1163" spans="1:13" x14ac:dyDescent="0.25">
      <c r="A1163" s="1" t="s">
        <v>1</v>
      </c>
      <c r="B1163" s="1" t="s">
        <v>2</v>
      </c>
      <c r="C1163" s="1">
        <v>42.360599999999998</v>
      </c>
      <c r="D1163" s="1">
        <v>-71.010599999999997</v>
      </c>
      <c r="E1163" s="5">
        <v>41352</v>
      </c>
      <c r="F1163" s="1" t="str">
        <f t="shared" si="18"/>
        <v>March</v>
      </c>
      <c r="G1163" s="1">
        <v>44</v>
      </c>
      <c r="H1163" s="1">
        <v>343</v>
      </c>
      <c r="I1163" s="1" t="str">
        <f>IF(Table1[[#This Row],[Temperature_F]]&lt;32,"Yes","No")</f>
        <v>No</v>
      </c>
      <c r="J1163" s="1" t="str" cm="1">
        <f t="array" ref="J11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63" s="1" t="str" cm="1">
        <f t="array" ref="K1163">_xlfn.IFS(
H1163=0,"No Rain",
H1163&lt;10,"Light",
H1163&lt;50,"Moderate",
TRUE,"Heavy")</f>
        <v>Heavy</v>
      </c>
      <c r="L1163" s="1" t="str">
        <f>IF(Table1[[#This Row],[Precipitation_mm]]&lt;&gt;0,"Wet","Dry")</f>
        <v>Wet</v>
      </c>
      <c r="M1163" t="b">
        <f>OR(ISBLANK(Table1[[#This Row],[Temperature_F]]),ISERROR(Table1[[#This Row],[Temperature_F]]))</f>
        <v>0</v>
      </c>
    </row>
    <row r="1164" spans="1:13" hidden="1" x14ac:dyDescent="0.25">
      <c r="A1164" s="1" t="s">
        <v>1</v>
      </c>
      <c r="B1164" s="1" t="s">
        <v>2</v>
      </c>
      <c r="C1164" s="1">
        <v>42.360599999999998</v>
      </c>
      <c r="D1164" s="1">
        <v>-71.010599999999997</v>
      </c>
      <c r="E1164" s="5">
        <v>41353</v>
      </c>
      <c r="F1164" s="1" t="str">
        <f t="shared" si="18"/>
        <v>March</v>
      </c>
      <c r="G1164" s="1">
        <v>18</v>
      </c>
      <c r="H1164" s="1">
        <v>0</v>
      </c>
      <c r="I1164" s="1" t="str">
        <f>IF(Table1[[#This Row],[Temperature_F]]&lt;32,"Yes","No")</f>
        <v>Yes</v>
      </c>
      <c r="J1164" s="1" t="str" cm="1">
        <f t="array" ref="J11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4" s="1" t="str" cm="1">
        <f t="array" ref="K1164">_xlfn.IFS(
H1164=0,"No Rain",
H1164&lt;10,"Light",
H1164&lt;50,"Moderate",
TRUE,"Heavy")</f>
        <v>No Rain</v>
      </c>
      <c r="L1164" s="1" t="str">
        <f>IF(Table1[[#This Row],[Precipitation_mm]]&lt;&gt;0,"Wet","Dry")</f>
        <v>Dry</v>
      </c>
      <c r="M1164" t="b">
        <f>OR(ISBLANK(Table1[[#This Row],[Temperature_F]]),ISERROR(Table1[[#This Row],[Temperature_F]]))</f>
        <v>0</v>
      </c>
    </row>
    <row r="1165" spans="1:13" hidden="1" x14ac:dyDescent="0.25">
      <c r="A1165" s="1" t="s">
        <v>1</v>
      </c>
      <c r="B1165" s="1" t="s">
        <v>2</v>
      </c>
      <c r="C1165" s="1">
        <v>42.360599999999998</v>
      </c>
      <c r="D1165" s="1">
        <v>-71.010599999999997</v>
      </c>
      <c r="E1165" s="5">
        <v>41354</v>
      </c>
      <c r="F1165" s="1" t="str">
        <f t="shared" si="18"/>
        <v>March</v>
      </c>
      <c r="G1165" s="1">
        <v>20</v>
      </c>
      <c r="H1165" s="1">
        <v>5</v>
      </c>
      <c r="I1165" s="1" t="str">
        <f>IF(Table1[[#This Row],[Temperature_F]]&lt;32,"Yes","No")</f>
        <v>Yes</v>
      </c>
      <c r="J1165" s="1" t="str" cm="1">
        <f t="array" ref="J11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5" s="1" t="str" cm="1">
        <f t="array" ref="K1165">_xlfn.IFS(
H1165=0,"No Rain",
H1165&lt;10,"Light",
H1165&lt;50,"Moderate",
TRUE,"Heavy")</f>
        <v>Light</v>
      </c>
      <c r="L1165" s="1" t="str">
        <f>IF(Table1[[#This Row],[Precipitation_mm]]&lt;&gt;0,"Wet","Dry")</f>
        <v>Wet</v>
      </c>
      <c r="M1165" t="b">
        <f>OR(ISBLANK(Table1[[#This Row],[Temperature_F]]),ISERROR(Table1[[#This Row],[Temperature_F]]))</f>
        <v>0</v>
      </c>
    </row>
    <row r="1166" spans="1:13" hidden="1" x14ac:dyDescent="0.25">
      <c r="A1166" s="1" t="s">
        <v>1</v>
      </c>
      <c r="B1166" s="1" t="s">
        <v>2</v>
      </c>
      <c r="C1166" s="1">
        <v>42.360599999999998</v>
      </c>
      <c r="D1166" s="1">
        <v>-71.010599999999997</v>
      </c>
      <c r="E1166" s="5">
        <v>41355</v>
      </c>
      <c r="F1166" s="1" t="str">
        <f t="shared" si="18"/>
        <v>March</v>
      </c>
      <c r="G1166" s="1">
        <v>21</v>
      </c>
      <c r="H1166" s="1">
        <v>0</v>
      </c>
      <c r="I1166" s="1" t="str">
        <f>IF(Table1[[#This Row],[Temperature_F]]&lt;32,"Yes","No")</f>
        <v>Yes</v>
      </c>
      <c r="J1166" s="1" t="str" cm="1">
        <f t="array" ref="J11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6" s="1" t="str" cm="1">
        <f t="array" ref="K1166">_xlfn.IFS(
H1166=0,"No Rain",
H1166&lt;10,"Light",
H1166&lt;50,"Moderate",
TRUE,"Heavy")</f>
        <v>No Rain</v>
      </c>
      <c r="L1166" s="1" t="str">
        <f>IF(Table1[[#This Row],[Precipitation_mm]]&lt;&gt;0,"Wet","Dry")</f>
        <v>Dry</v>
      </c>
      <c r="M1166" t="b">
        <f>OR(ISBLANK(Table1[[#This Row],[Temperature_F]]),ISERROR(Table1[[#This Row],[Temperature_F]]))</f>
        <v>0</v>
      </c>
    </row>
    <row r="1167" spans="1:13" x14ac:dyDescent="0.25">
      <c r="A1167" s="1" t="s">
        <v>1</v>
      </c>
      <c r="B1167" s="1" t="s">
        <v>2</v>
      </c>
      <c r="C1167" s="1">
        <v>42.360599999999998</v>
      </c>
      <c r="D1167" s="1">
        <v>-71.010599999999997</v>
      </c>
      <c r="E1167" s="5">
        <v>41356</v>
      </c>
      <c r="F1167" s="1" t="str">
        <f t="shared" si="18"/>
        <v>March</v>
      </c>
      <c r="G1167" s="1">
        <v>42</v>
      </c>
      <c r="H1167" s="1">
        <v>0</v>
      </c>
      <c r="I1167" s="1" t="str">
        <f>IF(Table1[[#This Row],[Temperature_F]]&lt;32,"Yes","No")</f>
        <v>No</v>
      </c>
      <c r="J1167" s="1" t="str" cm="1">
        <f t="array" ref="J11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67" s="1" t="str" cm="1">
        <f t="array" ref="K1167">_xlfn.IFS(
H1167=0,"No Rain",
H1167&lt;10,"Light",
H1167&lt;50,"Moderate",
TRUE,"Heavy")</f>
        <v>No Rain</v>
      </c>
      <c r="L1167" s="1" t="str">
        <f>IF(Table1[[#This Row],[Precipitation_mm]]&lt;&gt;0,"Wet","Dry")</f>
        <v>Dry</v>
      </c>
      <c r="M1167" t="b">
        <f>OR(ISBLANK(Table1[[#This Row],[Temperature_F]]),ISERROR(Table1[[#This Row],[Temperature_F]]))</f>
        <v>0</v>
      </c>
    </row>
    <row r="1168" spans="1:13" hidden="1" x14ac:dyDescent="0.25">
      <c r="A1168" s="1" t="s">
        <v>1</v>
      </c>
      <c r="B1168" s="1" t="s">
        <v>2</v>
      </c>
      <c r="C1168" s="1">
        <v>42.360599999999998</v>
      </c>
      <c r="D1168" s="1">
        <v>-71.010599999999997</v>
      </c>
      <c r="E1168" s="5">
        <v>41357</v>
      </c>
      <c r="F1168" s="1" t="str">
        <f t="shared" si="18"/>
        <v>March</v>
      </c>
      <c r="G1168" s="1">
        <v>16</v>
      </c>
      <c r="H1168" s="1">
        <v>0</v>
      </c>
      <c r="I1168" s="1" t="str">
        <f>IF(Table1[[#This Row],[Temperature_F]]&lt;32,"Yes","No")</f>
        <v>Yes</v>
      </c>
      <c r="J1168" s="1" t="str" cm="1">
        <f t="array" ref="J11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68" s="1" t="str" cm="1">
        <f t="array" ref="K1168">_xlfn.IFS(
H1168=0,"No Rain",
H1168&lt;10,"Light",
H1168&lt;50,"Moderate",
TRUE,"Heavy")</f>
        <v>No Rain</v>
      </c>
      <c r="L1168" s="1" t="str">
        <f>IF(Table1[[#This Row],[Precipitation_mm]]&lt;&gt;0,"Wet","Dry")</f>
        <v>Dry</v>
      </c>
      <c r="M1168" t="b">
        <f>OR(ISBLANK(Table1[[#This Row],[Temperature_F]]),ISERROR(Table1[[#This Row],[Temperature_F]]))</f>
        <v>0</v>
      </c>
    </row>
    <row r="1169" spans="1:13" x14ac:dyDescent="0.25">
      <c r="A1169" s="1" t="s">
        <v>1</v>
      </c>
      <c r="B1169" s="1" t="s">
        <v>2</v>
      </c>
      <c r="C1169" s="1">
        <v>42.360599999999998</v>
      </c>
      <c r="D1169" s="1">
        <v>-71.010599999999997</v>
      </c>
      <c r="E1169" s="5">
        <v>41358</v>
      </c>
      <c r="F1169" s="1" t="str">
        <f t="shared" si="18"/>
        <v>March</v>
      </c>
      <c r="G1169" s="1">
        <v>40</v>
      </c>
      <c r="H1169" s="1">
        <v>0</v>
      </c>
      <c r="I1169" s="1" t="str">
        <f>IF(Table1[[#This Row],[Temperature_F]]&lt;32,"Yes","No")</f>
        <v>No</v>
      </c>
      <c r="J1169" s="1" t="str" cm="1">
        <f t="array" ref="J11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69" s="1" t="str" cm="1">
        <f t="array" ref="K1169">_xlfn.IFS(
H1169=0,"No Rain",
H1169&lt;10,"Light",
H1169&lt;50,"Moderate",
TRUE,"Heavy")</f>
        <v>No Rain</v>
      </c>
      <c r="L1169" s="1" t="str">
        <f>IF(Table1[[#This Row],[Precipitation_mm]]&lt;&gt;0,"Wet","Dry")</f>
        <v>Dry</v>
      </c>
      <c r="M1169" t="b">
        <f>OR(ISBLANK(Table1[[#This Row],[Temperature_F]]),ISERROR(Table1[[#This Row],[Temperature_F]]))</f>
        <v>0</v>
      </c>
    </row>
    <row r="1170" spans="1:13" hidden="1" x14ac:dyDescent="0.25">
      <c r="A1170" s="1" t="s">
        <v>1</v>
      </c>
      <c r="B1170" s="1" t="s">
        <v>2</v>
      </c>
      <c r="C1170" s="1">
        <v>42.360599999999998</v>
      </c>
      <c r="D1170" s="1">
        <v>-71.010599999999997</v>
      </c>
      <c r="E1170" s="5">
        <v>41359</v>
      </c>
      <c r="F1170" s="1" t="str">
        <f t="shared" si="18"/>
        <v>March</v>
      </c>
      <c r="G1170" s="1">
        <v>15</v>
      </c>
      <c r="H1170" s="1">
        <v>13</v>
      </c>
      <c r="I1170" s="1" t="str">
        <f>IF(Table1[[#This Row],[Temperature_F]]&lt;32,"Yes","No")</f>
        <v>Yes</v>
      </c>
      <c r="J1170" s="1" t="str" cm="1">
        <f t="array" ref="J11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70" s="1" t="str" cm="1">
        <f t="array" ref="K1170">_xlfn.IFS(
H1170=0,"No Rain",
H1170&lt;10,"Light",
H1170&lt;50,"Moderate",
TRUE,"Heavy")</f>
        <v>Moderate</v>
      </c>
      <c r="L1170" s="1" t="str">
        <f>IF(Table1[[#This Row],[Precipitation_mm]]&lt;&gt;0,"Wet","Dry")</f>
        <v>Wet</v>
      </c>
      <c r="M1170" t="b">
        <f>OR(ISBLANK(Table1[[#This Row],[Temperature_F]]),ISERROR(Table1[[#This Row],[Temperature_F]]))</f>
        <v>0</v>
      </c>
    </row>
    <row r="1171" spans="1:13" x14ac:dyDescent="0.25">
      <c r="A1171" s="1" t="s">
        <v>1</v>
      </c>
      <c r="B1171" s="1" t="s">
        <v>2</v>
      </c>
      <c r="C1171" s="1">
        <v>42.360599999999998</v>
      </c>
      <c r="D1171" s="1">
        <v>-71.010599999999997</v>
      </c>
      <c r="E1171" s="5">
        <v>41360</v>
      </c>
      <c r="F1171" s="1" t="str">
        <f t="shared" si="18"/>
        <v>March</v>
      </c>
      <c r="G1171" s="1">
        <v>44</v>
      </c>
      <c r="H1171" s="1">
        <v>0</v>
      </c>
      <c r="I1171" s="1" t="str">
        <f>IF(Table1[[#This Row],[Temperature_F]]&lt;32,"Yes","No")</f>
        <v>No</v>
      </c>
      <c r="J1171" s="1" t="str" cm="1">
        <f t="array" ref="J11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71" s="1" t="str" cm="1">
        <f t="array" ref="K1171">_xlfn.IFS(
H1171=0,"No Rain",
H1171&lt;10,"Light",
H1171&lt;50,"Moderate",
TRUE,"Heavy")</f>
        <v>No Rain</v>
      </c>
      <c r="L1171" s="1" t="str">
        <f>IF(Table1[[#This Row],[Precipitation_mm]]&lt;&gt;0,"Wet","Dry")</f>
        <v>Dry</v>
      </c>
      <c r="M1171" t="b">
        <f>OR(ISBLANK(Table1[[#This Row],[Temperature_F]]),ISERROR(Table1[[#This Row],[Temperature_F]]))</f>
        <v>0</v>
      </c>
    </row>
    <row r="1172" spans="1:13" x14ac:dyDescent="0.25">
      <c r="A1172" s="1" t="s">
        <v>1</v>
      </c>
      <c r="B1172" s="1" t="s">
        <v>2</v>
      </c>
      <c r="C1172" s="1">
        <v>42.360599999999998</v>
      </c>
      <c r="D1172" s="1">
        <v>-71.010599999999997</v>
      </c>
      <c r="E1172" s="5">
        <v>41361</v>
      </c>
      <c r="F1172" s="1" t="str">
        <f t="shared" si="18"/>
        <v>March</v>
      </c>
      <c r="G1172" s="1">
        <v>37</v>
      </c>
      <c r="H1172" s="1">
        <v>0</v>
      </c>
      <c r="I1172" s="1" t="str">
        <f>IF(Table1[[#This Row],[Temperature_F]]&lt;32,"Yes","No")</f>
        <v>No</v>
      </c>
      <c r="J1172" s="1" t="str" cm="1">
        <f t="array" ref="J11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72" s="1" t="str" cm="1">
        <f t="array" ref="K1172">_xlfn.IFS(
H1172=0,"No Rain",
H1172&lt;10,"Light",
H1172&lt;50,"Moderate",
TRUE,"Heavy")</f>
        <v>No Rain</v>
      </c>
      <c r="L1172" s="1" t="str">
        <f>IF(Table1[[#This Row],[Precipitation_mm]]&lt;&gt;0,"Wet","Dry")</f>
        <v>Dry</v>
      </c>
      <c r="M1172" t="b">
        <f>OR(ISBLANK(Table1[[#This Row],[Temperature_F]]),ISERROR(Table1[[#This Row],[Temperature_F]]))</f>
        <v>0</v>
      </c>
    </row>
    <row r="1173" spans="1:13" hidden="1" x14ac:dyDescent="0.25">
      <c r="A1173" s="1" t="s">
        <v>1</v>
      </c>
      <c r="B1173" s="1" t="s">
        <v>2</v>
      </c>
      <c r="C1173" s="1">
        <v>42.360599999999998</v>
      </c>
      <c r="D1173" s="1">
        <v>-71.010599999999997</v>
      </c>
      <c r="E1173" s="5">
        <v>41362</v>
      </c>
      <c r="F1173" s="1" t="str">
        <f t="shared" si="18"/>
        <v>March</v>
      </c>
      <c r="G1173" s="1">
        <v>21</v>
      </c>
      <c r="H1173" s="1">
        <v>3</v>
      </c>
      <c r="I1173" s="1" t="str">
        <f>IF(Table1[[#This Row],[Temperature_F]]&lt;32,"Yes","No")</f>
        <v>Yes</v>
      </c>
      <c r="J1173" s="1" t="str" cm="1">
        <f t="array" ref="J11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73" s="1" t="str" cm="1">
        <f t="array" ref="K1173">_xlfn.IFS(
H1173=0,"No Rain",
H1173&lt;10,"Light",
H1173&lt;50,"Moderate",
TRUE,"Heavy")</f>
        <v>Light</v>
      </c>
      <c r="L1173" s="1" t="str">
        <f>IF(Table1[[#This Row],[Precipitation_mm]]&lt;&gt;0,"Wet","Dry")</f>
        <v>Wet</v>
      </c>
      <c r="M1173" t="b">
        <f>OR(ISBLANK(Table1[[#This Row],[Temperature_F]]),ISERROR(Table1[[#This Row],[Temperature_F]]))</f>
        <v>0</v>
      </c>
    </row>
    <row r="1174" spans="1:13" hidden="1" x14ac:dyDescent="0.25">
      <c r="A1174" s="1" t="s">
        <v>1</v>
      </c>
      <c r="B1174" s="1" t="s">
        <v>2</v>
      </c>
      <c r="C1174" s="1">
        <v>42.360599999999998</v>
      </c>
      <c r="D1174" s="1">
        <v>-71.010599999999997</v>
      </c>
      <c r="E1174" s="5">
        <v>41363</v>
      </c>
      <c r="F1174" s="1" t="str">
        <f t="shared" si="18"/>
        <v>March</v>
      </c>
      <c r="G1174" s="1">
        <v>11</v>
      </c>
      <c r="H1174" s="1">
        <v>0</v>
      </c>
      <c r="I1174" s="1" t="str">
        <f>IF(Table1[[#This Row],[Temperature_F]]&lt;32,"Yes","No")</f>
        <v>Yes</v>
      </c>
      <c r="J1174" s="1" t="str" cm="1">
        <f t="array" ref="J11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74" s="1" t="str" cm="1">
        <f t="array" ref="K1174">_xlfn.IFS(
H1174=0,"No Rain",
H1174&lt;10,"Light",
H1174&lt;50,"Moderate",
TRUE,"Heavy")</f>
        <v>No Rain</v>
      </c>
      <c r="L1174" s="1" t="str">
        <f>IF(Table1[[#This Row],[Precipitation_mm]]&lt;&gt;0,"Wet","Dry")</f>
        <v>Dry</v>
      </c>
      <c r="M1174" t="b">
        <f>OR(ISBLANK(Table1[[#This Row],[Temperature_F]]),ISERROR(Table1[[#This Row],[Temperature_F]]))</f>
        <v>0</v>
      </c>
    </row>
    <row r="1175" spans="1:13" hidden="1" x14ac:dyDescent="0.25">
      <c r="A1175" s="1" t="s">
        <v>1</v>
      </c>
      <c r="B1175" s="1" t="s">
        <v>2</v>
      </c>
      <c r="C1175" s="1">
        <v>42.360599999999998</v>
      </c>
      <c r="D1175" s="1">
        <v>-71.010599999999997</v>
      </c>
      <c r="E1175" s="5">
        <v>41364</v>
      </c>
      <c r="F1175" s="1" t="str">
        <f t="shared" si="18"/>
        <v>March</v>
      </c>
      <c r="G1175" s="1">
        <v>32</v>
      </c>
      <c r="H1175" s="1">
        <v>8</v>
      </c>
      <c r="I1175" s="1" t="str">
        <f>IF(Table1[[#This Row],[Temperature_F]]&lt;32,"Yes","No")</f>
        <v>No</v>
      </c>
      <c r="J1175" s="1" t="str" cm="1">
        <f t="array" ref="J11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175" s="1" t="str" cm="1">
        <f t="array" ref="K1175">_xlfn.IFS(
H1175=0,"No Rain",
H1175&lt;10,"Light",
H1175&lt;50,"Moderate",
TRUE,"Heavy")</f>
        <v>Light</v>
      </c>
      <c r="L1175" s="1" t="str">
        <f>IF(Table1[[#This Row],[Precipitation_mm]]&lt;&gt;0,"Wet","Dry")</f>
        <v>Wet</v>
      </c>
      <c r="M1175" t="b">
        <f>OR(ISBLANK(Table1[[#This Row],[Temperature_F]]),ISERROR(Table1[[#This Row],[Temperature_F]]))</f>
        <v>0</v>
      </c>
    </row>
    <row r="1176" spans="1:13" hidden="1" x14ac:dyDescent="0.25">
      <c r="A1176" s="1" t="s">
        <v>1</v>
      </c>
      <c r="B1176" s="1" t="s">
        <v>2</v>
      </c>
      <c r="C1176" s="1">
        <v>42.360599999999998</v>
      </c>
      <c r="D1176" s="1">
        <v>-71.010599999999997</v>
      </c>
      <c r="E1176" s="5">
        <v>41365</v>
      </c>
      <c r="F1176" s="1" t="str">
        <f t="shared" si="18"/>
        <v>April</v>
      </c>
      <c r="G1176" s="1">
        <v>60</v>
      </c>
      <c r="H1176" s="1">
        <v>30</v>
      </c>
      <c r="I1176" s="1" t="str">
        <f>IF(Table1[[#This Row],[Temperature_F]]&lt;32,"Yes","No")</f>
        <v>No</v>
      </c>
      <c r="J1176" s="1" t="str" cm="1">
        <f t="array" ref="J11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76" s="1" t="str" cm="1">
        <f t="array" ref="K1176">_xlfn.IFS(
H1176=0,"No Rain",
H1176&lt;10,"Light",
H1176&lt;50,"Moderate",
TRUE,"Heavy")</f>
        <v>Moderate</v>
      </c>
      <c r="L1176" s="1" t="str">
        <f>IF(Table1[[#This Row],[Precipitation_mm]]&lt;&gt;0,"Wet","Dry")</f>
        <v>Wet</v>
      </c>
      <c r="M1176" t="b">
        <f>OR(ISBLANK(Table1[[#This Row],[Temperature_F]]),ISERROR(Table1[[#This Row],[Temperature_F]]))</f>
        <v>0</v>
      </c>
    </row>
    <row r="1177" spans="1:13" hidden="1" x14ac:dyDescent="0.25">
      <c r="A1177" s="1" t="s">
        <v>1</v>
      </c>
      <c r="B1177" s="1" t="s">
        <v>2</v>
      </c>
      <c r="C1177" s="1">
        <v>42.360599999999998</v>
      </c>
      <c r="D1177" s="1">
        <v>-71.010599999999997</v>
      </c>
      <c r="E1177" s="5">
        <v>41366</v>
      </c>
      <c r="F1177" s="1" t="str">
        <f t="shared" si="18"/>
        <v>April</v>
      </c>
      <c r="G1177" s="1">
        <v>51</v>
      </c>
      <c r="H1177" s="1">
        <v>0</v>
      </c>
      <c r="I1177" s="1" t="str">
        <f>IF(Table1[[#This Row],[Temperature_F]]&lt;32,"Yes","No")</f>
        <v>No</v>
      </c>
      <c r="J1177" s="1" t="str" cm="1">
        <f t="array" ref="J11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77" s="1" t="str" cm="1">
        <f t="array" ref="K1177">_xlfn.IFS(
H1177=0,"No Rain",
H1177&lt;10,"Light",
H1177&lt;50,"Moderate",
TRUE,"Heavy")</f>
        <v>No Rain</v>
      </c>
      <c r="L1177" s="1" t="str">
        <f>IF(Table1[[#This Row],[Precipitation_mm]]&lt;&gt;0,"Wet","Dry")</f>
        <v>Dry</v>
      </c>
      <c r="M1177" t="b">
        <f>OR(ISBLANK(Table1[[#This Row],[Temperature_F]]),ISERROR(Table1[[#This Row],[Temperature_F]]))</f>
        <v>0</v>
      </c>
    </row>
    <row r="1178" spans="1:13" x14ac:dyDescent="0.25">
      <c r="A1178" s="1" t="s">
        <v>1</v>
      </c>
      <c r="B1178" s="1" t="s">
        <v>2</v>
      </c>
      <c r="C1178" s="1">
        <v>42.360599999999998</v>
      </c>
      <c r="D1178" s="1">
        <v>-71.010599999999997</v>
      </c>
      <c r="E1178" s="5">
        <v>41367</v>
      </c>
      <c r="F1178" s="1" t="str">
        <f t="shared" si="18"/>
        <v>April</v>
      </c>
      <c r="G1178" s="1">
        <v>46</v>
      </c>
      <c r="H1178" s="1">
        <v>0</v>
      </c>
      <c r="I1178" s="1" t="str">
        <f>IF(Table1[[#This Row],[Temperature_F]]&lt;32,"Yes","No")</f>
        <v>No</v>
      </c>
      <c r="J1178" s="1" t="str" cm="1">
        <f t="array" ref="J11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78" s="1" t="str" cm="1">
        <f t="array" ref="K1178">_xlfn.IFS(
H1178=0,"No Rain",
H1178&lt;10,"Light",
H1178&lt;50,"Moderate",
TRUE,"Heavy")</f>
        <v>No Rain</v>
      </c>
      <c r="L1178" s="1" t="str">
        <f>IF(Table1[[#This Row],[Precipitation_mm]]&lt;&gt;0,"Wet","Dry")</f>
        <v>Dry</v>
      </c>
      <c r="M1178" t="b">
        <f>OR(ISBLANK(Table1[[#This Row],[Temperature_F]]),ISERROR(Table1[[#This Row],[Temperature_F]]))</f>
        <v>0</v>
      </c>
    </row>
    <row r="1179" spans="1:13" x14ac:dyDescent="0.25">
      <c r="A1179" s="1" t="s">
        <v>1</v>
      </c>
      <c r="B1179" s="1" t="s">
        <v>2</v>
      </c>
      <c r="C1179" s="1">
        <v>42.360599999999998</v>
      </c>
      <c r="D1179" s="1">
        <v>-71.010599999999997</v>
      </c>
      <c r="E1179" s="5">
        <v>41368</v>
      </c>
      <c r="F1179" s="1" t="str">
        <f t="shared" si="18"/>
        <v>April</v>
      </c>
      <c r="G1179" s="1">
        <v>42</v>
      </c>
      <c r="H1179" s="1">
        <v>0</v>
      </c>
      <c r="I1179" s="1" t="str">
        <f>IF(Table1[[#This Row],[Temperature_F]]&lt;32,"Yes","No")</f>
        <v>No</v>
      </c>
      <c r="J1179" s="1" t="str" cm="1">
        <f t="array" ref="J11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79" s="1" t="str" cm="1">
        <f t="array" ref="K1179">_xlfn.IFS(
H1179=0,"No Rain",
H1179&lt;10,"Light",
H1179&lt;50,"Moderate",
TRUE,"Heavy")</f>
        <v>No Rain</v>
      </c>
      <c r="L1179" s="1" t="str">
        <f>IF(Table1[[#This Row],[Precipitation_mm]]&lt;&gt;0,"Wet","Dry")</f>
        <v>Dry</v>
      </c>
      <c r="M1179" t="b">
        <f>OR(ISBLANK(Table1[[#This Row],[Temperature_F]]),ISERROR(Table1[[#This Row],[Temperature_F]]))</f>
        <v>0</v>
      </c>
    </row>
    <row r="1180" spans="1:13" hidden="1" x14ac:dyDescent="0.25">
      <c r="A1180" s="1" t="s">
        <v>1</v>
      </c>
      <c r="B1180" s="1" t="s">
        <v>2</v>
      </c>
      <c r="C1180" s="1">
        <v>42.360599999999998</v>
      </c>
      <c r="D1180" s="1">
        <v>-71.010599999999997</v>
      </c>
      <c r="E1180" s="5">
        <v>41369</v>
      </c>
      <c r="F1180" s="1" t="str">
        <f t="shared" si="18"/>
        <v>April</v>
      </c>
      <c r="G1180" s="1">
        <v>54</v>
      </c>
      <c r="H1180" s="1">
        <v>0</v>
      </c>
      <c r="I1180" s="1" t="str">
        <f>IF(Table1[[#This Row],[Temperature_F]]&lt;32,"Yes","No")</f>
        <v>No</v>
      </c>
      <c r="J1180" s="1" t="str" cm="1">
        <f t="array" ref="J11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0" s="1" t="str" cm="1">
        <f t="array" ref="K1180">_xlfn.IFS(
H1180=0,"No Rain",
H1180&lt;10,"Light",
H1180&lt;50,"Moderate",
TRUE,"Heavy")</f>
        <v>No Rain</v>
      </c>
      <c r="L1180" s="1" t="str">
        <f>IF(Table1[[#This Row],[Precipitation_mm]]&lt;&gt;0,"Wet","Dry")</f>
        <v>Dry</v>
      </c>
      <c r="M1180" t="b">
        <f>OR(ISBLANK(Table1[[#This Row],[Temperature_F]]),ISERROR(Table1[[#This Row],[Temperature_F]]))</f>
        <v>0</v>
      </c>
    </row>
    <row r="1181" spans="1:13" hidden="1" x14ac:dyDescent="0.25">
      <c r="A1181" s="1" t="s">
        <v>1</v>
      </c>
      <c r="B1181" s="1" t="s">
        <v>2</v>
      </c>
      <c r="C1181" s="1">
        <v>42.360599999999998</v>
      </c>
      <c r="D1181" s="1">
        <v>-71.010599999999997</v>
      </c>
      <c r="E1181" s="5">
        <v>41370</v>
      </c>
      <c r="F1181" s="1" t="str">
        <f t="shared" si="18"/>
        <v>April</v>
      </c>
      <c r="G1181" s="1">
        <v>60</v>
      </c>
      <c r="H1181" s="1">
        <v>0</v>
      </c>
      <c r="I1181" s="1" t="str">
        <f>IF(Table1[[#This Row],[Temperature_F]]&lt;32,"Yes","No")</f>
        <v>No</v>
      </c>
      <c r="J1181" s="1" t="str" cm="1">
        <f t="array" ref="J11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1" s="1" t="str" cm="1">
        <f t="array" ref="K1181">_xlfn.IFS(
H1181=0,"No Rain",
H1181&lt;10,"Light",
H1181&lt;50,"Moderate",
TRUE,"Heavy")</f>
        <v>No Rain</v>
      </c>
      <c r="L1181" s="1" t="str">
        <f>IF(Table1[[#This Row],[Precipitation_mm]]&lt;&gt;0,"Wet","Dry")</f>
        <v>Dry</v>
      </c>
      <c r="M1181" t="b">
        <f>OR(ISBLANK(Table1[[#This Row],[Temperature_F]]),ISERROR(Table1[[#This Row],[Temperature_F]]))</f>
        <v>0</v>
      </c>
    </row>
    <row r="1182" spans="1:13" hidden="1" x14ac:dyDescent="0.25">
      <c r="A1182" s="1" t="s">
        <v>1</v>
      </c>
      <c r="B1182" s="1" t="s">
        <v>2</v>
      </c>
      <c r="C1182" s="1">
        <v>42.360599999999998</v>
      </c>
      <c r="D1182" s="1">
        <v>-71.010599999999997</v>
      </c>
      <c r="E1182" s="5">
        <v>41371</v>
      </c>
      <c r="F1182" s="1" t="str">
        <f t="shared" si="18"/>
        <v>April</v>
      </c>
      <c r="G1182" s="1">
        <v>55</v>
      </c>
      <c r="H1182" s="1">
        <v>0</v>
      </c>
      <c r="I1182" s="1" t="str">
        <f>IF(Table1[[#This Row],[Temperature_F]]&lt;32,"Yes","No")</f>
        <v>No</v>
      </c>
      <c r="J1182" s="1" t="str" cm="1">
        <f t="array" ref="J11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2" s="1" t="str" cm="1">
        <f t="array" ref="K1182">_xlfn.IFS(
H1182=0,"No Rain",
H1182&lt;10,"Light",
H1182&lt;50,"Moderate",
TRUE,"Heavy")</f>
        <v>No Rain</v>
      </c>
      <c r="L1182" s="1" t="str">
        <f>IF(Table1[[#This Row],[Precipitation_mm]]&lt;&gt;0,"Wet","Dry")</f>
        <v>Dry</v>
      </c>
      <c r="M1182" t="b">
        <f>OR(ISBLANK(Table1[[#This Row],[Temperature_F]]),ISERROR(Table1[[#This Row],[Temperature_F]]))</f>
        <v>0</v>
      </c>
    </row>
    <row r="1183" spans="1:13" hidden="1" x14ac:dyDescent="0.25">
      <c r="A1183" s="1" t="s">
        <v>1</v>
      </c>
      <c r="B1183" s="1" t="s">
        <v>2</v>
      </c>
      <c r="C1183" s="1">
        <v>42.360599999999998</v>
      </c>
      <c r="D1183" s="1">
        <v>-71.010599999999997</v>
      </c>
      <c r="E1183" s="5">
        <v>41372</v>
      </c>
      <c r="F1183" s="1" t="str">
        <f t="shared" si="18"/>
        <v>April</v>
      </c>
      <c r="G1183" s="1">
        <v>57</v>
      </c>
      <c r="H1183" s="1">
        <v>0</v>
      </c>
      <c r="I1183" s="1" t="str">
        <f>IF(Table1[[#This Row],[Temperature_F]]&lt;32,"Yes","No")</f>
        <v>No</v>
      </c>
      <c r="J1183" s="1" t="str" cm="1">
        <f t="array" ref="J11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3" s="1" t="str" cm="1">
        <f t="array" ref="K1183">_xlfn.IFS(
H1183=0,"No Rain",
H1183&lt;10,"Light",
H1183&lt;50,"Moderate",
TRUE,"Heavy")</f>
        <v>No Rain</v>
      </c>
      <c r="L1183" s="1" t="str">
        <f>IF(Table1[[#This Row],[Precipitation_mm]]&lt;&gt;0,"Wet","Dry")</f>
        <v>Dry</v>
      </c>
      <c r="M1183" t="b">
        <f>OR(ISBLANK(Table1[[#This Row],[Temperature_F]]),ISERROR(Table1[[#This Row],[Temperature_F]]))</f>
        <v>0</v>
      </c>
    </row>
    <row r="1184" spans="1:13" x14ac:dyDescent="0.25">
      <c r="A1184" s="1" t="s">
        <v>1</v>
      </c>
      <c r="B1184" s="1" t="s">
        <v>2</v>
      </c>
      <c r="C1184" s="1">
        <v>42.360599999999998</v>
      </c>
      <c r="D1184" s="1">
        <v>-71.010599999999997</v>
      </c>
      <c r="E1184" s="5">
        <v>41373</v>
      </c>
      <c r="F1184" s="1" t="str">
        <f t="shared" si="18"/>
        <v>April</v>
      </c>
      <c r="G1184" s="1">
        <v>44</v>
      </c>
      <c r="H1184" s="1">
        <v>15</v>
      </c>
      <c r="I1184" s="1" t="str">
        <f>IF(Table1[[#This Row],[Temperature_F]]&lt;32,"Yes","No")</f>
        <v>No</v>
      </c>
      <c r="J1184" s="1" t="str" cm="1">
        <f t="array" ref="J11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84" s="1" t="str" cm="1">
        <f t="array" ref="K1184">_xlfn.IFS(
H1184=0,"No Rain",
H1184&lt;10,"Light",
H1184&lt;50,"Moderate",
TRUE,"Heavy")</f>
        <v>Moderate</v>
      </c>
      <c r="L1184" s="1" t="str">
        <f>IF(Table1[[#This Row],[Precipitation_mm]]&lt;&gt;0,"Wet","Dry")</f>
        <v>Wet</v>
      </c>
      <c r="M1184" t="b">
        <f>OR(ISBLANK(Table1[[#This Row],[Temperature_F]]),ISERROR(Table1[[#This Row],[Temperature_F]]))</f>
        <v>0</v>
      </c>
    </row>
    <row r="1185" spans="1:13" hidden="1" x14ac:dyDescent="0.25">
      <c r="A1185" s="1" t="s">
        <v>1</v>
      </c>
      <c r="B1185" s="1" t="s">
        <v>2</v>
      </c>
      <c r="C1185" s="1">
        <v>42.360599999999998</v>
      </c>
      <c r="D1185" s="1">
        <v>-71.010599999999997</v>
      </c>
      <c r="E1185" s="5">
        <v>41374</v>
      </c>
      <c r="F1185" s="1" t="str">
        <f t="shared" si="18"/>
        <v>April</v>
      </c>
      <c r="G1185" s="1">
        <v>58</v>
      </c>
      <c r="H1185" s="1">
        <v>48</v>
      </c>
      <c r="I1185" s="1" t="str">
        <f>IF(Table1[[#This Row],[Temperature_F]]&lt;32,"Yes","No")</f>
        <v>No</v>
      </c>
      <c r="J1185" s="1" t="str" cm="1">
        <f t="array" ref="J11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5" s="1" t="str" cm="1">
        <f t="array" ref="K1185">_xlfn.IFS(
H1185=0,"No Rain",
H1185&lt;10,"Light",
H1185&lt;50,"Moderate",
TRUE,"Heavy")</f>
        <v>Moderate</v>
      </c>
      <c r="L1185" s="1" t="str">
        <f>IF(Table1[[#This Row],[Precipitation_mm]]&lt;&gt;0,"Wet","Dry")</f>
        <v>Wet</v>
      </c>
      <c r="M1185" t="b">
        <f>OR(ISBLANK(Table1[[#This Row],[Temperature_F]]),ISERROR(Table1[[#This Row],[Temperature_F]]))</f>
        <v>0</v>
      </c>
    </row>
    <row r="1186" spans="1:13" hidden="1" x14ac:dyDescent="0.25">
      <c r="A1186" s="1" t="s">
        <v>1</v>
      </c>
      <c r="B1186" s="1" t="s">
        <v>2</v>
      </c>
      <c r="C1186" s="1">
        <v>42.360599999999998</v>
      </c>
      <c r="D1186" s="1">
        <v>-71.010599999999997</v>
      </c>
      <c r="E1186" s="5">
        <v>41375</v>
      </c>
      <c r="F1186" s="1" t="str">
        <f t="shared" si="18"/>
        <v>April</v>
      </c>
      <c r="G1186" s="1">
        <v>56</v>
      </c>
      <c r="H1186" s="1">
        <v>10</v>
      </c>
      <c r="I1186" s="1" t="str">
        <f>IF(Table1[[#This Row],[Temperature_F]]&lt;32,"Yes","No")</f>
        <v>No</v>
      </c>
      <c r="J1186" s="1" t="str" cm="1">
        <f t="array" ref="J11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6" s="1" t="str" cm="1">
        <f t="array" ref="K1186">_xlfn.IFS(
H1186=0,"No Rain",
H1186&lt;10,"Light",
H1186&lt;50,"Moderate",
TRUE,"Heavy")</f>
        <v>Moderate</v>
      </c>
      <c r="L1186" s="1" t="str">
        <f>IF(Table1[[#This Row],[Precipitation_mm]]&lt;&gt;0,"Wet","Dry")</f>
        <v>Wet</v>
      </c>
      <c r="M1186" t="b">
        <f>OR(ISBLANK(Table1[[#This Row],[Temperature_F]]),ISERROR(Table1[[#This Row],[Temperature_F]]))</f>
        <v>0</v>
      </c>
    </row>
    <row r="1187" spans="1:13" x14ac:dyDescent="0.25">
      <c r="A1187" s="1" t="s">
        <v>1</v>
      </c>
      <c r="B1187" s="1" t="s">
        <v>2</v>
      </c>
      <c r="C1187" s="1">
        <v>42.360599999999998</v>
      </c>
      <c r="D1187" s="1">
        <v>-71.010599999999997</v>
      </c>
      <c r="E1187" s="5">
        <v>41376</v>
      </c>
      <c r="F1187" s="1" t="str">
        <f t="shared" si="18"/>
        <v>April</v>
      </c>
      <c r="G1187" s="1">
        <v>45</v>
      </c>
      <c r="H1187" s="1">
        <v>89</v>
      </c>
      <c r="I1187" s="1" t="str">
        <f>IF(Table1[[#This Row],[Temperature_F]]&lt;32,"Yes","No")</f>
        <v>No</v>
      </c>
      <c r="J1187" s="1" t="str" cm="1">
        <f t="array" ref="J11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87" s="1" t="str" cm="1">
        <f t="array" ref="K1187">_xlfn.IFS(
H1187=0,"No Rain",
H1187&lt;10,"Light",
H1187&lt;50,"Moderate",
TRUE,"Heavy")</f>
        <v>Heavy</v>
      </c>
      <c r="L1187" s="1" t="str">
        <f>IF(Table1[[#This Row],[Precipitation_mm]]&lt;&gt;0,"Wet","Dry")</f>
        <v>Wet</v>
      </c>
      <c r="M1187" t="b">
        <f>OR(ISBLANK(Table1[[#This Row],[Temperature_F]]),ISERROR(Table1[[#This Row],[Temperature_F]]))</f>
        <v>0</v>
      </c>
    </row>
    <row r="1188" spans="1:13" hidden="1" x14ac:dyDescent="0.25">
      <c r="A1188" s="1" t="s">
        <v>1</v>
      </c>
      <c r="B1188" s="1" t="s">
        <v>2</v>
      </c>
      <c r="C1188" s="1">
        <v>42.360599999999998</v>
      </c>
      <c r="D1188" s="1">
        <v>-71.010599999999997</v>
      </c>
      <c r="E1188" s="5">
        <v>41377</v>
      </c>
      <c r="F1188" s="1" t="str">
        <f t="shared" si="18"/>
        <v>April</v>
      </c>
      <c r="G1188" s="1">
        <v>60</v>
      </c>
      <c r="H1188" s="1">
        <v>5</v>
      </c>
      <c r="I1188" s="1" t="str">
        <f>IF(Table1[[#This Row],[Temperature_F]]&lt;32,"Yes","No")</f>
        <v>No</v>
      </c>
      <c r="J1188" s="1" t="str" cm="1">
        <f t="array" ref="J11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88" s="1" t="str" cm="1">
        <f t="array" ref="K1188">_xlfn.IFS(
H1188=0,"No Rain",
H1188&lt;10,"Light",
H1188&lt;50,"Moderate",
TRUE,"Heavy")</f>
        <v>Light</v>
      </c>
      <c r="L1188" s="1" t="str">
        <f>IF(Table1[[#This Row],[Precipitation_mm]]&lt;&gt;0,"Wet","Dry")</f>
        <v>Wet</v>
      </c>
      <c r="M1188" t="b">
        <f>OR(ISBLANK(Table1[[#This Row],[Temperature_F]]),ISERROR(Table1[[#This Row],[Temperature_F]]))</f>
        <v>0</v>
      </c>
    </row>
    <row r="1189" spans="1:13" x14ac:dyDescent="0.25">
      <c r="A1189" s="1" t="s">
        <v>1</v>
      </c>
      <c r="B1189" s="1" t="s">
        <v>2</v>
      </c>
      <c r="C1189" s="1">
        <v>42.360599999999998</v>
      </c>
      <c r="D1189" s="1">
        <v>-71.010599999999997</v>
      </c>
      <c r="E1189" s="5">
        <v>41378</v>
      </c>
      <c r="F1189" s="1" t="str">
        <f t="shared" si="18"/>
        <v>April</v>
      </c>
      <c r="G1189" s="1">
        <v>43</v>
      </c>
      <c r="H1189" s="1">
        <v>0</v>
      </c>
      <c r="I1189" s="1" t="str">
        <f>IF(Table1[[#This Row],[Temperature_F]]&lt;32,"Yes","No")</f>
        <v>No</v>
      </c>
      <c r="J1189" s="1" t="str" cm="1">
        <f t="array" ref="J11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89" s="1" t="str" cm="1">
        <f t="array" ref="K1189">_xlfn.IFS(
H1189=0,"No Rain",
H1189&lt;10,"Light",
H1189&lt;50,"Moderate",
TRUE,"Heavy")</f>
        <v>No Rain</v>
      </c>
      <c r="L1189" s="1" t="str">
        <f>IF(Table1[[#This Row],[Precipitation_mm]]&lt;&gt;0,"Wet","Dry")</f>
        <v>Dry</v>
      </c>
      <c r="M1189" t="b">
        <f>OR(ISBLANK(Table1[[#This Row],[Temperature_F]]),ISERROR(Table1[[#This Row],[Temperature_F]]))</f>
        <v>0</v>
      </c>
    </row>
    <row r="1190" spans="1:13" x14ac:dyDescent="0.25">
      <c r="A1190" s="1" t="s">
        <v>1</v>
      </c>
      <c r="B1190" s="1" t="s">
        <v>2</v>
      </c>
      <c r="C1190" s="1">
        <v>42.360599999999998</v>
      </c>
      <c r="D1190" s="1">
        <v>-71.010599999999997</v>
      </c>
      <c r="E1190" s="5">
        <v>41379</v>
      </c>
      <c r="F1190" s="1" t="str">
        <f t="shared" si="18"/>
        <v>April</v>
      </c>
      <c r="G1190" s="1">
        <v>41</v>
      </c>
      <c r="H1190" s="1">
        <v>0</v>
      </c>
      <c r="I1190" s="1" t="str">
        <f>IF(Table1[[#This Row],[Temperature_F]]&lt;32,"Yes","No")</f>
        <v>No</v>
      </c>
      <c r="J1190" s="1" t="str" cm="1">
        <f t="array" ref="J11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0" s="1" t="str" cm="1">
        <f t="array" ref="K1190">_xlfn.IFS(
H1190=0,"No Rain",
H1190&lt;10,"Light",
H1190&lt;50,"Moderate",
TRUE,"Heavy")</f>
        <v>No Rain</v>
      </c>
      <c r="L1190" s="1" t="str">
        <f>IF(Table1[[#This Row],[Precipitation_mm]]&lt;&gt;0,"Wet","Dry")</f>
        <v>Dry</v>
      </c>
      <c r="M1190" t="b">
        <f>OR(ISBLANK(Table1[[#This Row],[Temperature_F]]),ISERROR(Table1[[#This Row],[Temperature_F]]))</f>
        <v>0</v>
      </c>
    </row>
    <row r="1191" spans="1:13" hidden="1" x14ac:dyDescent="0.25">
      <c r="A1191" s="1" t="s">
        <v>1</v>
      </c>
      <c r="B1191" s="1" t="s">
        <v>2</v>
      </c>
      <c r="C1191" s="1">
        <v>42.360599999999998</v>
      </c>
      <c r="D1191" s="1">
        <v>-71.010599999999997</v>
      </c>
      <c r="E1191" s="5">
        <v>41380</v>
      </c>
      <c r="F1191" s="1" t="str">
        <f t="shared" si="18"/>
        <v>April</v>
      </c>
      <c r="G1191" s="1">
        <v>52</v>
      </c>
      <c r="H1191" s="1">
        <v>0</v>
      </c>
      <c r="I1191" s="1" t="str">
        <f>IF(Table1[[#This Row],[Temperature_F]]&lt;32,"Yes","No")</f>
        <v>No</v>
      </c>
      <c r="J1191" s="1" t="str" cm="1">
        <f t="array" ref="J11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91" s="1" t="str" cm="1">
        <f t="array" ref="K1191">_xlfn.IFS(
H1191=0,"No Rain",
H1191&lt;10,"Light",
H1191&lt;50,"Moderate",
TRUE,"Heavy")</f>
        <v>No Rain</v>
      </c>
      <c r="L1191" s="1" t="str">
        <f>IF(Table1[[#This Row],[Precipitation_mm]]&lt;&gt;0,"Wet","Dry")</f>
        <v>Dry</v>
      </c>
      <c r="M1191" t="b">
        <f>OR(ISBLANK(Table1[[#This Row],[Temperature_F]]),ISERROR(Table1[[#This Row],[Temperature_F]]))</f>
        <v>0</v>
      </c>
    </row>
    <row r="1192" spans="1:13" x14ac:dyDescent="0.25">
      <c r="A1192" s="1" t="s">
        <v>1</v>
      </c>
      <c r="B1192" s="1" t="s">
        <v>2</v>
      </c>
      <c r="C1192" s="1">
        <v>42.360599999999998</v>
      </c>
      <c r="D1192" s="1">
        <v>-71.010599999999997</v>
      </c>
      <c r="E1192" s="5">
        <v>41381</v>
      </c>
      <c r="F1192" s="1" t="str">
        <f t="shared" si="18"/>
        <v>April</v>
      </c>
      <c r="G1192" s="1">
        <v>47</v>
      </c>
      <c r="H1192" s="1">
        <v>0</v>
      </c>
      <c r="I1192" s="1" t="str">
        <f>IF(Table1[[#This Row],[Temperature_F]]&lt;32,"Yes","No")</f>
        <v>No</v>
      </c>
      <c r="J1192" s="1" t="str" cm="1">
        <f t="array" ref="J11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2" s="1" t="str" cm="1">
        <f t="array" ref="K1192">_xlfn.IFS(
H1192=0,"No Rain",
H1192&lt;10,"Light",
H1192&lt;50,"Moderate",
TRUE,"Heavy")</f>
        <v>No Rain</v>
      </c>
      <c r="L1192" s="1" t="str">
        <f>IF(Table1[[#This Row],[Precipitation_mm]]&lt;&gt;0,"Wet","Dry")</f>
        <v>Dry</v>
      </c>
      <c r="M1192" t="b">
        <f>OR(ISBLANK(Table1[[#This Row],[Temperature_F]]),ISERROR(Table1[[#This Row],[Temperature_F]]))</f>
        <v>0</v>
      </c>
    </row>
    <row r="1193" spans="1:13" hidden="1" x14ac:dyDescent="0.25">
      <c r="A1193" s="1" t="s">
        <v>1</v>
      </c>
      <c r="B1193" s="1" t="s">
        <v>2</v>
      </c>
      <c r="C1193" s="1">
        <v>42.360599999999998</v>
      </c>
      <c r="D1193" s="1">
        <v>-71.010599999999997</v>
      </c>
      <c r="E1193" s="5">
        <v>41382</v>
      </c>
      <c r="F1193" s="1" t="str">
        <f t="shared" si="18"/>
        <v>April</v>
      </c>
      <c r="G1193" s="1">
        <v>53</v>
      </c>
      <c r="H1193" s="1">
        <v>0</v>
      </c>
      <c r="I1193" s="1" t="str">
        <f>IF(Table1[[#This Row],[Temperature_F]]&lt;32,"Yes","No")</f>
        <v>No</v>
      </c>
      <c r="J1193" s="1" t="str" cm="1">
        <f t="array" ref="J11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93" s="1" t="str" cm="1">
        <f t="array" ref="K1193">_xlfn.IFS(
H1193=0,"No Rain",
H1193&lt;10,"Light",
H1193&lt;50,"Moderate",
TRUE,"Heavy")</f>
        <v>No Rain</v>
      </c>
      <c r="L1193" s="1" t="str">
        <f>IF(Table1[[#This Row],[Precipitation_mm]]&lt;&gt;0,"Wet","Dry")</f>
        <v>Dry</v>
      </c>
      <c r="M1193" t="b">
        <f>OR(ISBLANK(Table1[[#This Row],[Temperature_F]]),ISERROR(Table1[[#This Row],[Temperature_F]]))</f>
        <v>0</v>
      </c>
    </row>
    <row r="1194" spans="1:13" hidden="1" x14ac:dyDescent="0.25">
      <c r="A1194" s="1" t="s">
        <v>1</v>
      </c>
      <c r="B1194" s="1" t="s">
        <v>2</v>
      </c>
      <c r="C1194" s="1">
        <v>42.360599999999998</v>
      </c>
      <c r="D1194" s="1">
        <v>-71.010599999999997</v>
      </c>
      <c r="E1194" s="5">
        <v>41383</v>
      </c>
      <c r="F1194" s="1" t="str">
        <f t="shared" si="18"/>
        <v>April</v>
      </c>
      <c r="G1194" s="1">
        <v>59</v>
      </c>
      <c r="H1194" s="1">
        <v>13</v>
      </c>
      <c r="I1194" s="1" t="str">
        <f>IF(Table1[[#This Row],[Temperature_F]]&lt;32,"Yes","No")</f>
        <v>No</v>
      </c>
      <c r="J1194" s="1" t="str" cm="1">
        <f t="array" ref="J11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94" s="1" t="str" cm="1">
        <f t="array" ref="K1194">_xlfn.IFS(
H1194=0,"No Rain",
H1194&lt;10,"Light",
H1194&lt;50,"Moderate",
TRUE,"Heavy")</f>
        <v>Moderate</v>
      </c>
      <c r="L1194" s="1" t="str">
        <f>IF(Table1[[#This Row],[Precipitation_mm]]&lt;&gt;0,"Wet","Dry")</f>
        <v>Wet</v>
      </c>
      <c r="M1194" t="b">
        <f>OR(ISBLANK(Table1[[#This Row],[Temperature_F]]),ISERROR(Table1[[#This Row],[Temperature_F]]))</f>
        <v>0</v>
      </c>
    </row>
    <row r="1195" spans="1:13" x14ac:dyDescent="0.25">
      <c r="A1195" s="1" t="s">
        <v>1</v>
      </c>
      <c r="B1195" s="1" t="s">
        <v>2</v>
      </c>
      <c r="C1195" s="1">
        <v>42.360599999999998</v>
      </c>
      <c r="D1195" s="1">
        <v>-71.010599999999997</v>
      </c>
      <c r="E1195" s="5">
        <v>41384</v>
      </c>
      <c r="F1195" s="1" t="str">
        <f t="shared" si="18"/>
        <v>April</v>
      </c>
      <c r="G1195" s="1">
        <v>42</v>
      </c>
      <c r="H1195" s="1">
        <v>97</v>
      </c>
      <c r="I1195" s="1" t="str">
        <f>IF(Table1[[#This Row],[Temperature_F]]&lt;32,"Yes","No")</f>
        <v>No</v>
      </c>
      <c r="J1195" s="1" t="str" cm="1">
        <f t="array" ref="J11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5" s="1" t="str" cm="1">
        <f t="array" ref="K1195">_xlfn.IFS(
H1195=0,"No Rain",
H1195&lt;10,"Light",
H1195&lt;50,"Moderate",
TRUE,"Heavy")</f>
        <v>Heavy</v>
      </c>
      <c r="L1195" s="1" t="str">
        <f>IF(Table1[[#This Row],[Precipitation_mm]]&lt;&gt;0,"Wet","Dry")</f>
        <v>Wet</v>
      </c>
      <c r="M1195" t="b">
        <f>OR(ISBLANK(Table1[[#This Row],[Temperature_F]]),ISERROR(Table1[[#This Row],[Temperature_F]]))</f>
        <v>0</v>
      </c>
    </row>
    <row r="1196" spans="1:13" x14ac:dyDescent="0.25">
      <c r="A1196" s="1" t="s">
        <v>1</v>
      </c>
      <c r="B1196" s="1" t="s">
        <v>2</v>
      </c>
      <c r="C1196" s="1">
        <v>42.360599999999998</v>
      </c>
      <c r="D1196" s="1">
        <v>-71.010599999999997</v>
      </c>
      <c r="E1196" s="5">
        <v>41385</v>
      </c>
      <c r="F1196" s="1" t="str">
        <f t="shared" si="18"/>
        <v>April</v>
      </c>
      <c r="G1196" s="1">
        <v>42</v>
      </c>
      <c r="H1196" s="1">
        <v>0</v>
      </c>
      <c r="I1196" s="1" t="str">
        <f>IF(Table1[[#This Row],[Temperature_F]]&lt;32,"Yes","No")</f>
        <v>No</v>
      </c>
      <c r="J1196" s="1" t="str" cm="1">
        <f t="array" ref="J11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6" s="1" t="str" cm="1">
        <f t="array" ref="K1196">_xlfn.IFS(
H1196=0,"No Rain",
H1196&lt;10,"Light",
H1196&lt;50,"Moderate",
TRUE,"Heavy")</f>
        <v>No Rain</v>
      </c>
      <c r="L1196" s="1" t="str">
        <f>IF(Table1[[#This Row],[Precipitation_mm]]&lt;&gt;0,"Wet","Dry")</f>
        <v>Dry</v>
      </c>
      <c r="M1196" t="b">
        <f>OR(ISBLANK(Table1[[#This Row],[Temperature_F]]),ISERROR(Table1[[#This Row],[Temperature_F]]))</f>
        <v>0</v>
      </c>
    </row>
    <row r="1197" spans="1:13" x14ac:dyDescent="0.25">
      <c r="A1197" s="1" t="s">
        <v>1</v>
      </c>
      <c r="B1197" s="1" t="s">
        <v>2</v>
      </c>
      <c r="C1197" s="1">
        <v>42.360599999999998</v>
      </c>
      <c r="D1197" s="1">
        <v>-71.010599999999997</v>
      </c>
      <c r="E1197" s="5">
        <v>41386</v>
      </c>
      <c r="F1197" s="1" t="str">
        <f t="shared" si="18"/>
        <v>April</v>
      </c>
      <c r="G1197" s="1">
        <v>40</v>
      </c>
      <c r="H1197" s="1">
        <v>0</v>
      </c>
      <c r="I1197" s="1" t="str">
        <f>IF(Table1[[#This Row],[Temperature_F]]&lt;32,"Yes","No")</f>
        <v>No</v>
      </c>
      <c r="J1197" s="1" t="str" cm="1">
        <f t="array" ref="J11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7" s="1" t="str" cm="1">
        <f t="array" ref="K1197">_xlfn.IFS(
H1197=0,"No Rain",
H1197&lt;10,"Light",
H1197&lt;50,"Moderate",
TRUE,"Heavy")</f>
        <v>No Rain</v>
      </c>
      <c r="L1197" s="1" t="str">
        <f>IF(Table1[[#This Row],[Precipitation_mm]]&lt;&gt;0,"Wet","Dry")</f>
        <v>Dry</v>
      </c>
      <c r="M1197" t="b">
        <f>OR(ISBLANK(Table1[[#This Row],[Temperature_F]]),ISERROR(Table1[[#This Row],[Temperature_F]]))</f>
        <v>0</v>
      </c>
    </row>
    <row r="1198" spans="1:13" hidden="1" x14ac:dyDescent="0.25">
      <c r="A1198" s="1" t="s">
        <v>1</v>
      </c>
      <c r="B1198" s="1" t="s">
        <v>2</v>
      </c>
      <c r="C1198" s="1">
        <v>42.360599999999998</v>
      </c>
      <c r="D1198" s="1">
        <v>-71.010599999999997</v>
      </c>
      <c r="E1198" s="5">
        <v>41387</v>
      </c>
      <c r="F1198" s="1" t="str">
        <f t="shared" si="18"/>
        <v>April</v>
      </c>
      <c r="G1198" s="1">
        <v>58</v>
      </c>
      <c r="H1198" s="1">
        <v>33</v>
      </c>
      <c r="I1198" s="1" t="str">
        <f>IF(Table1[[#This Row],[Temperature_F]]&lt;32,"Yes","No")</f>
        <v>No</v>
      </c>
      <c r="J1198" s="1" t="str" cm="1">
        <f t="array" ref="J11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198" s="1" t="str" cm="1">
        <f t="array" ref="K1198">_xlfn.IFS(
H1198=0,"No Rain",
H1198&lt;10,"Light",
H1198&lt;50,"Moderate",
TRUE,"Heavy")</f>
        <v>Moderate</v>
      </c>
      <c r="L1198" s="1" t="str">
        <f>IF(Table1[[#This Row],[Precipitation_mm]]&lt;&gt;0,"Wet","Dry")</f>
        <v>Wet</v>
      </c>
      <c r="M1198" t="b">
        <f>OR(ISBLANK(Table1[[#This Row],[Temperature_F]]),ISERROR(Table1[[#This Row],[Temperature_F]]))</f>
        <v>0</v>
      </c>
    </row>
    <row r="1199" spans="1:13" x14ac:dyDescent="0.25">
      <c r="A1199" s="1" t="s">
        <v>1</v>
      </c>
      <c r="B1199" s="1" t="s">
        <v>2</v>
      </c>
      <c r="C1199" s="1">
        <v>42.360599999999998</v>
      </c>
      <c r="D1199" s="1">
        <v>-71.010599999999997</v>
      </c>
      <c r="E1199" s="5">
        <v>41388</v>
      </c>
      <c r="F1199" s="1" t="str">
        <f t="shared" si="18"/>
        <v>April</v>
      </c>
      <c r="G1199" s="1">
        <v>50</v>
      </c>
      <c r="H1199" s="1">
        <v>0</v>
      </c>
      <c r="I1199" s="1" t="str">
        <f>IF(Table1[[#This Row],[Temperature_F]]&lt;32,"Yes","No")</f>
        <v>No</v>
      </c>
      <c r="J1199" s="1" t="str" cm="1">
        <f t="array" ref="J11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199" s="1" t="str" cm="1">
        <f t="array" ref="K1199">_xlfn.IFS(
H1199=0,"No Rain",
H1199&lt;10,"Light",
H1199&lt;50,"Moderate",
TRUE,"Heavy")</f>
        <v>No Rain</v>
      </c>
      <c r="L1199" s="1" t="str">
        <f>IF(Table1[[#This Row],[Precipitation_mm]]&lt;&gt;0,"Wet","Dry")</f>
        <v>Dry</v>
      </c>
      <c r="M1199" t="b">
        <f>OR(ISBLANK(Table1[[#This Row],[Temperature_F]]),ISERROR(Table1[[#This Row],[Temperature_F]]))</f>
        <v>0</v>
      </c>
    </row>
    <row r="1200" spans="1:13" x14ac:dyDescent="0.25">
      <c r="A1200" s="1" t="s">
        <v>1</v>
      </c>
      <c r="B1200" s="1" t="s">
        <v>2</v>
      </c>
      <c r="C1200" s="1">
        <v>42.360599999999998</v>
      </c>
      <c r="D1200" s="1">
        <v>-71.010599999999997</v>
      </c>
      <c r="E1200" s="5">
        <v>41389</v>
      </c>
      <c r="F1200" s="1" t="str">
        <f t="shared" si="18"/>
        <v>April</v>
      </c>
      <c r="G1200" s="1">
        <v>40</v>
      </c>
      <c r="H1200" s="1">
        <v>8</v>
      </c>
      <c r="I1200" s="1" t="str">
        <f>IF(Table1[[#This Row],[Temperature_F]]&lt;32,"Yes","No")</f>
        <v>No</v>
      </c>
      <c r="J1200" s="1" t="str" cm="1">
        <f t="array" ref="J12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0" s="1" t="str" cm="1">
        <f t="array" ref="K1200">_xlfn.IFS(
H1200=0,"No Rain",
H1200&lt;10,"Light",
H1200&lt;50,"Moderate",
TRUE,"Heavy")</f>
        <v>Light</v>
      </c>
      <c r="L1200" s="1" t="str">
        <f>IF(Table1[[#This Row],[Precipitation_mm]]&lt;&gt;0,"Wet","Dry")</f>
        <v>Wet</v>
      </c>
      <c r="M1200" t="b">
        <f>OR(ISBLANK(Table1[[#This Row],[Temperature_F]]),ISERROR(Table1[[#This Row],[Temperature_F]]))</f>
        <v>0</v>
      </c>
    </row>
    <row r="1201" spans="1:13" hidden="1" x14ac:dyDescent="0.25">
      <c r="A1201" s="1" t="s">
        <v>1</v>
      </c>
      <c r="B1201" s="1" t="s">
        <v>2</v>
      </c>
      <c r="C1201" s="1">
        <v>42.360599999999998</v>
      </c>
      <c r="D1201" s="1">
        <v>-71.010599999999997</v>
      </c>
      <c r="E1201" s="5">
        <v>41390</v>
      </c>
      <c r="F1201" s="1" t="str">
        <f t="shared" si="18"/>
        <v>April</v>
      </c>
      <c r="G1201" s="1">
        <v>51</v>
      </c>
      <c r="H1201" s="1">
        <v>0</v>
      </c>
      <c r="I1201" s="1" t="str">
        <f>IF(Table1[[#This Row],[Temperature_F]]&lt;32,"Yes","No")</f>
        <v>No</v>
      </c>
      <c r="J1201" s="1" t="str" cm="1">
        <f t="array" ref="J12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01" s="1" t="str" cm="1">
        <f t="array" ref="K1201">_xlfn.IFS(
H1201=0,"No Rain",
H1201&lt;10,"Light",
H1201&lt;50,"Moderate",
TRUE,"Heavy")</f>
        <v>No Rain</v>
      </c>
      <c r="L1201" s="1" t="str">
        <f>IF(Table1[[#This Row],[Precipitation_mm]]&lt;&gt;0,"Wet","Dry")</f>
        <v>Dry</v>
      </c>
      <c r="M1201" t="b">
        <f>OR(ISBLANK(Table1[[#This Row],[Temperature_F]]),ISERROR(Table1[[#This Row],[Temperature_F]]))</f>
        <v>0</v>
      </c>
    </row>
    <row r="1202" spans="1:13" hidden="1" x14ac:dyDescent="0.25">
      <c r="A1202" s="1" t="s">
        <v>1</v>
      </c>
      <c r="B1202" s="1" t="s">
        <v>2</v>
      </c>
      <c r="C1202" s="1">
        <v>42.360599999999998</v>
      </c>
      <c r="D1202" s="1">
        <v>-71.010599999999997</v>
      </c>
      <c r="E1202" s="5">
        <v>41391</v>
      </c>
      <c r="F1202" s="1" t="str">
        <f t="shared" si="18"/>
        <v>April</v>
      </c>
      <c r="G1202" s="1">
        <v>53</v>
      </c>
      <c r="H1202" s="1">
        <v>0</v>
      </c>
      <c r="I1202" s="1" t="str">
        <f>IF(Table1[[#This Row],[Temperature_F]]&lt;32,"Yes","No")</f>
        <v>No</v>
      </c>
      <c r="J1202" s="1" t="str" cm="1">
        <f t="array" ref="J12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02" s="1" t="str" cm="1">
        <f t="array" ref="K1202">_xlfn.IFS(
H1202=0,"No Rain",
H1202&lt;10,"Light",
H1202&lt;50,"Moderate",
TRUE,"Heavy")</f>
        <v>No Rain</v>
      </c>
      <c r="L1202" s="1" t="str">
        <f>IF(Table1[[#This Row],[Precipitation_mm]]&lt;&gt;0,"Wet","Dry")</f>
        <v>Dry</v>
      </c>
      <c r="M1202" t="b">
        <f>OR(ISBLANK(Table1[[#This Row],[Temperature_F]]),ISERROR(Table1[[#This Row],[Temperature_F]]))</f>
        <v>0</v>
      </c>
    </row>
    <row r="1203" spans="1:13" x14ac:dyDescent="0.25">
      <c r="A1203" s="1" t="s">
        <v>1</v>
      </c>
      <c r="B1203" s="1" t="s">
        <v>2</v>
      </c>
      <c r="C1203" s="1">
        <v>42.360599999999998</v>
      </c>
      <c r="D1203" s="1">
        <v>-71.010599999999997</v>
      </c>
      <c r="E1203" s="5">
        <v>41392</v>
      </c>
      <c r="F1203" s="1" t="str">
        <f t="shared" si="18"/>
        <v>April</v>
      </c>
      <c r="G1203" s="1">
        <v>50</v>
      </c>
      <c r="H1203" s="1">
        <v>0</v>
      </c>
      <c r="I1203" s="1" t="str">
        <f>IF(Table1[[#This Row],[Temperature_F]]&lt;32,"Yes","No")</f>
        <v>No</v>
      </c>
      <c r="J1203" s="1" t="str" cm="1">
        <f t="array" ref="J12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3" s="1" t="str" cm="1">
        <f t="array" ref="K1203">_xlfn.IFS(
H1203=0,"No Rain",
H1203&lt;10,"Light",
H1203&lt;50,"Moderate",
TRUE,"Heavy")</f>
        <v>No Rain</v>
      </c>
      <c r="L1203" s="1" t="str">
        <f>IF(Table1[[#This Row],[Precipitation_mm]]&lt;&gt;0,"Wet","Dry")</f>
        <v>Dry</v>
      </c>
      <c r="M1203" t="b">
        <f>OR(ISBLANK(Table1[[#This Row],[Temperature_F]]),ISERROR(Table1[[#This Row],[Temperature_F]]))</f>
        <v>0</v>
      </c>
    </row>
    <row r="1204" spans="1:13" hidden="1" x14ac:dyDescent="0.25">
      <c r="A1204" s="1" t="s">
        <v>1</v>
      </c>
      <c r="B1204" s="1" t="s">
        <v>2</v>
      </c>
      <c r="C1204" s="1">
        <v>42.360599999999998</v>
      </c>
      <c r="D1204" s="1">
        <v>-71.010599999999997</v>
      </c>
      <c r="E1204" s="5">
        <v>41393</v>
      </c>
      <c r="F1204" s="1" t="str">
        <f t="shared" si="18"/>
        <v>April</v>
      </c>
      <c r="G1204" s="1">
        <v>56</v>
      </c>
      <c r="H1204" s="1">
        <v>0</v>
      </c>
      <c r="I1204" s="1" t="str">
        <f>IF(Table1[[#This Row],[Temperature_F]]&lt;32,"Yes","No")</f>
        <v>No</v>
      </c>
      <c r="J1204" s="1" t="str" cm="1">
        <f t="array" ref="J12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04" s="1" t="str" cm="1">
        <f t="array" ref="K1204">_xlfn.IFS(
H1204=0,"No Rain",
H1204&lt;10,"Light",
H1204&lt;50,"Moderate",
TRUE,"Heavy")</f>
        <v>No Rain</v>
      </c>
      <c r="L1204" s="1" t="str">
        <f>IF(Table1[[#This Row],[Precipitation_mm]]&lt;&gt;0,"Wet","Dry")</f>
        <v>Dry</v>
      </c>
      <c r="M1204" t="b">
        <f>OR(ISBLANK(Table1[[#This Row],[Temperature_F]]),ISERROR(Table1[[#This Row],[Temperature_F]]))</f>
        <v>0</v>
      </c>
    </row>
    <row r="1205" spans="1:13" x14ac:dyDescent="0.25">
      <c r="A1205" s="1" t="s">
        <v>1</v>
      </c>
      <c r="B1205" s="1" t="s">
        <v>2</v>
      </c>
      <c r="C1205" s="1">
        <v>42.360599999999998</v>
      </c>
      <c r="D1205" s="1">
        <v>-71.010599999999997</v>
      </c>
      <c r="E1205" s="5">
        <v>41394</v>
      </c>
      <c r="F1205" s="1" t="str">
        <f t="shared" si="18"/>
        <v>April</v>
      </c>
      <c r="G1205" s="1">
        <v>43</v>
      </c>
      <c r="H1205" s="1">
        <v>0</v>
      </c>
      <c r="I1205" s="1" t="str">
        <f>IF(Table1[[#This Row],[Temperature_F]]&lt;32,"Yes","No")</f>
        <v>No</v>
      </c>
      <c r="J1205" s="1" t="str" cm="1">
        <f t="array" ref="J12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5" s="1" t="str" cm="1">
        <f t="array" ref="K1205">_xlfn.IFS(
H1205=0,"No Rain",
H1205&lt;10,"Light",
H1205&lt;50,"Moderate",
TRUE,"Heavy")</f>
        <v>No Rain</v>
      </c>
      <c r="L1205" s="1" t="str">
        <f>IF(Table1[[#This Row],[Precipitation_mm]]&lt;&gt;0,"Wet","Dry")</f>
        <v>Dry</v>
      </c>
      <c r="M1205" t="b">
        <f>OR(ISBLANK(Table1[[#This Row],[Temperature_F]]),ISERROR(Table1[[#This Row],[Temperature_F]]))</f>
        <v>0</v>
      </c>
    </row>
    <row r="1206" spans="1:13" x14ac:dyDescent="0.25">
      <c r="A1206" s="1" t="s">
        <v>1</v>
      </c>
      <c r="B1206" s="1" t="s">
        <v>2</v>
      </c>
      <c r="C1206" s="1">
        <v>42.360599999999998</v>
      </c>
      <c r="D1206" s="1">
        <v>-71.010599999999997</v>
      </c>
      <c r="E1206" s="5">
        <v>41395</v>
      </c>
      <c r="F1206" s="1" t="str">
        <f t="shared" si="18"/>
        <v>May</v>
      </c>
      <c r="G1206" s="1">
        <v>42</v>
      </c>
      <c r="H1206" s="1">
        <v>0</v>
      </c>
      <c r="I1206" s="1" t="str">
        <f>IF(Table1[[#This Row],[Temperature_F]]&lt;32,"Yes","No")</f>
        <v>No</v>
      </c>
      <c r="J1206" s="1" t="str" cm="1">
        <f t="array" ref="J12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6" s="1" t="str" cm="1">
        <f t="array" ref="K1206">_xlfn.IFS(
H1206=0,"No Rain",
H1206&lt;10,"Light",
H1206&lt;50,"Moderate",
TRUE,"Heavy")</f>
        <v>No Rain</v>
      </c>
      <c r="L1206" s="1" t="str">
        <f>IF(Table1[[#This Row],[Precipitation_mm]]&lt;&gt;0,"Wet","Dry")</f>
        <v>Dry</v>
      </c>
      <c r="M1206" t="b">
        <f>OR(ISBLANK(Table1[[#This Row],[Temperature_F]]),ISERROR(Table1[[#This Row],[Temperature_F]]))</f>
        <v>0</v>
      </c>
    </row>
    <row r="1207" spans="1:13" hidden="1" x14ac:dyDescent="0.25">
      <c r="A1207" s="1" t="s">
        <v>1</v>
      </c>
      <c r="B1207" s="1" t="s">
        <v>2</v>
      </c>
      <c r="C1207" s="1">
        <v>42.360599999999998</v>
      </c>
      <c r="D1207" s="1">
        <v>-71.010599999999997</v>
      </c>
      <c r="E1207" s="5">
        <v>41396</v>
      </c>
      <c r="F1207" s="1" t="str">
        <f t="shared" ref="F1207:F1270" si="19">TEXT(E1207,"mmmm")</f>
        <v>May</v>
      </c>
      <c r="G1207" s="1">
        <v>58</v>
      </c>
      <c r="H1207" s="1">
        <v>0</v>
      </c>
      <c r="I1207" s="1" t="str">
        <f>IF(Table1[[#This Row],[Temperature_F]]&lt;32,"Yes","No")</f>
        <v>No</v>
      </c>
      <c r="J1207" s="1" t="str" cm="1">
        <f t="array" ref="J12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07" s="1" t="str" cm="1">
        <f t="array" ref="K1207">_xlfn.IFS(
H1207=0,"No Rain",
H1207&lt;10,"Light",
H1207&lt;50,"Moderate",
TRUE,"Heavy")</f>
        <v>No Rain</v>
      </c>
      <c r="L1207" s="1" t="str">
        <f>IF(Table1[[#This Row],[Precipitation_mm]]&lt;&gt;0,"Wet","Dry")</f>
        <v>Dry</v>
      </c>
      <c r="M1207" t="b">
        <f>OR(ISBLANK(Table1[[#This Row],[Temperature_F]]),ISERROR(Table1[[#This Row],[Temperature_F]]))</f>
        <v>0</v>
      </c>
    </row>
    <row r="1208" spans="1:13" x14ac:dyDescent="0.25">
      <c r="A1208" s="1" t="s">
        <v>1</v>
      </c>
      <c r="B1208" s="1" t="s">
        <v>2</v>
      </c>
      <c r="C1208" s="1">
        <v>42.360599999999998</v>
      </c>
      <c r="D1208" s="1">
        <v>-71.010599999999997</v>
      </c>
      <c r="E1208" s="5">
        <v>41397</v>
      </c>
      <c r="F1208" s="1" t="str">
        <f t="shared" si="19"/>
        <v>May</v>
      </c>
      <c r="G1208" s="1">
        <v>48</v>
      </c>
      <c r="H1208" s="1">
        <v>0</v>
      </c>
      <c r="I1208" s="1" t="str">
        <f>IF(Table1[[#This Row],[Temperature_F]]&lt;32,"Yes","No")</f>
        <v>No</v>
      </c>
      <c r="J1208" s="1" t="str" cm="1">
        <f t="array" ref="J12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8" s="1" t="str" cm="1">
        <f t="array" ref="K1208">_xlfn.IFS(
H1208=0,"No Rain",
H1208&lt;10,"Light",
H1208&lt;50,"Moderate",
TRUE,"Heavy")</f>
        <v>No Rain</v>
      </c>
      <c r="L1208" s="1" t="str">
        <f>IF(Table1[[#This Row],[Precipitation_mm]]&lt;&gt;0,"Wet","Dry")</f>
        <v>Dry</v>
      </c>
      <c r="M1208" t="b">
        <f>OR(ISBLANK(Table1[[#This Row],[Temperature_F]]),ISERROR(Table1[[#This Row],[Temperature_F]]))</f>
        <v>0</v>
      </c>
    </row>
    <row r="1209" spans="1:13" x14ac:dyDescent="0.25">
      <c r="A1209" s="1" t="s">
        <v>1</v>
      </c>
      <c r="B1209" s="1" t="s">
        <v>2</v>
      </c>
      <c r="C1209" s="1">
        <v>42.360599999999998</v>
      </c>
      <c r="D1209" s="1">
        <v>-71.010599999999997</v>
      </c>
      <c r="E1209" s="5">
        <v>41398</v>
      </c>
      <c r="F1209" s="1" t="str">
        <f t="shared" si="19"/>
        <v>May</v>
      </c>
      <c r="G1209" s="1">
        <v>46</v>
      </c>
      <c r="H1209" s="1">
        <v>0</v>
      </c>
      <c r="I1209" s="1" t="str">
        <f>IF(Table1[[#This Row],[Temperature_F]]&lt;32,"Yes","No")</f>
        <v>No</v>
      </c>
      <c r="J1209" s="1" t="str" cm="1">
        <f t="array" ref="J12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09" s="1" t="str" cm="1">
        <f t="array" ref="K1209">_xlfn.IFS(
H1209=0,"No Rain",
H1209&lt;10,"Light",
H1209&lt;50,"Moderate",
TRUE,"Heavy")</f>
        <v>No Rain</v>
      </c>
      <c r="L1209" s="1" t="str">
        <f>IF(Table1[[#This Row],[Precipitation_mm]]&lt;&gt;0,"Wet","Dry")</f>
        <v>Dry</v>
      </c>
      <c r="M1209" t="b">
        <f>OR(ISBLANK(Table1[[#This Row],[Temperature_F]]),ISERROR(Table1[[#This Row],[Temperature_F]]))</f>
        <v>0</v>
      </c>
    </row>
    <row r="1210" spans="1:13" x14ac:dyDescent="0.25">
      <c r="A1210" s="1" t="s">
        <v>1</v>
      </c>
      <c r="B1210" s="1" t="s">
        <v>2</v>
      </c>
      <c r="C1210" s="1">
        <v>42.360599999999998</v>
      </c>
      <c r="D1210" s="1">
        <v>-71.010599999999997</v>
      </c>
      <c r="E1210" s="5">
        <v>41399</v>
      </c>
      <c r="F1210" s="1" t="str">
        <f t="shared" si="19"/>
        <v>May</v>
      </c>
      <c r="G1210" s="1">
        <v>48</v>
      </c>
      <c r="H1210" s="1">
        <v>0</v>
      </c>
      <c r="I1210" s="1" t="str">
        <f>IF(Table1[[#This Row],[Temperature_F]]&lt;32,"Yes","No")</f>
        <v>No</v>
      </c>
      <c r="J1210" s="1" t="str" cm="1">
        <f t="array" ref="J12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0" s="1" t="str" cm="1">
        <f t="array" ref="K1210">_xlfn.IFS(
H1210=0,"No Rain",
H1210&lt;10,"Light",
H1210&lt;50,"Moderate",
TRUE,"Heavy")</f>
        <v>No Rain</v>
      </c>
      <c r="L1210" s="1" t="str">
        <f>IF(Table1[[#This Row],[Precipitation_mm]]&lt;&gt;0,"Wet","Dry")</f>
        <v>Dry</v>
      </c>
      <c r="M1210" t="b">
        <f>OR(ISBLANK(Table1[[#This Row],[Temperature_F]]),ISERROR(Table1[[#This Row],[Temperature_F]]))</f>
        <v>0</v>
      </c>
    </row>
    <row r="1211" spans="1:13" x14ac:dyDescent="0.25">
      <c r="A1211" s="1" t="s">
        <v>1</v>
      </c>
      <c r="B1211" s="1" t="s">
        <v>2</v>
      </c>
      <c r="C1211" s="1">
        <v>42.360599999999998</v>
      </c>
      <c r="D1211" s="1">
        <v>-71.010599999999997</v>
      </c>
      <c r="E1211" s="5">
        <v>41400</v>
      </c>
      <c r="F1211" s="1" t="str">
        <f t="shared" si="19"/>
        <v>May</v>
      </c>
      <c r="G1211" s="1">
        <v>46</v>
      </c>
      <c r="H1211" s="1">
        <v>0</v>
      </c>
      <c r="I1211" s="1" t="str">
        <f>IF(Table1[[#This Row],[Temperature_F]]&lt;32,"Yes","No")</f>
        <v>No</v>
      </c>
      <c r="J1211" s="1" t="str" cm="1">
        <f t="array" ref="J12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1" s="1" t="str" cm="1">
        <f t="array" ref="K1211">_xlfn.IFS(
H1211=0,"No Rain",
H1211&lt;10,"Light",
H1211&lt;50,"Moderate",
TRUE,"Heavy")</f>
        <v>No Rain</v>
      </c>
      <c r="L1211" s="1" t="str">
        <f>IF(Table1[[#This Row],[Precipitation_mm]]&lt;&gt;0,"Wet","Dry")</f>
        <v>Dry</v>
      </c>
      <c r="M1211" t="b">
        <f>OR(ISBLANK(Table1[[#This Row],[Temperature_F]]),ISERROR(Table1[[#This Row],[Temperature_F]]))</f>
        <v>0</v>
      </c>
    </row>
    <row r="1212" spans="1:13" x14ac:dyDescent="0.25">
      <c r="A1212" s="1" t="s">
        <v>1</v>
      </c>
      <c r="B1212" s="1" t="s">
        <v>2</v>
      </c>
      <c r="C1212" s="1">
        <v>42.360599999999998</v>
      </c>
      <c r="D1212" s="1">
        <v>-71.010599999999997</v>
      </c>
      <c r="E1212" s="5">
        <v>41401</v>
      </c>
      <c r="F1212" s="1" t="str">
        <f t="shared" si="19"/>
        <v>May</v>
      </c>
      <c r="G1212" s="1">
        <v>42</v>
      </c>
      <c r="H1212" s="1">
        <v>0</v>
      </c>
      <c r="I1212" s="1" t="str">
        <f>IF(Table1[[#This Row],[Temperature_F]]&lt;32,"Yes","No")</f>
        <v>No</v>
      </c>
      <c r="J1212" s="1" t="str" cm="1">
        <f t="array" ref="J12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2" s="1" t="str" cm="1">
        <f t="array" ref="K1212">_xlfn.IFS(
H1212=0,"No Rain",
H1212&lt;10,"Light",
H1212&lt;50,"Moderate",
TRUE,"Heavy")</f>
        <v>No Rain</v>
      </c>
      <c r="L1212" s="1" t="str">
        <f>IF(Table1[[#This Row],[Precipitation_mm]]&lt;&gt;0,"Wet","Dry")</f>
        <v>Dry</v>
      </c>
      <c r="M1212" t="b">
        <f>OR(ISBLANK(Table1[[#This Row],[Temperature_F]]),ISERROR(Table1[[#This Row],[Temperature_F]]))</f>
        <v>0</v>
      </c>
    </row>
    <row r="1213" spans="1:13" x14ac:dyDescent="0.25">
      <c r="A1213" s="1" t="s">
        <v>1</v>
      </c>
      <c r="B1213" s="1" t="s">
        <v>2</v>
      </c>
      <c r="C1213" s="1">
        <v>42.360599999999998</v>
      </c>
      <c r="D1213" s="1">
        <v>-71.010599999999997</v>
      </c>
      <c r="E1213" s="5">
        <v>41402</v>
      </c>
      <c r="F1213" s="1" t="str">
        <f t="shared" si="19"/>
        <v>May</v>
      </c>
      <c r="G1213" s="1">
        <v>43</v>
      </c>
      <c r="H1213" s="1">
        <v>94</v>
      </c>
      <c r="I1213" s="1" t="str">
        <f>IF(Table1[[#This Row],[Temperature_F]]&lt;32,"Yes","No")</f>
        <v>No</v>
      </c>
      <c r="J1213" s="1" t="str" cm="1">
        <f t="array" ref="J12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3" s="1" t="str" cm="1">
        <f t="array" ref="K1213">_xlfn.IFS(
H1213=0,"No Rain",
H1213&lt;10,"Light",
H1213&lt;50,"Moderate",
TRUE,"Heavy")</f>
        <v>Heavy</v>
      </c>
      <c r="L1213" s="1" t="str">
        <f>IF(Table1[[#This Row],[Precipitation_mm]]&lt;&gt;0,"Wet","Dry")</f>
        <v>Wet</v>
      </c>
      <c r="M1213" t="b">
        <f>OR(ISBLANK(Table1[[#This Row],[Temperature_F]]),ISERROR(Table1[[#This Row],[Temperature_F]]))</f>
        <v>0</v>
      </c>
    </row>
    <row r="1214" spans="1:13" x14ac:dyDescent="0.25">
      <c r="A1214" s="1" t="s">
        <v>1</v>
      </c>
      <c r="B1214" s="1" t="s">
        <v>2</v>
      </c>
      <c r="C1214" s="1">
        <v>42.360599999999998</v>
      </c>
      <c r="D1214" s="1">
        <v>-71.010599999999997</v>
      </c>
      <c r="E1214" s="5">
        <v>41403</v>
      </c>
      <c r="F1214" s="1" t="str">
        <f t="shared" si="19"/>
        <v>May</v>
      </c>
      <c r="G1214" s="1">
        <v>43</v>
      </c>
      <c r="H1214" s="1">
        <v>155</v>
      </c>
      <c r="I1214" s="1" t="str">
        <f>IF(Table1[[#This Row],[Temperature_F]]&lt;32,"Yes","No")</f>
        <v>No</v>
      </c>
      <c r="J1214" s="1" t="str" cm="1">
        <f t="array" ref="J12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4" s="1" t="str" cm="1">
        <f t="array" ref="K1214">_xlfn.IFS(
H1214=0,"No Rain",
H1214&lt;10,"Light",
H1214&lt;50,"Moderate",
TRUE,"Heavy")</f>
        <v>Heavy</v>
      </c>
      <c r="L1214" s="1" t="str">
        <f>IF(Table1[[#This Row],[Precipitation_mm]]&lt;&gt;0,"Wet","Dry")</f>
        <v>Wet</v>
      </c>
      <c r="M1214" t="b">
        <f>OR(ISBLANK(Table1[[#This Row],[Temperature_F]]),ISERROR(Table1[[#This Row],[Temperature_F]]))</f>
        <v>0</v>
      </c>
    </row>
    <row r="1215" spans="1:13" x14ac:dyDescent="0.25">
      <c r="A1215" s="1" t="s">
        <v>1</v>
      </c>
      <c r="B1215" s="1" t="s">
        <v>2</v>
      </c>
      <c r="C1215" s="1">
        <v>42.360599999999998</v>
      </c>
      <c r="D1215" s="1">
        <v>-71.010599999999997</v>
      </c>
      <c r="E1215" s="5">
        <v>41404</v>
      </c>
      <c r="F1215" s="1" t="str">
        <f t="shared" si="19"/>
        <v>May</v>
      </c>
      <c r="G1215" s="1">
        <v>45</v>
      </c>
      <c r="H1215" s="1">
        <v>15</v>
      </c>
      <c r="I1215" s="1" t="str">
        <f>IF(Table1[[#This Row],[Temperature_F]]&lt;32,"Yes","No")</f>
        <v>No</v>
      </c>
      <c r="J1215" s="1" t="str" cm="1">
        <f t="array" ref="J12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5" s="1" t="str" cm="1">
        <f t="array" ref="K1215">_xlfn.IFS(
H1215=0,"No Rain",
H1215&lt;10,"Light",
H1215&lt;50,"Moderate",
TRUE,"Heavy")</f>
        <v>Moderate</v>
      </c>
      <c r="L1215" s="1" t="str">
        <f>IF(Table1[[#This Row],[Precipitation_mm]]&lt;&gt;0,"Wet","Dry")</f>
        <v>Wet</v>
      </c>
      <c r="M1215" t="b">
        <f>OR(ISBLANK(Table1[[#This Row],[Temperature_F]]),ISERROR(Table1[[#This Row],[Temperature_F]]))</f>
        <v>0</v>
      </c>
    </row>
    <row r="1216" spans="1:13" hidden="1" x14ac:dyDescent="0.25">
      <c r="A1216" s="1" t="s">
        <v>1</v>
      </c>
      <c r="B1216" s="1" t="s">
        <v>2</v>
      </c>
      <c r="C1216" s="1">
        <v>42.360599999999998</v>
      </c>
      <c r="D1216" s="1">
        <v>-71.010599999999997</v>
      </c>
      <c r="E1216" s="5">
        <v>41405</v>
      </c>
      <c r="F1216" s="1" t="str">
        <f t="shared" si="19"/>
        <v>May</v>
      </c>
      <c r="G1216" s="1">
        <v>56</v>
      </c>
      <c r="H1216" s="1">
        <v>5</v>
      </c>
      <c r="I1216" s="1" t="str">
        <f>IF(Table1[[#This Row],[Temperature_F]]&lt;32,"Yes","No")</f>
        <v>No</v>
      </c>
      <c r="J1216" s="1" t="str" cm="1">
        <f t="array" ref="J12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16" s="1" t="str" cm="1">
        <f t="array" ref="K1216">_xlfn.IFS(
H1216=0,"No Rain",
H1216&lt;10,"Light",
H1216&lt;50,"Moderate",
TRUE,"Heavy")</f>
        <v>Light</v>
      </c>
      <c r="L1216" s="1" t="str">
        <f>IF(Table1[[#This Row],[Precipitation_mm]]&lt;&gt;0,"Wet","Dry")</f>
        <v>Wet</v>
      </c>
      <c r="M1216" t="b">
        <f>OR(ISBLANK(Table1[[#This Row],[Temperature_F]]),ISERROR(Table1[[#This Row],[Temperature_F]]))</f>
        <v>0</v>
      </c>
    </row>
    <row r="1217" spans="1:13" x14ac:dyDescent="0.25">
      <c r="A1217" s="1" t="s">
        <v>1</v>
      </c>
      <c r="B1217" s="1" t="s">
        <v>2</v>
      </c>
      <c r="C1217" s="1">
        <v>42.360599999999998</v>
      </c>
      <c r="D1217" s="1">
        <v>-71.010599999999997</v>
      </c>
      <c r="E1217" s="5">
        <v>41406</v>
      </c>
      <c r="F1217" s="1" t="str">
        <f t="shared" si="19"/>
        <v>May</v>
      </c>
      <c r="G1217" s="1">
        <v>43</v>
      </c>
      <c r="H1217" s="1">
        <v>10</v>
      </c>
      <c r="I1217" s="1" t="str">
        <f>IF(Table1[[#This Row],[Temperature_F]]&lt;32,"Yes","No")</f>
        <v>No</v>
      </c>
      <c r="J1217" s="1" t="str" cm="1">
        <f t="array" ref="J12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7" s="1" t="str" cm="1">
        <f t="array" ref="K1217">_xlfn.IFS(
H1217=0,"No Rain",
H1217&lt;10,"Light",
H1217&lt;50,"Moderate",
TRUE,"Heavy")</f>
        <v>Moderate</v>
      </c>
      <c r="L1217" s="1" t="str">
        <f>IF(Table1[[#This Row],[Precipitation_mm]]&lt;&gt;0,"Wet","Dry")</f>
        <v>Wet</v>
      </c>
      <c r="M1217" t="b">
        <f>OR(ISBLANK(Table1[[#This Row],[Temperature_F]]),ISERROR(Table1[[#This Row],[Temperature_F]]))</f>
        <v>0</v>
      </c>
    </row>
    <row r="1218" spans="1:13" x14ac:dyDescent="0.25">
      <c r="A1218" s="1" t="s">
        <v>1</v>
      </c>
      <c r="B1218" s="1" t="s">
        <v>2</v>
      </c>
      <c r="C1218" s="1">
        <v>42.360599999999998</v>
      </c>
      <c r="D1218" s="1">
        <v>-71.010599999999997</v>
      </c>
      <c r="E1218" s="5">
        <v>41407</v>
      </c>
      <c r="F1218" s="1" t="str">
        <f t="shared" si="19"/>
        <v>May</v>
      </c>
      <c r="G1218" s="1">
        <v>50</v>
      </c>
      <c r="H1218" s="1">
        <v>0</v>
      </c>
      <c r="I1218" s="1" t="str">
        <f>IF(Table1[[#This Row],[Temperature_F]]&lt;32,"Yes","No")</f>
        <v>No</v>
      </c>
      <c r="J1218" s="1" t="str" cm="1">
        <f t="array" ref="J12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18" s="1" t="str" cm="1">
        <f t="array" ref="K1218">_xlfn.IFS(
H1218=0,"No Rain",
H1218&lt;10,"Light",
H1218&lt;50,"Moderate",
TRUE,"Heavy")</f>
        <v>No Rain</v>
      </c>
      <c r="L1218" s="1" t="str">
        <f>IF(Table1[[#This Row],[Precipitation_mm]]&lt;&gt;0,"Wet","Dry")</f>
        <v>Dry</v>
      </c>
      <c r="M1218" t="b">
        <f>OR(ISBLANK(Table1[[#This Row],[Temperature_F]]),ISERROR(Table1[[#This Row],[Temperature_F]]))</f>
        <v>0</v>
      </c>
    </row>
    <row r="1219" spans="1:13" hidden="1" x14ac:dyDescent="0.25">
      <c r="A1219" s="1" t="s">
        <v>1</v>
      </c>
      <c r="B1219" s="1" t="s">
        <v>2</v>
      </c>
      <c r="C1219" s="1">
        <v>42.360599999999998</v>
      </c>
      <c r="D1219" s="1">
        <v>-71.010599999999997</v>
      </c>
      <c r="E1219" s="5">
        <v>41408</v>
      </c>
      <c r="F1219" s="1" t="str">
        <f t="shared" si="19"/>
        <v>May</v>
      </c>
      <c r="G1219" s="1">
        <v>52</v>
      </c>
      <c r="H1219" s="1">
        <v>0</v>
      </c>
      <c r="I1219" s="1" t="str">
        <f>IF(Table1[[#This Row],[Temperature_F]]&lt;32,"Yes","No")</f>
        <v>No</v>
      </c>
      <c r="J1219" s="1" t="str" cm="1">
        <f t="array" ref="J12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19" s="1" t="str" cm="1">
        <f t="array" ref="K1219">_xlfn.IFS(
H1219=0,"No Rain",
H1219&lt;10,"Light",
H1219&lt;50,"Moderate",
TRUE,"Heavy")</f>
        <v>No Rain</v>
      </c>
      <c r="L1219" s="1" t="str">
        <f>IF(Table1[[#This Row],[Precipitation_mm]]&lt;&gt;0,"Wet","Dry")</f>
        <v>Dry</v>
      </c>
      <c r="M1219" t="b">
        <f>OR(ISBLANK(Table1[[#This Row],[Temperature_F]]),ISERROR(Table1[[#This Row],[Temperature_F]]))</f>
        <v>0</v>
      </c>
    </row>
    <row r="1220" spans="1:13" hidden="1" x14ac:dyDescent="0.25">
      <c r="A1220" s="1" t="s">
        <v>1</v>
      </c>
      <c r="B1220" s="1" t="s">
        <v>2</v>
      </c>
      <c r="C1220" s="1">
        <v>42.360599999999998</v>
      </c>
      <c r="D1220" s="1">
        <v>-71.010599999999997</v>
      </c>
      <c r="E1220" s="5">
        <v>41409</v>
      </c>
      <c r="F1220" s="1" t="str">
        <f t="shared" si="19"/>
        <v>May</v>
      </c>
      <c r="G1220" s="1">
        <v>55</v>
      </c>
      <c r="H1220" s="1">
        <v>0</v>
      </c>
      <c r="I1220" s="1" t="str">
        <f>IF(Table1[[#This Row],[Temperature_F]]&lt;32,"Yes","No")</f>
        <v>No</v>
      </c>
      <c r="J1220" s="1" t="str" cm="1">
        <f t="array" ref="J12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20" s="1" t="str" cm="1">
        <f t="array" ref="K1220">_xlfn.IFS(
H1220=0,"No Rain",
H1220&lt;10,"Light",
H1220&lt;50,"Moderate",
TRUE,"Heavy")</f>
        <v>No Rain</v>
      </c>
      <c r="L1220" s="1" t="str">
        <f>IF(Table1[[#This Row],[Precipitation_mm]]&lt;&gt;0,"Wet","Dry")</f>
        <v>Dry</v>
      </c>
      <c r="M1220" t="b">
        <f>OR(ISBLANK(Table1[[#This Row],[Temperature_F]]),ISERROR(Table1[[#This Row],[Temperature_F]]))</f>
        <v>0</v>
      </c>
    </row>
    <row r="1221" spans="1:13" hidden="1" x14ac:dyDescent="0.25">
      <c r="A1221" s="1" t="s">
        <v>1</v>
      </c>
      <c r="B1221" s="1" t="s">
        <v>2</v>
      </c>
      <c r="C1221" s="1">
        <v>42.360599999999998</v>
      </c>
      <c r="D1221" s="1">
        <v>-71.010599999999997</v>
      </c>
      <c r="E1221" s="5">
        <v>41410</v>
      </c>
      <c r="F1221" s="1" t="str">
        <f t="shared" si="19"/>
        <v>May</v>
      </c>
      <c r="G1221" s="1">
        <v>51</v>
      </c>
      <c r="H1221" s="1">
        <v>0</v>
      </c>
      <c r="I1221" s="1" t="str">
        <f>IF(Table1[[#This Row],[Temperature_F]]&lt;32,"Yes","No")</f>
        <v>No</v>
      </c>
      <c r="J1221" s="1" t="str" cm="1">
        <f t="array" ref="J12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21" s="1" t="str" cm="1">
        <f t="array" ref="K1221">_xlfn.IFS(
H1221=0,"No Rain",
H1221&lt;10,"Light",
H1221&lt;50,"Moderate",
TRUE,"Heavy")</f>
        <v>No Rain</v>
      </c>
      <c r="L1221" s="1" t="str">
        <f>IF(Table1[[#This Row],[Precipitation_mm]]&lt;&gt;0,"Wet","Dry")</f>
        <v>Dry</v>
      </c>
      <c r="M1221" t="b">
        <f>OR(ISBLANK(Table1[[#This Row],[Temperature_F]]),ISERROR(Table1[[#This Row],[Temperature_F]]))</f>
        <v>0</v>
      </c>
    </row>
    <row r="1222" spans="1:13" x14ac:dyDescent="0.25">
      <c r="A1222" s="1" t="s">
        <v>1</v>
      </c>
      <c r="B1222" s="1" t="s">
        <v>2</v>
      </c>
      <c r="C1222" s="1">
        <v>42.360599999999998</v>
      </c>
      <c r="D1222" s="1">
        <v>-71.010599999999997</v>
      </c>
      <c r="E1222" s="5">
        <v>41411</v>
      </c>
      <c r="F1222" s="1" t="str">
        <f t="shared" si="19"/>
        <v>May</v>
      </c>
      <c r="G1222" s="1">
        <v>50</v>
      </c>
      <c r="H1222" s="1">
        <v>0</v>
      </c>
      <c r="I1222" s="1" t="str">
        <f>IF(Table1[[#This Row],[Temperature_F]]&lt;32,"Yes","No")</f>
        <v>No</v>
      </c>
      <c r="J1222" s="1" t="str" cm="1">
        <f t="array" ref="J12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22" s="1" t="str" cm="1">
        <f t="array" ref="K1222">_xlfn.IFS(
H1222=0,"No Rain",
H1222&lt;10,"Light",
H1222&lt;50,"Moderate",
TRUE,"Heavy")</f>
        <v>No Rain</v>
      </c>
      <c r="L1222" s="1" t="str">
        <f>IF(Table1[[#This Row],[Precipitation_mm]]&lt;&gt;0,"Wet","Dry")</f>
        <v>Dry</v>
      </c>
      <c r="M1222" t="b">
        <f>OR(ISBLANK(Table1[[#This Row],[Temperature_F]]),ISERROR(Table1[[#This Row],[Temperature_F]]))</f>
        <v>0</v>
      </c>
    </row>
    <row r="1223" spans="1:13" x14ac:dyDescent="0.25">
      <c r="A1223" s="1" t="s">
        <v>1</v>
      </c>
      <c r="B1223" s="1" t="s">
        <v>2</v>
      </c>
      <c r="C1223" s="1">
        <v>42.360599999999998</v>
      </c>
      <c r="D1223" s="1">
        <v>-71.010599999999997</v>
      </c>
      <c r="E1223" s="5">
        <v>41412</v>
      </c>
      <c r="F1223" s="1" t="str">
        <f t="shared" si="19"/>
        <v>May</v>
      </c>
      <c r="G1223" s="1">
        <v>43</v>
      </c>
      <c r="H1223" s="1">
        <v>0</v>
      </c>
      <c r="I1223" s="1" t="str">
        <f>IF(Table1[[#This Row],[Temperature_F]]&lt;32,"Yes","No")</f>
        <v>No</v>
      </c>
      <c r="J1223" s="1" t="str" cm="1">
        <f t="array" ref="J12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23" s="1" t="str" cm="1">
        <f t="array" ref="K1223">_xlfn.IFS(
H1223=0,"No Rain",
H1223&lt;10,"Light",
H1223&lt;50,"Moderate",
TRUE,"Heavy")</f>
        <v>No Rain</v>
      </c>
      <c r="L1223" s="1" t="str">
        <f>IF(Table1[[#This Row],[Precipitation_mm]]&lt;&gt;0,"Wet","Dry")</f>
        <v>Dry</v>
      </c>
      <c r="M1223" t="b">
        <f>OR(ISBLANK(Table1[[#This Row],[Temperature_F]]),ISERROR(Table1[[#This Row],[Temperature_F]]))</f>
        <v>0</v>
      </c>
    </row>
    <row r="1224" spans="1:13" x14ac:dyDescent="0.25">
      <c r="A1224" s="1" t="s">
        <v>1</v>
      </c>
      <c r="B1224" s="1" t="s">
        <v>2</v>
      </c>
      <c r="C1224" s="1">
        <v>42.360599999999998</v>
      </c>
      <c r="D1224" s="1">
        <v>-71.010599999999997</v>
      </c>
      <c r="E1224" s="5">
        <v>41413</v>
      </c>
      <c r="F1224" s="1" t="str">
        <f t="shared" si="19"/>
        <v>May</v>
      </c>
      <c r="G1224" s="1">
        <v>41</v>
      </c>
      <c r="H1224" s="1">
        <v>43</v>
      </c>
      <c r="I1224" s="1" t="str">
        <f>IF(Table1[[#This Row],[Temperature_F]]&lt;32,"Yes","No")</f>
        <v>No</v>
      </c>
      <c r="J1224" s="1" t="str" cm="1">
        <f t="array" ref="J12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24" s="1" t="str" cm="1">
        <f t="array" ref="K1224">_xlfn.IFS(
H1224=0,"No Rain",
H1224&lt;10,"Light",
H1224&lt;50,"Moderate",
TRUE,"Heavy")</f>
        <v>Moderate</v>
      </c>
      <c r="L1224" s="1" t="str">
        <f>IF(Table1[[#This Row],[Precipitation_mm]]&lt;&gt;0,"Wet","Dry")</f>
        <v>Wet</v>
      </c>
      <c r="M1224" t="b">
        <f>OR(ISBLANK(Table1[[#This Row],[Temperature_F]]),ISERROR(Table1[[#This Row],[Temperature_F]]))</f>
        <v>0</v>
      </c>
    </row>
    <row r="1225" spans="1:13" hidden="1" x14ac:dyDescent="0.25">
      <c r="A1225" s="1" t="s">
        <v>1</v>
      </c>
      <c r="B1225" s="1" t="s">
        <v>2</v>
      </c>
      <c r="C1225" s="1">
        <v>42.360599999999998</v>
      </c>
      <c r="D1225" s="1">
        <v>-71.010599999999997</v>
      </c>
      <c r="E1225" s="5">
        <v>41414</v>
      </c>
      <c r="F1225" s="1" t="str">
        <f t="shared" si="19"/>
        <v>May</v>
      </c>
      <c r="G1225" s="1">
        <v>51</v>
      </c>
      <c r="H1225" s="1">
        <v>10</v>
      </c>
      <c r="I1225" s="1" t="str">
        <f>IF(Table1[[#This Row],[Temperature_F]]&lt;32,"Yes","No")</f>
        <v>No</v>
      </c>
      <c r="J1225" s="1" t="str" cm="1">
        <f t="array" ref="J12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25" s="1" t="str" cm="1">
        <f t="array" ref="K1225">_xlfn.IFS(
H1225=0,"No Rain",
H1225&lt;10,"Light",
H1225&lt;50,"Moderate",
TRUE,"Heavy")</f>
        <v>Moderate</v>
      </c>
      <c r="L1225" s="1" t="str">
        <f>IF(Table1[[#This Row],[Precipitation_mm]]&lt;&gt;0,"Wet","Dry")</f>
        <v>Wet</v>
      </c>
      <c r="M1225" t="b">
        <f>OR(ISBLANK(Table1[[#This Row],[Temperature_F]]),ISERROR(Table1[[#This Row],[Temperature_F]]))</f>
        <v>0</v>
      </c>
    </row>
    <row r="1226" spans="1:13" hidden="1" x14ac:dyDescent="0.25">
      <c r="A1226" s="1" t="s">
        <v>1</v>
      </c>
      <c r="B1226" s="1" t="s">
        <v>2</v>
      </c>
      <c r="C1226" s="1">
        <v>42.360599999999998</v>
      </c>
      <c r="D1226" s="1">
        <v>-71.010599999999997</v>
      </c>
      <c r="E1226" s="5">
        <v>41415</v>
      </c>
      <c r="F1226" s="1" t="str">
        <f t="shared" si="19"/>
        <v>May</v>
      </c>
      <c r="G1226" s="1">
        <v>57</v>
      </c>
      <c r="H1226" s="1">
        <v>3</v>
      </c>
      <c r="I1226" s="1" t="str">
        <f>IF(Table1[[#This Row],[Temperature_F]]&lt;32,"Yes","No")</f>
        <v>No</v>
      </c>
      <c r="J1226" s="1" t="str" cm="1">
        <f t="array" ref="J12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26" s="1" t="str" cm="1">
        <f t="array" ref="K1226">_xlfn.IFS(
H1226=0,"No Rain",
H1226&lt;10,"Light",
H1226&lt;50,"Moderate",
TRUE,"Heavy")</f>
        <v>Light</v>
      </c>
      <c r="L1226" s="1" t="str">
        <f>IF(Table1[[#This Row],[Precipitation_mm]]&lt;&gt;0,"Wet","Dry")</f>
        <v>Wet</v>
      </c>
      <c r="M1226" t="b">
        <f>OR(ISBLANK(Table1[[#This Row],[Temperature_F]]),ISERROR(Table1[[#This Row],[Temperature_F]]))</f>
        <v>0</v>
      </c>
    </row>
    <row r="1227" spans="1:13" hidden="1" x14ac:dyDescent="0.25">
      <c r="A1227" s="1" t="s">
        <v>1</v>
      </c>
      <c r="B1227" s="1" t="s">
        <v>2</v>
      </c>
      <c r="C1227" s="1">
        <v>42.360599999999998</v>
      </c>
      <c r="D1227" s="1">
        <v>-71.010599999999997</v>
      </c>
      <c r="E1227" s="5">
        <v>41416</v>
      </c>
      <c r="F1227" s="1" t="str">
        <f t="shared" si="19"/>
        <v>May</v>
      </c>
      <c r="G1227" s="1">
        <v>57</v>
      </c>
      <c r="H1227" s="1">
        <v>13</v>
      </c>
      <c r="I1227" s="1" t="str">
        <f>IF(Table1[[#This Row],[Temperature_F]]&lt;32,"Yes","No")</f>
        <v>No</v>
      </c>
      <c r="J1227" s="1" t="str" cm="1">
        <f t="array" ref="J12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27" s="1" t="str" cm="1">
        <f t="array" ref="K1227">_xlfn.IFS(
H1227=0,"No Rain",
H1227&lt;10,"Light",
H1227&lt;50,"Moderate",
TRUE,"Heavy")</f>
        <v>Moderate</v>
      </c>
      <c r="L1227" s="1" t="str">
        <f>IF(Table1[[#This Row],[Precipitation_mm]]&lt;&gt;0,"Wet","Dry")</f>
        <v>Wet</v>
      </c>
      <c r="M1227" t="b">
        <f>OR(ISBLANK(Table1[[#This Row],[Temperature_F]]),ISERROR(Table1[[#This Row],[Temperature_F]]))</f>
        <v>0</v>
      </c>
    </row>
    <row r="1228" spans="1:13" x14ac:dyDescent="0.25">
      <c r="A1228" s="1" t="s">
        <v>1</v>
      </c>
      <c r="B1228" s="1" t="s">
        <v>2</v>
      </c>
      <c r="C1228" s="1">
        <v>42.360599999999998</v>
      </c>
      <c r="D1228" s="1">
        <v>-71.010599999999997</v>
      </c>
      <c r="E1228" s="5">
        <v>41417</v>
      </c>
      <c r="F1228" s="1" t="str">
        <f t="shared" si="19"/>
        <v>May</v>
      </c>
      <c r="G1228" s="1">
        <v>42</v>
      </c>
      <c r="H1228" s="1">
        <v>13</v>
      </c>
      <c r="I1228" s="1" t="str">
        <f>IF(Table1[[#This Row],[Temperature_F]]&lt;32,"Yes","No")</f>
        <v>No</v>
      </c>
      <c r="J1228" s="1" t="str" cm="1">
        <f t="array" ref="J12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28" s="1" t="str" cm="1">
        <f t="array" ref="K1228">_xlfn.IFS(
H1228=0,"No Rain",
H1228&lt;10,"Light",
H1228&lt;50,"Moderate",
TRUE,"Heavy")</f>
        <v>Moderate</v>
      </c>
      <c r="L1228" s="1" t="str">
        <f>IF(Table1[[#This Row],[Precipitation_mm]]&lt;&gt;0,"Wet","Dry")</f>
        <v>Wet</v>
      </c>
      <c r="M1228" t="b">
        <f>OR(ISBLANK(Table1[[#This Row],[Temperature_F]]),ISERROR(Table1[[#This Row],[Temperature_F]]))</f>
        <v>0</v>
      </c>
    </row>
    <row r="1229" spans="1:13" x14ac:dyDescent="0.25">
      <c r="A1229" s="1" t="s">
        <v>1</v>
      </c>
      <c r="B1229" s="1" t="s">
        <v>2</v>
      </c>
      <c r="C1229" s="1">
        <v>42.360599999999998</v>
      </c>
      <c r="D1229" s="1">
        <v>-71.010599999999997</v>
      </c>
      <c r="E1229" s="5">
        <v>41418</v>
      </c>
      <c r="F1229" s="1" t="str">
        <f t="shared" si="19"/>
        <v>May</v>
      </c>
      <c r="G1229" s="1">
        <v>49</v>
      </c>
      <c r="H1229" s="1">
        <v>145</v>
      </c>
      <c r="I1229" s="1" t="str">
        <f>IF(Table1[[#This Row],[Temperature_F]]&lt;32,"Yes","No")</f>
        <v>No</v>
      </c>
      <c r="J1229" s="1" t="str" cm="1">
        <f t="array" ref="J12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29" s="1" t="str" cm="1">
        <f t="array" ref="K1229">_xlfn.IFS(
H1229=0,"No Rain",
H1229&lt;10,"Light",
H1229&lt;50,"Moderate",
TRUE,"Heavy")</f>
        <v>Heavy</v>
      </c>
      <c r="L1229" s="1" t="str">
        <f>IF(Table1[[#This Row],[Precipitation_mm]]&lt;&gt;0,"Wet","Dry")</f>
        <v>Wet</v>
      </c>
      <c r="M1229" t="b">
        <f>OR(ISBLANK(Table1[[#This Row],[Temperature_F]]),ISERROR(Table1[[#This Row],[Temperature_F]]))</f>
        <v>0</v>
      </c>
    </row>
    <row r="1230" spans="1:13" x14ac:dyDescent="0.25">
      <c r="A1230" s="1" t="s">
        <v>1</v>
      </c>
      <c r="B1230" s="1" t="s">
        <v>2</v>
      </c>
      <c r="C1230" s="1">
        <v>42.360599999999998</v>
      </c>
      <c r="D1230" s="1">
        <v>-71.010599999999997</v>
      </c>
      <c r="E1230" s="5">
        <v>41419</v>
      </c>
      <c r="F1230" s="1" t="str">
        <f t="shared" si="19"/>
        <v>May</v>
      </c>
      <c r="G1230" s="1">
        <v>44</v>
      </c>
      <c r="H1230" s="1">
        <v>86</v>
      </c>
      <c r="I1230" s="1" t="str">
        <f>IF(Table1[[#This Row],[Temperature_F]]&lt;32,"Yes","No")</f>
        <v>No</v>
      </c>
      <c r="J1230" s="1" t="str" cm="1">
        <f t="array" ref="J12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30" s="1" t="str" cm="1">
        <f t="array" ref="K1230">_xlfn.IFS(
H1230=0,"No Rain",
H1230&lt;10,"Light",
H1230&lt;50,"Moderate",
TRUE,"Heavy")</f>
        <v>Heavy</v>
      </c>
      <c r="L1230" s="1" t="str">
        <f>IF(Table1[[#This Row],[Precipitation_mm]]&lt;&gt;0,"Wet","Dry")</f>
        <v>Wet</v>
      </c>
      <c r="M1230" t="b">
        <f>OR(ISBLANK(Table1[[#This Row],[Temperature_F]]),ISERROR(Table1[[#This Row],[Temperature_F]]))</f>
        <v>0</v>
      </c>
    </row>
    <row r="1231" spans="1:13" hidden="1" x14ac:dyDescent="0.25">
      <c r="A1231" s="1" t="s">
        <v>1</v>
      </c>
      <c r="B1231" s="1" t="s">
        <v>2</v>
      </c>
      <c r="C1231" s="1">
        <v>42.360599999999998</v>
      </c>
      <c r="D1231" s="1">
        <v>-71.010599999999997</v>
      </c>
      <c r="E1231" s="5">
        <v>41420</v>
      </c>
      <c r="F1231" s="1" t="str">
        <f t="shared" si="19"/>
        <v>May</v>
      </c>
      <c r="G1231" s="1">
        <v>60</v>
      </c>
      <c r="H1231" s="1">
        <v>13</v>
      </c>
      <c r="I1231" s="1" t="str">
        <f>IF(Table1[[#This Row],[Temperature_F]]&lt;32,"Yes","No")</f>
        <v>No</v>
      </c>
      <c r="J1231" s="1" t="str" cm="1">
        <f t="array" ref="J12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31" s="1" t="str" cm="1">
        <f t="array" ref="K1231">_xlfn.IFS(
H1231=0,"No Rain",
H1231&lt;10,"Light",
H1231&lt;50,"Moderate",
TRUE,"Heavy")</f>
        <v>Moderate</v>
      </c>
      <c r="L1231" s="1" t="str">
        <f>IF(Table1[[#This Row],[Precipitation_mm]]&lt;&gt;0,"Wet","Dry")</f>
        <v>Wet</v>
      </c>
      <c r="M1231" t="b">
        <f>OR(ISBLANK(Table1[[#This Row],[Temperature_F]]),ISERROR(Table1[[#This Row],[Temperature_F]]))</f>
        <v>0</v>
      </c>
    </row>
    <row r="1232" spans="1:13" x14ac:dyDescent="0.25">
      <c r="A1232" s="1" t="s">
        <v>1</v>
      </c>
      <c r="B1232" s="1" t="s">
        <v>2</v>
      </c>
      <c r="C1232" s="1">
        <v>42.360599999999998</v>
      </c>
      <c r="D1232" s="1">
        <v>-71.010599999999997</v>
      </c>
      <c r="E1232" s="5">
        <v>41421</v>
      </c>
      <c r="F1232" s="1" t="str">
        <f t="shared" si="19"/>
        <v>May</v>
      </c>
      <c r="G1232" s="1">
        <v>42</v>
      </c>
      <c r="H1232" s="1">
        <v>0</v>
      </c>
      <c r="I1232" s="1" t="str">
        <f>IF(Table1[[#This Row],[Temperature_F]]&lt;32,"Yes","No")</f>
        <v>No</v>
      </c>
      <c r="J1232" s="1" t="str" cm="1">
        <f t="array" ref="J12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32" s="1" t="str" cm="1">
        <f t="array" ref="K1232">_xlfn.IFS(
H1232=0,"No Rain",
H1232&lt;10,"Light",
H1232&lt;50,"Moderate",
TRUE,"Heavy")</f>
        <v>No Rain</v>
      </c>
      <c r="L1232" s="1" t="str">
        <f>IF(Table1[[#This Row],[Precipitation_mm]]&lt;&gt;0,"Wet","Dry")</f>
        <v>Dry</v>
      </c>
      <c r="M1232" t="b">
        <f>OR(ISBLANK(Table1[[#This Row],[Temperature_F]]),ISERROR(Table1[[#This Row],[Temperature_F]]))</f>
        <v>0</v>
      </c>
    </row>
    <row r="1233" spans="1:13" hidden="1" x14ac:dyDescent="0.25">
      <c r="A1233" s="1" t="s">
        <v>1</v>
      </c>
      <c r="B1233" s="1" t="s">
        <v>2</v>
      </c>
      <c r="C1233" s="1">
        <v>42.360599999999998</v>
      </c>
      <c r="D1233" s="1">
        <v>-71.010599999999997</v>
      </c>
      <c r="E1233" s="5">
        <v>41422</v>
      </c>
      <c r="F1233" s="1" t="str">
        <f t="shared" si="19"/>
        <v>May</v>
      </c>
      <c r="G1233" s="1">
        <v>52</v>
      </c>
      <c r="H1233" s="1">
        <v>0</v>
      </c>
      <c r="I1233" s="1" t="str">
        <f>IF(Table1[[#This Row],[Temperature_F]]&lt;32,"Yes","No")</f>
        <v>No</v>
      </c>
      <c r="J1233" s="1" t="str" cm="1">
        <f t="array" ref="J12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33" s="1" t="str" cm="1">
        <f t="array" ref="K1233">_xlfn.IFS(
H1233=0,"No Rain",
H1233&lt;10,"Light",
H1233&lt;50,"Moderate",
TRUE,"Heavy")</f>
        <v>No Rain</v>
      </c>
      <c r="L1233" s="1" t="str">
        <f>IF(Table1[[#This Row],[Precipitation_mm]]&lt;&gt;0,"Wet","Dry")</f>
        <v>Dry</v>
      </c>
      <c r="M1233" t="b">
        <f>OR(ISBLANK(Table1[[#This Row],[Temperature_F]]),ISERROR(Table1[[#This Row],[Temperature_F]]))</f>
        <v>0</v>
      </c>
    </row>
    <row r="1234" spans="1:13" x14ac:dyDescent="0.25">
      <c r="A1234" s="1" t="s">
        <v>1</v>
      </c>
      <c r="B1234" s="1" t="s">
        <v>2</v>
      </c>
      <c r="C1234" s="1">
        <v>42.360599999999998</v>
      </c>
      <c r="D1234" s="1">
        <v>-71.010599999999997</v>
      </c>
      <c r="E1234" s="5">
        <v>41423</v>
      </c>
      <c r="F1234" s="1" t="str">
        <f t="shared" si="19"/>
        <v>May</v>
      </c>
      <c r="G1234" s="1">
        <v>40</v>
      </c>
      <c r="H1234" s="1">
        <v>213</v>
      </c>
      <c r="I1234" s="1" t="str">
        <f>IF(Table1[[#This Row],[Temperature_F]]&lt;32,"Yes","No")</f>
        <v>No</v>
      </c>
      <c r="J1234" s="1" t="str" cm="1">
        <f t="array" ref="J12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234" s="1" t="str" cm="1">
        <f t="array" ref="K1234">_xlfn.IFS(
H1234=0,"No Rain",
H1234&lt;10,"Light",
H1234&lt;50,"Moderate",
TRUE,"Heavy")</f>
        <v>Heavy</v>
      </c>
      <c r="L1234" s="1" t="str">
        <f>IF(Table1[[#This Row],[Precipitation_mm]]&lt;&gt;0,"Wet","Dry")</f>
        <v>Wet</v>
      </c>
      <c r="M1234" t="b">
        <f>OR(ISBLANK(Table1[[#This Row],[Temperature_F]]),ISERROR(Table1[[#This Row],[Temperature_F]]))</f>
        <v>0</v>
      </c>
    </row>
    <row r="1235" spans="1:13" hidden="1" x14ac:dyDescent="0.25">
      <c r="A1235" s="1" t="s">
        <v>1</v>
      </c>
      <c r="B1235" s="1" t="s">
        <v>2</v>
      </c>
      <c r="C1235" s="1">
        <v>42.360599999999998</v>
      </c>
      <c r="D1235" s="1">
        <v>-71.010599999999997</v>
      </c>
      <c r="E1235" s="5">
        <v>41424</v>
      </c>
      <c r="F1235" s="1" t="str">
        <f t="shared" si="19"/>
        <v>May</v>
      </c>
      <c r="G1235" s="1">
        <v>53</v>
      </c>
      <c r="H1235" s="1">
        <v>0</v>
      </c>
      <c r="I1235" s="1" t="str">
        <f>IF(Table1[[#This Row],[Temperature_F]]&lt;32,"Yes","No")</f>
        <v>No</v>
      </c>
      <c r="J1235" s="1" t="str" cm="1">
        <f t="array" ref="J12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35" s="1" t="str" cm="1">
        <f t="array" ref="K1235">_xlfn.IFS(
H1235=0,"No Rain",
H1235&lt;10,"Light",
H1235&lt;50,"Moderate",
TRUE,"Heavy")</f>
        <v>No Rain</v>
      </c>
      <c r="L1235" s="1" t="str">
        <f>IF(Table1[[#This Row],[Precipitation_mm]]&lt;&gt;0,"Wet","Dry")</f>
        <v>Dry</v>
      </c>
      <c r="M1235" t="b">
        <f>OR(ISBLANK(Table1[[#This Row],[Temperature_F]]),ISERROR(Table1[[#This Row],[Temperature_F]]))</f>
        <v>0</v>
      </c>
    </row>
    <row r="1236" spans="1:13" hidden="1" x14ac:dyDescent="0.25">
      <c r="A1236" s="1" t="s">
        <v>1</v>
      </c>
      <c r="B1236" s="1" t="s">
        <v>2</v>
      </c>
      <c r="C1236" s="1">
        <v>42.360599999999998</v>
      </c>
      <c r="D1236" s="1">
        <v>-71.010599999999997</v>
      </c>
      <c r="E1236" s="5">
        <v>41425</v>
      </c>
      <c r="F1236" s="1" t="str">
        <f t="shared" si="19"/>
        <v>May</v>
      </c>
      <c r="G1236" s="1">
        <v>54</v>
      </c>
      <c r="H1236" s="1">
        <v>0</v>
      </c>
      <c r="I1236" s="1" t="str">
        <f>IF(Table1[[#This Row],[Temperature_F]]&lt;32,"Yes","No")</f>
        <v>No</v>
      </c>
      <c r="J1236" s="1" t="str" cm="1">
        <f t="array" ref="J12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36" s="1" t="str" cm="1">
        <f t="array" ref="K1236">_xlfn.IFS(
H1236=0,"No Rain",
H1236&lt;10,"Light",
H1236&lt;50,"Moderate",
TRUE,"Heavy")</f>
        <v>No Rain</v>
      </c>
      <c r="L1236" s="1" t="str">
        <f>IF(Table1[[#This Row],[Precipitation_mm]]&lt;&gt;0,"Wet","Dry")</f>
        <v>Dry</v>
      </c>
      <c r="M1236" t="b">
        <f>OR(ISBLANK(Table1[[#This Row],[Temperature_F]]),ISERROR(Table1[[#This Row],[Temperature_F]]))</f>
        <v>0</v>
      </c>
    </row>
    <row r="1237" spans="1:13" hidden="1" x14ac:dyDescent="0.25">
      <c r="A1237" s="1" t="s">
        <v>1</v>
      </c>
      <c r="B1237" s="1" t="s">
        <v>2</v>
      </c>
      <c r="C1237" s="1">
        <v>42.360599999999998</v>
      </c>
      <c r="D1237" s="1">
        <v>-71.010599999999997</v>
      </c>
      <c r="E1237" s="5">
        <v>41426</v>
      </c>
      <c r="F1237" s="1" t="str">
        <f t="shared" si="19"/>
        <v>June</v>
      </c>
      <c r="G1237" s="1">
        <v>79</v>
      </c>
      <c r="H1237" s="1">
        <v>0</v>
      </c>
      <c r="I1237" s="1" t="str">
        <f>IF(Table1[[#This Row],[Temperature_F]]&lt;32,"Yes","No")</f>
        <v>No</v>
      </c>
      <c r="J1237" s="1" t="str" cm="1">
        <f t="array" ref="J12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37" s="1" t="str" cm="1">
        <f t="array" ref="K1237">_xlfn.IFS(
H1237=0,"No Rain",
H1237&lt;10,"Light",
H1237&lt;50,"Moderate",
TRUE,"Heavy")</f>
        <v>No Rain</v>
      </c>
      <c r="L1237" s="1" t="str">
        <f>IF(Table1[[#This Row],[Precipitation_mm]]&lt;&gt;0,"Wet","Dry")</f>
        <v>Dry</v>
      </c>
      <c r="M1237" t="b">
        <f>OR(ISBLANK(Table1[[#This Row],[Temperature_F]]),ISERROR(Table1[[#This Row],[Temperature_F]]))</f>
        <v>0</v>
      </c>
    </row>
    <row r="1238" spans="1:13" hidden="1" x14ac:dyDescent="0.25">
      <c r="A1238" s="1" t="s">
        <v>1</v>
      </c>
      <c r="B1238" s="1" t="s">
        <v>2</v>
      </c>
      <c r="C1238" s="1">
        <v>42.360599999999998</v>
      </c>
      <c r="D1238" s="1">
        <v>-71.010599999999997</v>
      </c>
      <c r="E1238" s="5">
        <v>41427</v>
      </c>
      <c r="F1238" s="1" t="str">
        <f t="shared" si="19"/>
        <v>June</v>
      </c>
      <c r="G1238" s="1">
        <v>88</v>
      </c>
      <c r="H1238" s="1">
        <v>0</v>
      </c>
      <c r="I1238" s="1" t="str">
        <f>IF(Table1[[#This Row],[Temperature_F]]&lt;32,"Yes","No")</f>
        <v>No</v>
      </c>
      <c r="J1238" s="1" t="str" cm="1">
        <f t="array" ref="J12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38" s="1" t="str" cm="1">
        <f t="array" ref="K1238">_xlfn.IFS(
H1238=0,"No Rain",
H1238&lt;10,"Light",
H1238&lt;50,"Moderate",
TRUE,"Heavy")</f>
        <v>No Rain</v>
      </c>
      <c r="L1238" s="1" t="str">
        <f>IF(Table1[[#This Row],[Precipitation_mm]]&lt;&gt;0,"Wet","Dry")</f>
        <v>Dry</v>
      </c>
      <c r="M1238" t="b">
        <f>OR(ISBLANK(Table1[[#This Row],[Temperature_F]]),ISERROR(Table1[[#This Row],[Temperature_F]]))</f>
        <v>0</v>
      </c>
    </row>
    <row r="1239" spans="1:13" hidden="1" x14ac:dyDescent="0.25">
      <c r="A1239" s="1" t="s">
        <v>1</v>
      </c>
      <c r="B1239" s="1" t="s">
        <v>2</v>
      </c>
      <c r="C1239" s="1">
        <v>42.360599999999998</v>
      </c>
      <c r="D1239" s="1">
        <v>-71.010599999999997</v>
      </c>
      <c r="E1239" s="5">
        <v>41428</v>
      </c>
      <c r="F1239" s="1" t="str">
        <f t="shared" si="19"/>
        <v>June</v>
      </c>
      <c r="G1239" s="1">
        <v>69</v>
      </c>
      <c r="H1239" s="1">
        <v>180</v>
      </c>
      <c r="I1239" s="1" t="str">
        <f>IF(Table1[[#This Row],[Temperature_F]]&lt;32,"Yes","No")</f>
        <v>No</v>
      </c>
      <c r="J1239" s="1" t="str" cm="1">
        <f t="array" ref="J12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39" s="1" t="str" cm="1">
        <f t="array" ref="K1239">_xlfn.IFS(
H1239=0,"No Rain",
H1239&lt;10,"Light",
H1239&lt;50,"Moderate",
TRUE,"Heavy")</f>
        <v>Heavy</v>
      </c>
      <c r="L1239" s="1" t="str">
        <f>IF(Table1[[#This Row],[Precipitation_mm]]&lt;&gt;0,"Wet","Dry")</f>
        <v>Wet</v>
      </c>
      <c r="M1239" t="b">
        <f>OR(ISBLANK(Table1[[#This Row],[Temperature_F]]),ISERROR(Table1[[#This Row],[Temperature_F]]))</f>
        <v>0</v>
      </c>
    </row>
    <row r="1240" spans="1:13" hidden="1" x14ac:dyDescent="0.25">
      <c r="A1240" s="1" t="s">
        <v>1</v>
      </c>
      <c r="B1240" s="1" t="s">
        <v>2</v>
      </c>
      <c r="C1240" s="1">
        <v>42.360599999999998</v>
      </c>
      <c r="D1240" s="1">
        <v>-71.010599999999997</v>
      </c>
      <c r="E1240" s="5">
        <v>41429</v>
      </c>
      <c r="F1240" s="1" t="str">
        <f t="shared" si="19"/>
        <v>June</v>
      </c>
      <c r="G1240" s="1">
        <v>88</v>
      </c>
      <c r="H1240" s="1">
        <v>0</v>
      </c>
      <c r="I1240" s="1" t="str">
        <f>IF(Table1[[#This Row],[Temperature_F]]&lt;32,"Yes","No")</f>
        <v>No</v>
      </c>
      <c r="J1240" s="1" t="str" cm="1">
        <f t="array" ref="J12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40" s="1" t="str" cm="1">
        <f t="array" ref="K1240">_xlfn.IFS(
H1240=0,"No Rain",
H1240&lt;10,"Light",
H1240&lt;50,"Moderate",
TRUE,"Heavy")</f>
        <v>No Rain</v>
      </c>
      <c r="L1240" s="1" t="str">
        <f>IF(Table1[[#This Row],[Precipitation_mm]]&lt;&gt;0,"Wet","Dry")</f>
        <v>Dry</v>
      </c>
      <c r="M1240" t="b">
        <f>OR(ISBLANK(Table1[[#This Row],[Temperature_F]]),ISERROR(Table1[[#This Row],[Temperature_F]]))</f>
        <v>0</v>
      </c>
    </row>
    <row r="1241" spans="1:13" hidden="1" x14ac:dyDescent="0.25">
      <c r="A1241" s="1" t="s">
        <v>1</v>
      </c>
      <c r="B1241" s="1" t="s">
        <v>2</v>
      </c>
      <c r="C1241" s="1">
        <v>42.360599999999998</v>
      </c>
      <c r="D1241" s="1">
        <v>-71.010599999999997</v>
      </c>
      <c r="E1241" s="5">
        <v>41430</v>
      </c>
      <c r="F1241" s="1" t="str">
        <f t="shared" si="19"/>
        <v>June</v>
      </c>
      <c r="G1241" s="1">
        <v>73</v>
      </c>
      <c r="H1241" s="1">
        <v>0</v>
      </c>
      <c r="I1241" s="1" t="str">
        <f>IF(Table1[[#This Row],[Temperature_F]]&lt;32,"Yes","No")</f>
        <v>No</v>
      </c>
      <c r="J1241" s="1" t="str" cm="1">
        <f t="array" ref="J12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41" s="1" t="str" cm="1">
        <f t="array" ref="K1241">_xlfn.IFS(
H1241=0,"No Rain",
H1241&lt;10,"Light",
H1241&lt;50,"Moderate",
TRUE,"Heavy")</f>
        <v>No Rain</v>
      </c>
      <c r="L1241" s="1" t="str">
        <f>IF(Table1[[#This Row],[Precipitation_mm]]&lt;&gt;0,"Wet","Dry")</f>
        <v>Dry</v>
      </c>
      <c r="M1241" t="b">
        <f>OR(ISBLANK(Table1[[#This Row],[Temperature_F]]),ISERROR(Table1[[#This Row],[Temperature_F]]))</f>
        <v>0</v>
      </c>
    </row>
    <row r="1242" spans="1:13" hidden="1" x14ac:dyDescent="0.25">
      <c r="A1242" s="1" t="s">
        <v>1</v>
      </c>
      <c r="B1242" s="1" t="s">
        <v>2</v>
      </c>
      <c r="C1242" s="1">
        <v>42.360599999999998</v>
      </c>
      <c r="D1242" s="1">
        <v>-71.010599999999997</v>
      </c>
      <c r="E1242" s="5">
        <v>41431</v>
      </c>
      <c r="F1242" s="1" t="str">
        <f t="shared" si="19"/>
        <v>June</v>
      </c>
      <c r="G1242" s="1">
        <v>65</v>
      </c>
      <c r="H1242" s="1">
        <v>5</v>
      </c>
      <c r="I1242" s="1" t="str">
        <f>IF(Table1[[#This Row],[Temperature_F]]&lt;32,"Yes","No")</f>
        <v>No</v>
      </c>
      <c r="J1242" s="1" t="str" cm="1">
        <f t="array" ref="J12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42" s="1" t="str" cm="1">
        <f t="array" ref="K1242">_xlfn.IFS(
H1242=0,"No Rain",
H1242&lt;10,"Light",
H1242&lt;50,"Moderate",
TRUE,"Heavy")</f>
        <v>Light</v>
      </c>
      <c r="L1242" s="1" t="str">
        <f>IF(Table1[[#This Row],[Precipitation_mm]]&lt;&gt;0,"Wet","Dry")</f>
        <v>Wet</v>
      </c>
      <c r="M1242" t="b">
        <f>OR(ISBLANK(Table1[[#This Row],[Temperature_F]]),ISERROR(Table1[[#This Row],[Temperature_F]]))</f>
        <v>0</v>
      </c>
    </row>
    <row r="1243" spans="1:13" hidden="1" x14ac:dyDescent="0.25">
      <c r="A1243" s="1" t="s">
        <v>1</v>
      </c>
      <c r="B1243" s="1" t="s">
        <v>2</v>
      </c>
      <c r="C1243" s="1">
        <v>42.360599999999998</v>
      </c>
      <c r="D1243" s="1">
        <v>-71.010599999999997</v>
      </c>
      <c r="E1243" s="5">
        <v>41432</v>
      </c>
      <c r="F1243" s="1" t="str">
        <f t="shared" si="19"/>
        <v>June</v>
      </c>
      <c r="G1243" s="1">
        <v>72</v>
      </c>
      <c r="H1243" s="1">
        <v>780</v>
      </c>
      <c r="I1243" s="1" t="str">
        <f>IF(Table1[[#This Row],[Temperature_F]]&lt;32,"Yes","No")</f>
        <v>No</v>
      </c>
      <c r="J1243" s="1" t="str" cm="1">
        <f t="array" ref="J12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43" s="1" t="str" cm="1">
        <f t="array" ref="K1243">_xlfn.IFS(
H1243=0,"No Rain",
H1243&lt;10,"Light",
H1243&lt;50,"Moderate",
TRUE,"Heavy")</f>
        <v>Heavy</v>
      </c>
      <c r="L1243" s="1" t="str">
        <f>IF(Table1[[#This Row],[Precipitation_mm]]&lt;&gt;0,"Wet","Dry")</f>
        <v>Wet</v>
      </c>
      <c r="M1243" t="b">
        <f>OR(ISBLANK(Table1[[#This Row],[Temperature_F]]),ISERROR(Table1[[#This Row],[Temperature_F]]))</f>
        <v>0</v>
      </c>
    </row>
    <row r="1244" spans="1:13" hidden="1" x14ac:dyDescent="0.25">
      <c r="A1244" s="1" t="s">
        <v>1</v>
      </c>
      <c r="B1244" s="1" t="s">
        <v>2</v>
      </c>
      <c r="C1244" s="1">
        <v>42.360599999999998</v>
      </c>
      <c r="D1244" s="1">
        <v>-71.010599999999997</v>
      </c>
      <c r="E1244" s="5">
        <v>41433</v>
      </c>
      <c r="F1244" s="1" t="str">
        <f t="shared" si="19"/>
        <v>June</v>
      </c>
      <c r="G1244" s="1">
        <v>67</v>
      </c>
      <c r="H1244" s="1">
        <v>137</v>
      </c>
      <c r="I1244" s="1" t="str">
        <f>IF(Table1[[#This Row],[Temperature_F]]&lt;32,"Yes","No")</f>
        <v>No</v>
      </c>
      <c r="J1244" s="1" t="str" cm="1">
        <f t="array" ref="J12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44" s="1" t="str" cm="1">
        <f t="array" ref="K1244">_xlfn.IFS(
H1244=0,"No Rain",
H1244&lt;10,"Light",
H1244&lt;50,"Moderate",
TRUE,"Heavy")</f>
        <v>Heavy</v>
      </c>
      <c r="L1244" s="1" t="str">
        <f>IF(Table1[[#This Row],[Precipitation_mm]]&lt;&gt;0,"Wet","Dry")</f>
        <v>Wet</v>
      </c>
      <c r="M1244" t="b">
        <f>OR(ISBLANK(Table1[[#This Row],[Temperature_F]]),ISERROR(Table1[[#This Row],[Temperature_F]]))</f>
        <v>0</v>
      </c>
    </row>
    <row r="1245" spans="1:13" hidden="1" x14ac:dyDescent="0.25">
      <c r="A1245" s="1" t="s">
        <v>1</v>
      </c>
      <c r="B1245" s="1" t="s">
        <v>2</v>
      </c>
      <c r="C1245" s="1">
        <v>42.360599999999998</v>
      </c>
      <c r="D1245" s="1">
        <v>-71.010599999999997</v>
      </c>
      <c r="E1245" s="5">
        <v>41434</v>
      </c>
      <c r="F1245" s="1" t="str">
        <f t="shared" si="19"/>
        <v>June</v>
      </c>
      <c r="G1245" s="1">
        <v>89</v>
      </c>
      <c r="H1245" s="1">
        <v>0</v>
      </c>
      <c r="I1245" s="1" t="str">
        <f>IF(Table1[[#This Row],[Temperature_F]]&lt;32,"Yes","No")</f>
        <v>No</v>
      </c>
      <c r="J1245" s="1" t="str" cm="1">
        <f t="array" ref="J12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45" s="1" t="str" cm="1">
        <f t="array" ref="K1245">_xlfn.IFS(
H1245=0,"No Rain",
H1245&lt;10,"Light",
H1245&lt;50,"Moderate",
TRUE,"Heavy")</f>
        <v>No Rain</v>
      </c>
      <c r="L1245" s="1" t="str">
        <f>IF(Table1[[#This Row],[Precipitation_mm]]&lt;&gt;0,"Wet","Dry")</f>
        <v>Dry</v>
      </c>
      <c r="M1245" t="b">
        <f>OR(ISBLANK(Table1[[#This Row],[Temperature_F]]),ISERROR(Table1[[#This Row],[Temperature_F]]))</f>
        <v>0</v>
      </c>
    </row>
    <row r="1246" spans="1:13" hidden="1" x14ac:dyDescent="0.25">
      <c r="A1246" s="1" t="s">
        <v>1</v>
      </c>
      <c r="B1246" s="1" t="s">
        <v>2</v>
      </c>
      <c r="C1246" s="1">
        <v>42.360599999999998</v>
      </c>
      <c r="D1246" s="1">
        <v>-71.010599999999997</v>
      </c>
      <c r="E1246" s="5">
        <v>41435</v>
      </c>
      <c r="F1246" s="1" t="str">
        <f t="shared" si="19"/>
        <v>June</v>
      </c>
      <c r="G1246" s="1">
        <v>74</v>
      </c>
      <c r="H1246" s="1">
        <v>224</v>
      </c>
      <c r="I1246" s="1" t="str">
        <f>IF(Table1[[#This Row],[Temperature_F]]&lt;32,"Yes","No")</f>
        <v>No</v>
      </c>
      <c r="J1246" s="1" t="str" cm="1">
        <f t="array" ref="J12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46" s="1" t="str" cm="1">
        <f t="array" ref="K1246">_xlfn.IFS(
H1246=0,"No Rain",
H1246&lt;10,"Light",
H1246&lt;50,"Moderate",
TRUE,"Heavy")</f>
        <v>Heavy</v>
      </c>
      <c r="L1246" s="1" t="str">
        <f>IF(Table1[[#This Row],[Precipitation_mm]]&lt;&gt;0,"Wet","Dry")</f>
        <v>Wet</v>
      </c>
      <c r="M1246" t="b">
        <f>OR(ISBLANK(Table1[[#This Row],[Temperature_F]]),ISERROR(Table1[[#This Row],[Temperature_F]]))</f>
        <v>0</v>
      </c>
    </row>
    <row r="1247" spans="1:13" hidden="1" x14ac:dyDescent="0.25">
      <c r="A1247" s="1" t="s">
        <v>1</v>
      </c>
      <c r="B1247" s="1" t="s">
        <v>2</v>
      </c>
      <c r="C1247" s="1">
        <v>42.360599999999998</v>
      </c>
      <c r="D1247" s="1">
        <v>-71.010599999999997</v>
      </c>
      <c r="E1247" s="5">
        <v>41436</v>
      </c>
      <c r="F1247" s="1" t="str">
        <f t="shared" si="19"/>
        <v>June</v>
      </c>
      <c r="G1247" s="1">
        <v>65</v>
      </c>
      <c r="H1247" s="1">
        <v>351</v>
      </c>
      <c r="I1247" s="1" t="str">
        <f>IF(Table1[[#This Row],[Temperature_F]]&lt;32,"Yes","No")</f>
        <v>No</v>
      </c>
      <c r="J1247" s="1" t="str" cm="1">
        <f t="array" ref="J12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47" s="1" t="str" cm="1">
        <f t="array" ref="K1247">_xlfn.IFS(
H1247=0,"No Rain",
H1247&lt;10,"Light",
H1247&lt;50,"Moderate",
TRUE,"Heavy")</f>
        <v>Heavy</v>
      </c>
      <c r="L1247" s="1" t="str">
        <f>IF(Table1[[#This Row],[Precipitation_mm]]&lt;&gt;0,"Wet","Dry")</f>
        <v>Wet</v>
      </c>
      <c r="M1247" t="b">
        <f>OR(ISBLANK(Table1[[#This Row],[Temperature_F]]),ISERROR(Table1[[#This Row],[Temperature_F]]))</f>
        <v>0</v>
      </c>
    </row>
    <row r="1248" spans="1:13" hidden="1" x14ac:dyDescent="0.25">
      <c r="A1248" s="1" t="s">
        <v>1</v>
      </c>
      <c r="B1248" s="1" t="s">
        <v>2</v>
      </c>
      <c r="C1248" s="1">
        <v>42.360599999999998</v>
      </c>
      <c r="D1248" s="1">
        <v>-71.010599999999997</v>
      </c>
      <c r="E1248" s="5">
        <v>41437</v>
      </c>
      <c r="F1248" s="1" t="str">
        <f t="shared" si="19"/>
        <v>June</v>
      </c>
      <c r="G1248" s="1">
        <v>90</v>
      </c>
      <c r="H1248" s="1">
        <v>18</v>
      </c>
      <c r="I1248" s="1" t="str">
        <f>IF(Table1[[#This Row],[Temperature_F]]&lt;32,"Yes","No")</f>
        <v>No</v>
      </c>
      <c r="J1248" s="1" t="str" cm="1">
        <f t="array" ref="J12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48" s="1" t="str" cm="1">
        <f t="array" ref="K1248">_xlfn.IFS(
H1248=0,"No Rain",
H1248&lt;10,"Light",
H1248&lt;50,"Moderate",
TRUE,"Heavy")</f>
        <v>Moderate</v>
      </c>
      <c r="L1248" s="1" t="str">
        <f>IF(Table1[[#This Row],[Precipitation_mm]]&lt;&gt;0,"Wet","Dry")</f>
        <v>Wet</v>
      </c>
      <c r="M1248" t="b">
        <f>OR(ISBLANK(Table1[[#This Row],[Temperature_F]]),ISERROR(Table1[[#This Row],[Temperature_F]]))</f>
        <v>0</v>
      </c>
    </row>
    <row r="1249" spans="1:13" hidden="1" x14ac:dyDescent="0.25">
      <c r="A1249" s="1" t="s">
        <v>1</v>
      </c>
      <c r="B1249" s="1" t="s">
        <v>2</v>
      </c>
      <c r="C1249" s="1">
        <v>42.360599999999998</v>
      </c>
      <c r="D1249" s="1">
        <v>-71.010599999999997</v>
      </c>
      <c r="E1249" s="5">
        <v>41438</v>
      </c>
      <c r="F1249" s="1" t="str">
        <f t="shared" si="19"/>
        <v>June</v>
      </c>
      <c r="G1249" s="1">
        <v>86</v>
      </c>
      <c r="H1249" s="1">
        <v>183</v>
      </c>
      <c r="I1249" s="1" t="str">
        <f>IF(Table1[[#This Row],[Temperature_F]]&lt;32,"Yes","No")</f>
        <v>No</v>
      </c>
      <c r="J1249" s="1" t="str" cm="1">
        <f t="array" ref="J12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49" s="1" t="str" cm="1">
        <f t="array" ref="K1249">_xlfn.IFS(
H1249=0,"No Rain",
H1249&lt;10,"Light",
H1249&lt;50,"Moderate",
TRUE,"Heavy")</f>
        <v>Heavy</v>
      </c>
      <c r="L1249" s="1" t="str">
        <f>IF(Table1[[#This Row],[Precipitation_mm]]&lt;&gt;0,"Wet","Dry")</f>
        <v>Wet</v>
      </c>
      <c r="M1249" t="b">
        <f>OR(ISBLANK(Table1[[#This Row],[Temperature_F]]),ISERROR(Table1[[#This Row],[Temperature_F]]))</f>
        <v>0</v>
      </c>
    </row>
    <row r="1250" spans="1:13" hidden="1" x14ac:dyDescent="0.25">
      <c r="A1250" s="1" t="s">
        <v>1</v>
      </c>
      <c r="B1250" s="1" t="s">
        <v>2</v>
      </c>
      <c r="C1250" s="1">
        <v>42.360599999999998</v>
      </c>
      <c r="D1250" s="1">
        <v>-71.010599999999997</v>
      </c>
      <c r="E1250" s="5">
        <v>41439</v>
      </c>
      <c r="F1250" s="1" t="str">
        <f t="shared" si="19"/>
        <v>June</v>
      </c>
      <c r="G1250" s="1">
        <v>77</v>
      </c>
      <c r="H1250" s="1">
        <v>259</v>
      </c>
      <c r="I1250" s="1" t="str">
        <f>IF(Table1[[#This Row],[Temperature_F]]&lt;32,"Yes","No")</f>
        <v>No</v>
      </c>
      <c r="J1250" s="1" t="str" cm="1">
        <f t="array" ref="J12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50" s="1" t="str" cm="1">
        <f t="array" ref="K1250">_xlfn.IFS(
H1250=0,"No Rain",
H1250&lt;10,"Light",
H1250&lt;50,"Moderate",
TRUE,"Heavy")</f>
        <v>Heavy</v>
      </c>
      <c r="L1250" s="1" t="str">
        <f>IF(Table1[[#This Row],[Precipitation_mm]]&lt;&gt;0,"Wet","Dry")</f>
        <v>Wet</v>
      </c>
      <c r="M1250" t="b">
        <f>OR(ISBLANK(Table1[[#This Row],[Temperature_F]]),ISERROR(Table1[[#This Row],[Temperature_F]]))</f>
        <v>0</v>
      </c>
    </row>
    <row r="1251" spans="1:13" hidden="1" x14ac:dyDescent="0.25">
      <c r="A1251" s="1" t="s">
        <v>1</v>
      </c>
      <c r="B1251" s="1" t="s">
        <v>2</v>
      </c>
      <c r="C1251" s="1">
        <v>42.360599999999998</v>
      </c>
      <c r="D1251" s="1">
        <v>-71.010599999999997</v>
      </c>
      <c r="E1251" s="5">
        <v>41440</v>
      </c>
      <c r="F1251" s="1" t="str">
        <f t="shared" si="19"/>
        <v>June</v>
      </c>
      <c r="G1251" s="1">
        <v>79</v>
      </c>
      <c r="H1251" s="1">
        <v>0</v>
      </c>
      <c r="I1251" s="1" t="str">
        <f>IF(Table1[[#This Row],[Temperature_F]]&lt;32,"Yes","No")</f>
        <v>No</v>
      </c>
      <c r="J1251" s="1" t="str" cm="1">
        <f t="array" ref="J12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51" s="1" t="str" cm="1">
        <f t="array" ref="K1251">_xlfn.IFS(
H1251=0,"No Rain",
H1251&lt;10,"Light",
H1251&lt;50,"Moderate",
TRUE,"Heavy")</f>
        <v>No Rain</v>
      </c>
      <c r="L1251" s="1" t="str">
        <f>IF(Table1[[#This Row],[Precipitation_mm]]&lt;&gt;0,"Wet","Dry")</f>
        <v>Dry</v>
      </c>
      <c r="M1251" t="b">
        <f>OR(ISBLANK(Table1[[#This Row],[Temperature_F]]),ISERROR(Table1[[#This Row],[Temperature_F]]))</f>
        <v>0</v>
      </c>
    </row>
    <row r="1252" spans="1:13" hidden="1" x14ac:dyDescent="0.25">
      <c r="A1252" s="1" t="s">
        <v>1</v>
      </c>
      <c r="B1252" s="1" t="s">
        <v>2</v>
      </c>
      <c r="C1252" s="1">
        <v>42.360599999999998</v>
      </c>
      <c r="D1252" s="1">
        <v>-71.010599999999997</v>
      </c>
      <c r="E1252" s="5">
        <v>41441</v>
      </c>
      <c r="F1252" s="1" t="str">
        <f t="shared" si="19"/>
        <v>June</v>
      </c>
      <c r="G1252" s="1">
        <v>65</v>
      </c>
      <c r="H1252" s="1">
        <v>0</v>
      </c>
      <c r="I1252" s="1" t="str">
        <f>IF(Table1[[#This Row],[Temperature_F]]&lt;32,"Yes","No")</f>
        <v>No</v>
      </c>
      <c r="J1252" s="1" t="str" cm="1">
        <f t="array" ref="J12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52" s="1" t="str" cm="1">
        <f t="array" ref="K1252">_xlfn.IFS(
H1252=0,"No Rain",
H1252&lt;10,"Light",
H1252&lt;50,"Moderate",
TRUE,"Heavy")</f>
        <v>No Rain</v>
      </c>
      <c r="L1252" s="1" t="str">
        <f>IF(Table1[[#This Row],[Precipitation_mm]]&lt;&gt;0,"Wet","Dry")</f>
        <v>Dry</v>
      </c>
      <c r="M1252" t="b">
        <f>OR(ISBLANK(Table1[[#This Row],[Temperature_F]]),ISERROR(Table1[[#This Row],[Temperature_F]]))</f>
        <v>0</v>
      </c>
    </row>
    <row r="1253" spans="1:13" hidden="1" x14ac:dyDescent="0.25">
      <c r="A1253" s="1" t="s">
        <v>1</v>
      </c>
      <c r="B1253" s="1" t="s">
        <v>2</v>
      </c>
      <c r="C1253" s="1">
        <v>42.360599999999998</v>
      </c>
      <c r="D1253" s="1">
        <v>-71.010599999999997</v>
      </c>
      <c r="E1253" s="5">
        <v>41442</v>
      </c>
      <c r="F1253" s="1" t="str">
        <f t="shared" si="19"/>
        <v>June</v>
      </c>
      <c r="G1253" s="1">
        <v>71</v>
      </c>
      <c r="H1253" s="1">
        <v>109</v>
      </c>
      <c r="I1253" s="1" t="str">
        <f>IF(Table1[[#This Row],[Temperature_F]]&lt;32,"Yes","No")</f>
        <v>No</v>
      </c>
      <c r="J1253" s="1" t="str" cm="1">
        <f t="array" ref="J12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53" s="1" t="str" cm="1">
        <f t="array" ref="K1253">_xlfn.IFS(
H1253=0,"No Rain",
H1253&lt;10,"Light",
H1253&lt;50,"Moderate",
TRUE,"Heavy")</f>
        <v>Heavy</v>
      </c>
      <c r="L1253" s="1" t="str">
        <f>IF(Table1[[#This Row],[Precipitation_mm]]&lt;&gt;0,"Wet","Dry")</f>
        <v>Wet</v>
      </c>
      <c r="M1253" t="b">
        <f>OR(ISBLANK(Table1[[#This Row],[Temperature_F]]),ISERROR(Table1[[#This Row],[Temperature_F]]))</f>
        <v>0</v>
      </c>
    </row>
    <row r="1254" spans="1:13" hidden="1" x14ac:dyDescent="0.25">
      <c r="A1254" s="1" t="s">
        <v>1</v>
      </c>
      <c r="B1254" s="1" t="s">
        <v>2</v>
      </c>
      <c r="C1254" s="1">
        <v>42.360599999999998</v>
      </c>
      <c r="D1254" s="1">
        <v>-71.010599999999997</v>
      </c>
      <c r="E1254" s="5">
        <v>41443</v>
      </c>
      <c r="F1254" s="1" t="str">
        <f t="shared" si="19"/>
        <v>June</v>
      </c>
      <c r="G1254" s="1">
        <v>74</v>
      </c>
      <c r="H1254" s="1">
        <v>160</v>
      </c>
      <c r="I1254" s="1" t="str">
        <f>IF(Table1[[#This Row],[Temperature_F]]&lt;32,"Yes","No")</f>
        <v>No</v>
      </c>
      <c r="J1254" s="1" t="str" cm="1">
        <f t="array" ref="J12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54" s="1" t="str" cm="1">
        <f t="array" ref="K1254">_xlfn.IFS(
H1254=0,"No Rain",
H1254&lt;10,"Light",
H1254&lt;50,"Moderate",
TRUE,"Heavy")</f>
        <v>Heavy</v>
      </c>
      <c r="L1254" s="1" t="str">
        <f>IF(Table1[[#This Row],[Precipitation_mm]]&lt;&gt;0,"Wet","Dry")</f>
        <v>Wet</v>
      </c>
      <c r="M1254" t="b">
        <f>OR(ISBLANK(Table1[[#This Row],[Temperature_F]]),ISERROR(Table1[[#This Row],[Temperature_F]]))</f>
        <v>0</v>
      </c>
    </row>
    <row r="1255" spans="1:13" hidden="1" x14ac:dyDescent="0.25">
      <c r="A1255" s="1" t="s">
        <v>1</v>
      </c>
      <c r="B1255" s="1" t="s">
        <v>2</v>
      </c>
      <c r="C1255" s="1">
        <v>42.360599999999998</v>
      </c>
      <c r="D1255" s="1">
        <v>-71.010599999999997</v>
      </c>
      <c r="E1255" s="5">
        <v>41444</v>
      </c>
      <c r="F1255" s="1" t="str">
        <f t="shared" si="19"/>
        <v>June</v>
      </c>
      <c r="G1255" s="1">
        <v>88</v>
      </c>
      <c r="H1255" s="1">
        <v>0</v>
      </c>
      <c r="I1255" s="1" t="str">
        <f>IF(Table1[[#This Row],[Temperature_F]]&lt;32,"Yes","No")</f>
        <v>No</v>
      </c>
      <c r="J1255" s="1" t="str" cm="1">
        <f t="array" ref="J12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55" s="1" t="str" cm="1">
        <f t="array" ref="K1255">_xlfn.IFS(
H1255=0,"No Rain",
H1255&lt;10,"Light",
H1255&lt;50,"Moderate",
TRUE,"Heavy")</f>
        <v>No Rain</v>
      </c>
      <c r="L1255" s="1" t="str">
        <f>IF(Table1[[#This Row],[Precipitation_mm]]&lt;&gt;0,"Wet","Dry")</f>
        <v>Dry</v>
      </c>
      <c r="M1255" t="b">
        <f>OR(ISBLANK(Table1[[#This Row],[Temperature_F]]),ISERROR(Table1[[#This Row],[Temperature_F]]))</f>
        <v>0</v>
      </c>
    </row>
    <row r="1256" spans="1:13" hidden="1" x14ac:dyDescent="0.25">
      <c r="A1256" s="1" t="s">
        <v>1</v>
      </c>
      <c r="B1256" s="1" t="s">
        <v>2</v>
      </c>
      <c r="C1256" s="1">
        <v>42.360599999999998</v>
      </c>
      <c r="D1256" s="1">
        <v>-71.010599999999997</v>
      </c>
      <c r="E1256" s="5">
        <v>41445</v>
      </c>
      <c r="F1256" s="1" t="str">
        <f t="shared" si="19"/>
        <v>June</v>
      </c>
      <c r="G1256" s="1">
        <v>75</v>
      </c>
      <c r="H1256" s="1">
        <v>0</v>
      </c>
      <c r="I1256" s="1" t="str">
        <f>IF(Table1[[#This Row],[Temperature_F]]&lt;32,"Yes","No")</f>
        <v>No</v>
      </c>
      <c r="J1256" s="1" t="str" cm="1">
        <f t="array" ref="J12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56" s="1" t="str" cm="1">
        <f t="array" ref="K1256">_xlfn.IFS(
H1256=0,"No Rain",
H1256&lt;10,"Light",
H1256&lt;50,"Moderate",
TRUE,"Heavy")</f>
        <v>No Rain</v>
      </c>
      <c r="L1256" s="1" t="str">
        <f>IF(Table1[[#This Row],[Precipitation_mm]]&lt;&gt;0,"Wet","Dry")</f>
        <v>Dry</v>
      </c>
      <c r="M1256" t="b">
        <f>OR(ISBLANK(Table1[[#This Row],[Temperature_F]]),ISERROR(Table1[[#This Row],[Temperature_F]]))</f>
        <v>0</v>
      </c>
    </row>
    <row r="1257" spans="1:13" hidden="1" x14ac:dyDescent="0.25">
      <c r="A1257" s="1" t="s">
        <v>1</v>
      </c>
      <c r="B1257" s="1" t="s">
        <v>2</v>
      </c>
      <c r="C1257" s="1">
        <v>42.360599999999998</v>
      </c>
      <c r="D1257" s="1">
        <v>-71.010599999999997</v>
      </c>
      <c r="E1257" s="5">
        <v>41446</v>
      </c>
      <c r="F1257" s="1" t="str">
        <f t="shared" si="19"/>
        <v>June</v>
      </c>
      <c r="G1257" s="1">
        <v>67</v>
      </c>
      <c r="H1257" s="1">
        <v>0</v>
      </c>
      <c r="I1257" s="1" t="str">
        <f>IF(Table1[[#This Row],[Temperature_F]]&lt;32,"Yes","No")</f>
        <v>No</v>
      </c>
      <c r="J1257" s="1" t="str" cm="1">
        <f t="array" ref="J12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57" s="1" t="str" cm="1">
        <f t="array" ref="K1257">_xlfn.IFS(
H1257=0,"No Rain",
H1257&lt;10,"Light",
H1257&lt;50,"Moderate",
TRUE,"Heavy")</f>
        <v>No Rain</v>
      </c>
      <c r="L1257" s="1" t="str">
        <f>IF(Table1[[#This Row],[Precipitation_mm]]&lt;&gt;0,"Wet","Dry")</f>
        <v>Dry</v>
      </c>
      <c r="M1257" t="b">
        <f>OR(ISBLANK(Table1[[#This Row],[Temperature_F]]),ISERROR(Table1[[#This Row],[Temperature_F]]))</f>
        <v>0</v>
      </c>
    </row>
    <row r="1258" spans="1:13" hidden="1" x14ac:dyDescent="0.25">
      <c r="A1258" s="1" t="s">
        <v>1</v>
      </c>
      <c r="B1258" s="1" t="s">
        <v>2</v>
      </c>
      <c r="C1258" s="1">
        <v>42.360599999999998</v>
      </c>
      <c r="D1258" s="1">
        <v>-71.010599999999997</v>
      </c>
      <c r="E1258" s="5">
        <v>41447</v>
      </c>
      <c r="F1258" s="1" t="str">
        <f t="shared" si="19"/>
        <v>June</v>
      </c>
      <c r="G1258" s="1">
        <v>66</v>
      </c>
      <c r="H1258" s="1">
        <v>0</v>
      </c>
      <c r="I1258" s="1" t="str">
        <f>IF(Table1[[#This Row],[Temperature_F]]&lt;32,"Yes","No")</f>
        <v>No</v>
      </c>
      <c r="J1258" s="1" t="str" cm="1">
        <f t="array" ref="J12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58" s="1" t="str" cm="1">
        <f t="array" ref="K1258">_xlfn.IFS(
H1258=0,"No Rain",
H1258&lt;10,"Light",
H1258&lt;50,"Moderate",
TRUE,"Heavy")</f>
        <v>No Rain</v>
      </c>
      <c r="L1258" s="1" t="str">
        <f>IF(Table1[[#This Row],[Precipitation_mm]]&lt;&gt;0,"Wet","Dry")</f>
        <v>Dry</v>
      </c>
      <c r="M1258" t="b">
        <f>OR(ISBLANK(Table1[[#This Row],[Temperature_F]]),ISERROR(Table1[[#This Row],[Temperature_F]]))</f>
        <v>0</v>
      </c>
    </row>
    <row r="1259" spans="1:13" hidden="1" x14ac:dyDescent="0.25">
      <c r="A1259" s="1" t="s">
        <v>1</v>
      </c>
      <c r="B1259" s="1" t="s">
        <v>2</v>
      </c>
      <c r="C1259" s="1">
        <v>42.360599999999998</v>
      </c>
      <c r="D1259" s="1">
        <v>-71.010599999999997</v>
      </c>
      <c r="E1259" s="5">
        <v>41448</v>
      </c>
      <c r="F1259" s="1" t="str">
        <f t="shared" si="19"/>
        <v>June</v>
      </c>
      <c r="G1259" s="1">
        <v>78</v>
      </c>
      <c r="H1259" s="1">
        <v>0</v>
      </c>
      <c r="I1259" s="1" t="str">
        <f>IF(Table1[[#This Row],[Temperature_F]]&lt;32,"Yes","No")</f>
        <v>No</v>
      </c>
      <c r="J1259" s="1" t="str" cm="1">
        <f t="array" ref="J12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59" s="1" t="str" cm="1">
        <f t="array" ref="K1259">_xlfn.IFS(
H1259=0,"No Rain",
H1259&lt;10,"Light",
H1259&lt;50,"Moderate",
TRUE,"Heavy")</f>
        <v>No Rain</v>
      </c>
      <c r="L1259" s="1" t="str">
        <f>IF(Table1[[#This Row],[Precipitation_mm]]&lt;&gt;0,"Wet","Dry")</f>
        <v>Dry</v>
      </c>
      <c r="M1259" t="b">
        <f>OR(ISBLANK(Table1[[#This Row],[Temperature_F]]),ISERROR(Table1[[#This Row],[Temperature_F]]))</f>
        <v>0</v>
      </c>
    </row>
    <row r="1260" spans="1:13" hidden="1" x14ac:dyDescent="0.25">
      <c r="A1260" s="1" t="s">
        <v>1</v>
      </c>
      <c r="B1260" s="1" t="s">
        <v>2</v>
      </c>
      <c r="C1260" s="1">
        <v>42.360599999999998</v>
      </c>
      <c r="D1260" s="1">
        <v>-71.010599999999997</v>
      </c>
      <c r="E1260" s="5">
        <v>41449</v>
      </c>
      <c r="F1260" s="1" t="str">
        <f t="shared" si="19"/>
        <v>June</v>
      </c>
      <c r="G1260" s="1">
        <v>73</v>
      </c>
      <c r="H1260" s="1">
        <v>84</v>
      </c>
      <c r="I1260" s="1" t="str">
        <f>IF(Table1[[#This Row],[Temperature_F]]&lt;32,"Yes","No")</f>
        <v>No</v>
      </c>
      <c r="J1260" s="1" t="str" cm="1">
        <f t="array" ref="J12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0" s="1" t="str" cm="1">
        <f t="array" ref="K1260">_xlfn.IFS(
H1260=0,"No Rain",
H1260&lt;10,"Light",
H1260&lt;50,"Moderate",
TRUE,"Heavy")</f>
        <v>Heavy</v>
      </c>
      <c r="L1260" s="1" t="str">
        <f>IF(Table1[[#This Row],[Precipitation_mm]]&lt;&gt;0,"Wet","Dry")</f>
        <v>Wet</v>
      </c>
      <c r="M1260" t="b">
        <f>OR(ISBLANK(Table1[[#This Row],[Temperature_F]]),ISERROR(Table1[[#This Row],[Temperature_F]]))</f>
        <v>0</v>
      </c>
    </row>
    <row r="1261" spans="1:13" hidden="1" x14ac:dyDescent="0.25">
      <c r="A1261" s="1" t="s">
        <v>1</v>
      </c>
      <c r="B1261" s="1" t="s">
        <v>2</v>
      </c>
      <c r="C1261" s="1">
        <v>42.360599999999998</v>
      </c>
      <c r="D1261" s="1">
        <v>-71.010599999999997</v>
      </c>
      <c r="E1261" s="5">
        <v>41450</v>
      </c>
      <c r="F1261" s="1" t="str">
        <f t="shared" si="19"/>
        <v>June</v>
      </c>
      <c r="G1261" s="1">
        <v>85</v>
      </c>
      <c r="H1261" s="1">
        <v>0</v>
      </c>
      <c r="I1261" s="1" t="str">
        <f>IF(Table1[[#This Row],[Temperature_F]]&lt;32,"Yes","No")</f>
        <v>No</v>
      </c>
      <c r="J1261" s="1" t="str" cm="1">
        <f t="array" ref="J12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1" s="1" t="str" cm="1">
        <f t="array" ref="K1261">_xlfn.IFS(
H1261=0,"No Rain",
H1261&lt;10,"Light",
H1261&lt;50,"Moderate",
TRUE,"Heavy")</f>
        <v>No Rain</v>
      </c>
      <c r="L1261" s="1" t="str">
        <f>IF(Table1[[#This Row],[Precipitation_mm]]&lt;&gt;0,"Wet","Dry")</f>
        <v>Dry</v>
      </c>
      <c r="M1261" t="b">
        <f>OR(ISBLANK(Table1[[#This Row],[Temperature_F]]),ISERROR(Table1[[#This Row],[Temperature_F]]))</f>
        <v>0</v>
      </c>
    </row>
    <row r="1262" spans="1:13" hidden="1" x14ac:dyDescent="0.25">
      <c r="A1262" s="1" t="s">
        <v>1</v>
      </c>
      <c r="B1262" s="1" t="s">
        <v>2</v>
      </c>
      <c r="C1262" s="1">
        <v>42.360599999999998</v>
      </c>
      <c r="D1262" s="1">
        <v>-71.010599999999997</v>
      </c>
      <c r="E1262" s="5">
        <v>41451</v>
      </c>
      <c r="F1262" s="1" t="str">
        <f t="shared" si="19"/>
        <v>June</v>
      </c>
      <c r="G1262" s="1">
        <v>86</v>
      </c>
      <c r="H1262" s="1">
        <v>10</v>
      </c>
      <c r="I1262" s="1" t="str">
        <f>IF(Table1[[#This Row],[Temperature_F]]&lt;32,"Yes","No")</f>
        <v>No</v>
      </c>
      <c r="J1262" s="1" t="str" cm="1">
        <f t="array" ref="J12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2" s="1" t="str" cm="1">
        <f t="array" ref="K1262">_xlfn.IFS(
H1262=0,"No Rain",
H1262&lt;10,"Light",
H1262&lt;50,"Moderate",
TRUE,"Heavy")</f>
        <v>Moderate</v>
      </c>
      <c r="L1262" s="1" t="str">
        <f>IF(Table1[[#This Row],[Precipitation_mm]]&lt;&gt;0,"Wet","Dry")</f>
        <v>Wet</v>
      </c>
      <c r="M1262" t="b">
        <f>OR(ISBLANK(Table1[[#This Row],[Temperature_F]]),ISERROR(Table1[[#This Row],[Temperature_F]]))</f>
        <v>0</v>
      </c>
    </row>
    <row r="1263" spans="1:13" hidden="1" x14ac:dyDescent="0.25">
      <c r="A1263" s="1" t="s">
        <v>1</v>
      </c>
      <c r="B1263" s="1" t="s">
        <v>2</v>
      </c>
      <c r="C1263" s="1">
        <v>42.360599999999998</v>
      </c>
      <c r="D1263" s="1">
        <v>-71.010599999999997</v>
      </c>
      <c r="E1263" s="5">
        <v>41452</v>
      </c>
      <c r="F1263" s="1" t="str">
        <f t="shared" si="19"/>
        <v>June</v>
      </c>
      <c r="G1263" s="1">
        <v>88</v>
      </c>
      <c r="H1263" s="1">
        <v>8</v>
      </c>
      <c r="I1263" s="1" t="str">
        <f>IF(Table1[[#This Row],[Temperature_F]]&lt;32,"Yes","No")</f>
        <v>No</v>
      </c>
      <c r="J1263" s="1" t="str" cm="1">
        <f t="array" ref="J12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63" s="1" t="str" cm="1">
        <f t="array" ref="K1263">_xlfn.IFS(
H1263=0,"No Rain",
H1263&lt;10,"Light",
H1263&lt;50,"Moderate",
TRUE,"Heavy")</f>
        <v>Light</v>
      </c>
      <c r="L1263" s="1" t="str">
        <f>IF(Table1[[#This Row],[Precipitation_mm]]&lt;&gt;0,"Wet","Dry")</f>
        <v>Wet</v>
      </c>
      <c r="M1263" t="b">
        <f>OR(ISBLANK(Table1[[#This Row],[Temperature_F]]),ISERROR(Table1[[#This Row],[Temperature_F]]))</f>
        <v>0</v>
      </c>
    </row>
    <row r="1264" spans="1:13" hidden="1" x14ac:dyDescent="0.25">
      <c r="A1264" s="1" t="s">
        <v>1</v>
      </c>
      <c r="B1264" s="1" t="s">
        <v>2</v>
      </c>
      <c r="C1264" s="1">
        <v>42.360599999999998</v>
      </c>
      <c r="D1264" s="1">
        <v>-71.010599999999997</v>
      </c>
      <c r="E1264" s="5">
        <v>41453</v>
      </c>
      <c r="F1264" s="1" t="str">
        <f t="shared" si="19"/>
        <v>June</v>
      </c>
      <c r="G1264" s="1">
        <v>85</v>
      </c>
      <c r="H1264" s="1">
        <v>114</v>
      </c>
      <c r="I1264" s="1" t="str">
        <f>IF(Table1[[#This Row],[Temperature_F]]&lt;32,"Yes","No")</f>
        <v>No</v>
      </c>
      <c r="J1264" s="1" t="str" cm="1">
        <f t="array" ref="J12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4" s="1" t="str" cm="1">
        <f t="array" ref="K1264">_xlfn.IFS(
H1264=0,"No Rain",
H1264&lt;10,"Light",
H1264&lt;50,"Moderate",
TRUE,"Heavy")</f>
        <v>Heavy</v>
      </c>
      <c r="L1264" s="1" t="str">
        <f>IF(Table1[[#This Row],[Precipitation_mm]]&lt;&gt;0,"Wet","Dry")</f>
        <v>Wet</v>
      </c>
      <c r="M1264" t="b">
        <f>OR(ISBLANK(Table1[[#This Row],[Temperature_F]]),ISERROR(Table1[[#This Row],[Temperature_F]]))</f>
        <v>0</v>
      </c>
    </row>
    <row r="1265" spans="1:13" hidden="1" x14ac:dyDescent="0.25">
      <c r="A1265" s="1" t="s">
        <v>1</v>
      </c>
      <c r="B1265" s="1" t="s">
        <v>2</v>
      </c>
      <c r="C1265" s="1">
        <v>42.360599999999998</v>
      </c>
      <c r="D1265" s="1">
        <v>-71.010599999999997</v>
      </c>
      <c r="E1265" s="5">
        <v>41454</v>
      </c>
      <c r="F1265" s="1" t="str">
        <f t="shared" si="19"/>
        <v>June</v>
      </c>
      <c r="G1265" s="1">
        <v>89</v>
      </c>
      <c r="H1265" s="1">
        <v>18</v>
      </c>
      <c r="I1265" s="1" t="str">
        <f>IF(Table1[[#This Row],[Temperature_F]]&lt;32,"Yes","No")</f>
        <v>No</v>
      </c>
      <c r="J1265" s="1" t="str" cm="1">
        <f t="array" ref="J12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65" s="1" t="str" cm="1">
        <f t="array" ref="K1265">_xlfn.IFS(
H1265=0,"No Rain",
H1265&lt;10,"Light",
H1265&lt;50,"Moderate",
TRUE,"Heavy")</f>
        <v>Moderate</v>
      </c>
      <c r="L1265" s="1" t="str">
        <f>IF(Table1[[#This Row],[Precipitation_mm]]&lt;&gt;0,"Wet","Dry")</f>
        <v>Wet</v>
      </c>
      <c r="M1265" t="b">
        <f>OR(ISBLANK(Table1[[#This Row],[Temperature_F]]),ISERROR(Table1[[#This Row],[Temperature_F]]))</f>
        <v>0</v>
      </c>
    </row>
    <row r="1266" spans="1:13" hidden="1" x14ac:dyDescent="0.25">
      <c r="A1266" s="1" t="s">
        <v>1</v>
      </c>
      <c r="B1266" s="1" t="s">
        <v>2</v>
      </c>
      <c r="C1266" s="1">
        <v>42.360599999999998</v>
      </c>
      <c r="D1266" s="1">
        <v>-71.010599999999997</v>
      </c>
      <c r="E1266" s="5">
        <v>41455</v>
      </c>
      <c r="F1266" s="1" t="str">
        <f t="shared" si="19"/>
        <v>June</v>
      </c>
      <c r="G1266" s="1">
        <v>70</v>
      </c>
      <c r="H1266" s="1">
        <v>28</v>
      </c>
      <c r="I1266" s="1" t="str">
        <f>IF(Table1[[#This Row],[Temperature_F]]&lt;32,"Yes","No")</f>
        <v>No</v>
      </c>
      <c r="J1266" s="1" t="str" cm="1">
        <f t="array" ref="J12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6" s="1" t="str" cm="1">
        <f t="array" ref="K1266">_xlfn.IFS(
H1266=0,"No Rain",
H1266&lt;10,"Light",
H1266&lt;50,"Moderate",
TRUE,"Heavy")</f>
        <v>Moderate</v>
      </c>
      <c r="L1266" s="1" t="str">
        <f>IF(Table1[[#This Row],[Precipitation_mm]]&lt;&gt;0,"Wet","Dry")</f>
        <v>Wet</v>
      </c>
      <c r="M1266" t="b">
        <f>OR(ISBLANK(Table1[[#This Row],[Temperature_F]]),ISERROR(Table1[[#This Row],[Temperature_F]]))</f>
        <v>0</v>
      </c>
    </row>
    <row r="1267" spans="1:13" hidden="1" x14ac:dyDescent="0.25">
      <c r="A1267" s="1" t="s">
        <v>1</v>
      </c>
      <c r="B1267" s="1" t="s">
        <v>2</v>
      </c>
      <c r="C1267" s="1">
        <v>42.360599999999998</v>
      </c>
      <c r="D1267" s="1">
        <v>-71.010599999999997</v>
      </c>
      <c r="E1267" s="5">
        <v>41456</v>
      </c>
      <c r="F1267" s="1" t="str">
        <f t="shared" si="19"/>
        <v>July</v>
      </c>
      <c r="G1267" s="1">
        <v>67</v>
      </c>
      <c r="H1267" s="1">
        <v>8</v>
      </c>
      <c r="I1267" s="1" t="str">
        <f>IF(Table1[[#This Row],[Temperature_F]]&lt;32,"Yes","No")</f>
        <v>No</v>
      </c>
      <c r="J1267" s="1" t="str" cm="1">
        <f t="array" ref="J12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67" s="1" t="str" cm="1">
        <f t="array" ref="K1267">_xlfn.IFS(
H1267=0,"No Rain",
H1267&lt;10,"Light",
H1267&lt;50,"Moderate",
TRUE,"Heavy")</f>
        <v>Light</v>
      </c>
      <c r="L1267" s="1" t="str">
        <f>IF(Table1[[#This Row],[Precipitation_mm]]&lt;&gt;0,"Wet","Dry")</f>
        <v>Wet</v>
      </c>
      <c r="M1267" t="b">
        <f>OR(ISBLANK(Table1[[#This Row],[Temperature_F]]),ISERROR(Table1[[#This Row],[Temperature_F]]))</f>
        <v>0</v>
      </c>
    </row>
    <row r="1268" spans="1:13" hidden="1" x14ac:dyDescent="0.25">
      <c r="A1268" s="1" t="s">
        <v>1</v>
      </c>
      <c r="B1268" s="1" t="s">
        <v>2</v>
      </c>
      <c r="C1268" s="1">
        <v>42.360599999999998</v>
      </c>
      <c r="D1268" s="1">
        <v>-71.010599999999997</v>
      </c>
      <c r="E1268" s="5">
        <v>41457</v>
      </c>
      <c r="F1268" s="1" t="str">
        <f t="shared" si="19"/>
        <v>July</v>
      </c>
      <c r="G1268" s="1">
        <v>83</v>
      </c>
      <c r="H1268" s="1">
        <v>0</v>
      </c>
      <c r="I1268" s="1" t="str">
        <f>IF(Table1[[#This Row],[Temperature_F]]&lt;32,"Yes","No")</f>
        <v>No</v>
      </c>
      <c r="J1268" s="1" t="str" cm="1">
        <f t="array" ref="J12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8" s="1" t="str" cm="1">
        <f t="array" ref="K1268">_xlfn.IFS(
H1268=0,"No Rain",
H1268&lt;10,"Light",
H1268&lt;50,"Moderate",
TRUE,"Heavy")</f>
        <v>No Rain</v>
      </c>
      <c r="L1268" s="1" t="str">
        <f>IF(Table1[[#This Row],[Precipitation_mm]]&lt;&gt;0,"Wet","Dry")</f>
        <v>Dry</v>
      </c>
      <c r="M1268" t="b">
        <f>OR(ISBLANK(Table1[[#This Row],[Temperature_F]]),ISERROR(Table1[[#This Row],[Temperature_F]]))</f>
        <v>0</v>
      </c>
    </row>
    <row r="1269" spans="1:13" hidden="1" x14ac:dyDescent="0.25">
      <c r="A1269" s="1" t="s">
        <v>1</v>
      </c>
      <c r="B1269" s="1" t="s">
        <v>2</v>
      </c>
      <c r="C1269" s="1">
        <v>42.360599999999998</v>
      </c>
      <c r="D1269" s="1">
        <v>-71.010599999999997</v>
      </c>
      <c r="E1269" s="5">
        <v>41458</v>
      </c>
      <c r="F1269" s="1" t="str">
        <f t="shared" si="19"/>
        <v>July</v>
      </c>
      <c r="G1269" s="1">
        <v>70</v>
      </c>
      <c r="H1269" s="1">
        <v>0</v>
      </c>
      <c r="I1269" s="1" t="str">
        <f>IF(Table1[[#This Row],[Temperature_F]]&lt;32,"Yes","No")</f>
        <v>No</v>
      </c>
      <c r="J1269" s="1" t="str" cm="1">
        <f t="array" ref="J12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69" s="1" t="str" cm="1">
        <f t="array" ref="K1269">_xlfn.IFS(
H1269=0,"No Rain",
H1269&lt;10,"Light",
H1269&lt;50,"Moderate",
TRUE,"Heavy")</f>
        <v>No Rain</v>
      </c>
      <c r="L1269" s="1" t="str">
        <f>IF(Table1[[#This Row],[Precipitation_mm]]&lt;&gt;0,"Wet","Dry")</f>
        <v>Dry</v>
      </c>
      <c r="M1269" t="b">
        <f>OR(ISBLANK(Table1[[#This Row],[Temperature_F]]),ISERROR(Table1[[#This Row],[Temperature_F]]))</f>
        <v>0</v>
      </c>
    </row>
    <row r="1270" spans="1:13" hidden="1" x14ac:dyDescent="0.25">
      <c r="A1270" s="1" t="s">
        <v>1</v>
      </c>
      <c r="B1270" s="1" t="s">
        <v>2</v>
      </c>
      <c r="C1270" s="1">
        <v>42.360599999999998</v>
      </c>
      <c r="D1270" s="1">
        <v>-71.010599999999997</v>
      </c>
      <c r="E1270" s="5">
        <v>41459</v>
      </c>
      <c r="F1270" s="1" t="str">
        <f t="shared" si="19"/>
        <v>July</v>
      </c>
      <c r="G1270" s="1">
        <v>73</v>
      </c>
      <c r="H1270" s="1">
        <v>0</v>
      </c>
      <c r="I1270" s="1" t="str">
        <f>IF(Table1[[#This Row],[Temperature_F]]&lt;32,"Yes","No")</f>
        <v>No</v>
      </c>
      <c r="J1270" s="1" t="str" cm="1">
        <f t="array" ref="J12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0" s="1" t="str" cm="1">
        <f t="array" ref="K1270">_xlfn.IFS(
H1270=0,"No Rain",
H1270&lt;10,"Light",
H1270&lt;50,"Moderate",
TRUE,"Heavy")</f>
        <v>No Rain</v>
      </c>
      <c r="L1270" s="1" t="str">
        <f>IF(Table1[[#This Row],[Precipitation_mm]]&lt;&gt;0,"Wet","Dry")</f>
        <v>Dry</v>
      </c>
      <c r="M1270" t="b">
        <f>OR(ISBLANK(Table1[[#This Row],[Temperature_F]]),ISERROR(Table1[[#This Row],[Temperature_F]]))</f>
        <v>0</v>
      </c>
    </row>
    <row r="1271" spans="1:13" hidden="1" x14ac:dyDescent="0.25">
      <c r="A1271" s="1" t="s">
        <v>1</v>
      </c>
      <c r="B1271" s="1" t="s">
        <v>2</v>
      </c>
      <c r="C1271" s="1">
        <v>42.360599999999998</v>
      </c>
      <c r="D1271" s="1">
        <v>-71.010599999999997</v>
      </c>
      <c r="E1271" s="5">
        <v>41460</v>
      </c>
      <c r="F1271" s="1" t="str">
        <f t="shared" ref="F1271:F1334" si="20">TEXT(E1271,"mmmm")</f>
        <v>July</v>
      </c>
      <c r="G1271" s="1">
        <v>79</v>
      </c>
      <c r="H1271" s="1">
        <v>0</v>
      </c>
      <c r="I1271" s="1" t="str">
        <f>IF(Table1[[#This Row],[Temperature_F]]&lt;32,"Yes","No")</f>
        <v>No</v>
      </c>
      <c r="J1271" s="1" t="str" cm="1">
        <f t="array" ref="J12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1" s="1" t="str" cm="1">
        <f t="array" ref="K1271">_xlfn.IFS(
H1271=0,"No Rain",
H1271&lt;10,"Light",
H1271&lt;50,"Moderate",
TRUE,"Heavy")</f>
        <v>No Rain</v>
      </c>
      <c r="L1271" s="1" t="str">
        <f>IF(Table1[[#This Row],[Precipitation_mm]]&lt;&gt;0,"Wet","Dry")</f>
        <v>Dry</v>
      </c>
      <c r="M1271" t="b">
        <f>OR(ISBLANK(Table1[[#This Row],[Temperature_F]]),ISERROR(Table1[[#This Row],[Temperature_F]]))</f>
        <v>0</v>
      </c>
    </row>
    <row r="1272" spans="1:13" hidden="1" x14ac:dyDescent="0.25">
      <c r="A1272" s="1" t="s">
        <v>1</v>
      </c>
      <c r="B1272" s="1" t="s">
        <v>2</v>
      </c>
      <c r="C1272" s="1">
        <v>42.360599999999998</v>
      </c>
      <c r="D1272" s="1">
        <v>-71.010599999999997</v>
      </c>
      <c r="E1272" s="5">
        <v>41461</v>
      </c>
      <c r="F1272" s="1" t="str">
        <f t="shared" si="20"/>
        <v>July</v>
      </c>
      <c r="G1272" s="1">
        <v>83</v>
      </c>
      <c r="H1272" s="1">
        <v>0</v>
      </c>
      <c r="I1272" s="1" t="str">
        <f>IF(Table1[[#This Row],[Temperature_F]]&lt;32,"Yes","No")</f>
        <v>No</v>
      </c>
      <c r="J1272" s="1" t="str" cm="1">
        <f t="array" ref="J12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2" s="1" t="str" cm="1">
        <f t="array" ref="K1272">_xlfn.IFS(
H1272=0,"No Rain",
H1272&lt;10,"Light",
H1272&lt;50,"Moderate",
TRUE,"Heavy")</f>
        <v>No Rain</v>
      </c>
      <c r="L1272" s="1" t="str">
        <f>IF(Table1[[#This Row],[Precipitation_mm]]&lt;&gt;0,"Wet","Dry")</f>
        <v>Dry</v>
      </c>
      <c r="M1272" t="b">
        <f>OR(ISBLANK(Table1[[#This Row],[Temperature_F]]),ISERROR(Table1[[#This Row],[Temperature_F]]))</f>
        <v>0</v>
      </c>
    </row>
    <row r="1273" spans="1:13" hidden="1" x14ac:dyDescent="0.25">
      <c r="A1273" s="1" t="s">
        <v>1</v>
      </c>
      <c r="B1273" s="1" t="s">
        <v>2</v>
      </c>
      <c r="C1273" s="1">
        <v>42.360599999999998</v>
      </c>
      <c r="D1273" s="1">
        <v>-71.010599999999997</v>
      </c>
      <c r="E1273" s="5">
        <v>41462</v>
      </c>
      <c r="F1273" s="1" t="str">
        <f t="shared" si="20"/>
        <v>July</v>
      </c>
      <c r="G1273" s="1">
        <v>75</v>
      </c>
      <c r="H1273" s="1">
        <v>0</v>
      </c>
      <c r="I1273" s="1" t="str">
        <f>IF(Table1[[#This Row],[Temperature_F]]&lt;32,"Yes","No")</f>
        <v>No</v>
      </c>
      <c r="J1273" s="1" t="str" cm="1">
        <f t="array" ref="J12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3" s="1" t="str" cm="1">
        <f t="array" ref="K1273">_xlfn.IFS(
H1273=0,"No Rain",
H1273&lt;10,"Light",
H1273&lt;50,"Moderate",
TRUE,"Heavy")</f>
        <v>No Rain</v>
      </c>
      <c r="L1273" s="1" t="str">
        <f>IF(Table1[[#This Row],[Precipitation_mm]]&lt;&gt;0,"Wet","Dry")</f>
        <v>Dry</v>
      </c>
      <c r="M1273" t="b">
        <f>OR(ISBLANK(Table1[[#This Row],[Temperature_F]]),ISERROR(Table1[[#This Row],[Temperature_F]]))</f>
        <v>0</v>
      </c>
    </row>
    <row r="1274" spans="1:13" hidden="1" x14ac:dyDescent="0.25">
      <c r="A1274" s="1" t="s">
        <v>1</v>
      </c>
      <c r="B1274" s="1" t="s">
        <v>2</v>
      </c>
      <c r="C1274" s="1">
        <v>42.360599999999998</v>
      </c>
      <c r="D1274" s="1">
        <v>-71.010599999999997</v>
      </c>
      <c r="E1274" s="5">
        <v>41463</v>
      </c>
      <c r="F1274" s="1" t="str">
        <f t="shared" si="20"/>
        <v>July</v>
      </c>
      <c r="G1274" s="1">
        <v>80</v>
      </c>
      <c r="H1274" s="1">
        <v>3</v>
      </c>
      <c r="I1274" s="1" t="str">
        <f>IF(Table1[[#This Row],[Temperature_F]]&lt;32,"Yes","No")</f>
        <v>No</v>
      </c>
      <c r="J1274" s="1" t="str" cm="1">
        <f t="array" ref="J12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4" s="1" t="str" cm="1">
        <f t="array" ref="K1274">_xlfn.IFS(
H1274=0,"No Rain",
H1274&lt;10,"Light",
H1274&lt;50,"Moderate",
TRUE,"Heavy")</f>
        <v>Light</v>
      </c>
      <c r="L1274" s="1" t="str">
        <f>IF(Table1[[#This Row],[Precipitation_mm]]&lt;&gt;0,"Wet","Dry")</f>
        <v>Wet</v>
      </c>
      <c r="M1274" t="b">
        <f>OR(ISBLANK(Table1[[#This Row],[Temperature_F]]),ISERROR(Table1[[#This Row],[Temperature_F]]))</f>
        <v>0</v>
      </c>
    </row>
    <row r="1275" spans="1:13" hidden="1" x14ac:dyDescent="0.25">
      <c r="A1275" s="1" t="s">
        <v>1</v>
      </c>
      <c r="B1275" s="1" t="s">
        <v>2</v>
      </c>
      <c r="C1275" s="1">
        <v>42.360599999999998</v>
      </c>
      <c r="D1275" s="1">
        <v>-71.010599999999997</v>
      </c>
      <c r="E1275" s="5">
        <v>41464</v>
      </c>
      <c r="F1275" s="1" t="str">
        <f t="shared" si="20"/>
        <v>July</v>
      </c>
      <c r="G1275" s="1">
        <v>67</v>
      </c>
      <c r="H1275" s="1">
        <v>0</v>
      </c>
      <c r="I1275" s="1" t="str">
        <f>IF(Table1[[#This Row],[Temperature_F]]&lt;32,"Yes","No")</f>
        <v>No</v>
      </c>
      <c r="J1275" s="1" t="str" cm="1">
        <f t="array" ref="J12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75" s="1" t="str" cm="1">
        <f t="array" ref="K1275">_xlfn.IFS(
H1275=0,"No Rain",
H1275&lt;10,"Light",
H1275&lt;50,"Moderate",
TRUE,"Heavy")</f>
        <v>No Rain</v>
      </c>
      <c r="L1275" s="1" t="str">
        <f>IF(Table1[[#This Row],[Precipitation_mm]]&lt;&gt;0,"Wet","Dry")</f>
        <v>Dry</v>
      </c>
      <c r="M1275" t="b">
        <f>OR(ISBLANK(Table1[[#This Row],[Temperature_F]]),ISERROR(Table1[[#This Row],[Temperature_F]]))</f>
        <v>0</v>
      </c>
    </row>
    <row r="1276" spans="1:13" hidden="1" x14ac:dyDescent="0.25">
      <c r="A1276" s="1" t="s">
        <v>1</v>
      </c>
      <c r="B1276" s="1" t="s">
        <v>2</v>
      </c>
      <c r="C1276" s="1">
        <v>42.360599999999998</v>
      </c>
      <c r="D1276" s="1">
        <v>-71.010599999999997</v>
      </c>
      <c r="E1276" s="5">
        <v>41465</v>
      </c>
      <c r="F1276" s="1" t="str">
        <f t="shared" si="20"/>
        <v>July</v>
      </c>
      <c r="G1276" s="1">
        <v>90</v>
      </c>
      <c r="H1276" s="1">
        <v>3</v>
      </c>
      <c r="I1276" s="1" t="str">
        <f>IF(Table1[[#This Row],[Temperature_F]]&lt;32,"Yes","No")</f>
        <v>No</v>
      </c>
      <c r="J1276" s="1" t="str" cm="1">
        <f t="array" ref="J12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76" s="1" t="str" cm="1">
        <f t="array" ref="K1276">_xlfn.IFS(
H1276=0,"No Rain",
H1276&lt;10,"Light",
H1276&lt;50,"Moderate",
TRUE,"Heavy")</f>
        <v>Light</v>
      </c>
      <c r="L1276" s="1" t="str">
        <f>IF(Table1[[#This Row],[Precipitation_mm]]&lt;&gt;0,"Wet","Dry")</f>
        <v>Wet</v>
      </c>
      <c r="M1276" t="b">
        <f>OR(ISBLANK(Table1[[#This Row],[Temperature_F]]),ISERROR(Table1[[#This Row],[Temperature_F]]))</f>
        <v>0</v>
      </c>
    </row>
    <row r="1277" spans="1:13" hidden="1" x14ac:dyDescent="0.25">
      <c r="A1277" s="1" t="s">
        <v>1</v>
      </c>
      <c r="B1277" s="1" t="s">
        <v>2</v>
      </c>
      <c r="C1277" s="1">
        <v>42.360599999999998</v>
      </c>
      <c r="D1277" s="1">
        <v>-71.010599999999997</v>
      </c>
      <c r="E1277" s="5">
        <v>41466</v>
      </c>
      <c r="F1277" s="1" t="str">
        <f t="shared" si="20"/>
        <v>July</v>
      </c>
      <c r="G1277" s="1">
        <v>78</v>
      </c>
      <c r="H1277" s="1">
        <v>43</v>
      </c>
      <c r="I1277" s="1" t="str">
        <f>IF(Table1[[#This Row],[Temperature_F]]&lt;32,"Yes","No")</f>
        <v>No</v>
      </c>
      <c r="J1277" s="1" t="str" cm="1">
        <f t="array" ref="J12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7" s="1" t="str" cm="1">
        <f t="array" ref="K1277">_xlfn.IFS(
H1277=0,"No Rain",
H1277&lt;10,"Light",
H1277&lt;50,"Moderate",
TRUE,"Heavy")</f>
        <v>Moderate</v>
      </c>
      <c r="L1277" s="1" t="str">
        <f>IF(Table1[[#This Row],[Precipitation_mm]]&lt;&gt;0,"Wet","Dry")</f>
        <v>Wet</v>
      </c>
      <c r="M1277" t="b">
        <f>OR(ISBLANK(Table1[[#This Row],[Temperature_F]]),ISERROR(Table1[[#This Row],[Temperature_F]]))</f>
        <v>0</v>
      </c>
    </row>
    <row r="1278" spans="1:13" hidden="1" x14ac:dyDescent="0.25">
      <c r="A1278" s="1" t="s">
        <v>1</v>
      </c>
      <c r="B1278" s="1" t="s">
        <v>2</v>
      </c>
      <c r="C1278" s="1">
        <v>42.360599999999998</v>
      </c>
      <c r="D1278" s="1">
        <v>-71.010599999999997</v>
      </c>
      <c r="E1278" s="5">
        <v>41467</v>
      </c>
      <c r="F1278" s="1" t="str">
        <f t="shared" si="20"/>
        <v>July</v>
      </c>
      <c r="G1278" s="1">
        <v>66</v>
      </c>
      <c r="H1278" s="1">
        <v>0</v>
      </c>
      <c r="I1278" s="1" t="str">
        <f>IF(Table1[[#This Row],[Temperature_F]]&lt;32,"Yes","No")</f>
        <v>No</v>
      </c>
      <c r="J1278" s="1" t="str" cm="1">
        <f t="array" ref="J12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78" s="1" t="str" cm="1">
        <f t="array" ref="K1278">_xlfn.IFS(
H1278=0,"No Rain",
H1278&lt;10,"Light",
H1278&lt;50,"Moderate",
TRUE,"Heavy")</f>
        <v>No Rain</v>
      </c>
      <c r="L1278" s="1" t="str">
        <f>IF(Table1[[#This Row],[Precipitation_mm]]&lt;&gt;0,"Wet","Dry")</f>
        <v>Dry</v>
      </c>
      <c r="M1278" t="b">
        <f>OR(ISBLANK(Table1[[#This Row],[Temperature_F]]),ISERROR(Table1[[#This Row],[Temperature_F]]))</f>
        <v>0</v>
      </c>
    </row>
    <row r="1279" spans="1:13" hidden="1" x14ac:dyDescent="0.25">
      <c r="A1279" s="1" t="s">
        <v>1</v>
      </c>
      <c r="B1279" s="1" t="s">
        <v>2</v>
      </c>
      <c r="C1279" s="1">
        <v>42.360599999999998</v>
      </c>
      <c r="D1279" s="1">
        <v>-71.010599999999997</v>
      </c>
      <c r="E1279" s="5">
        <v>41468</v>
      </c>
      <c r="F1279" s="1" t="str">
        <f t="shared" si="20"/>
        <v>July</v>
      </c>
      <c r="G1279" s="1">
        <v>76</v>
      </c>
      <c r="H1279" s="1">
        <v>0</v>
      </c>
      <c r="I1279" s="1" t="str">
        <f>IF(Table1[[#This Row],[Temperature_F]]&lt;32,"Yes","No")</f>
        <v>No</v>
      </c>
      <c r="J1279" s="1" t="str" cm="1">
        <f t="array" ref="J12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79" s="1" t="str" cm="1">
        <f t="array" ref="K1279">_xlfn.IFS(
H1279=0,"No Rain",
H1279&lt;10,"Light",
H1279&lt;50,"Moderate",
TRUE,"Heavy")</f>
        <v>No Rain</v>
      </c>
      <c r="L1279" s="1" t="str">
        <f>IF(Table1[[#This Row],[Precipitation_mm]]&lt;&gt;0,"Wet","Dry")</f>
        <v>Dry</v>
      </c>
      <c r="M1279" t="b">
        <f>OR(ISBLANK(Table1[[#This Row],[Temperature_F]]),ISERROR(Table1[[#This Row],[Temperature_F]]))</f>
        <v>0</v>
      </c>
    </row>
    <row r="1280" spans="1:13" hidden="1" x14ac:dyDescent="0.25">
      <c r="A1280" s="1" t="s">
        <v>1</v>
      </c>
      <c r="B1280" s="1" t="s">
        <v>2</v>
      </c>
      <c r="C1280" s="1">
        <v>42.360599999999998</v>
      </c>
      <c r="D1280" s="1">
        <v>-71.010599999999997</v>
      </c>
      <c r="E1280" s="5">
        <v>41469</v>
      </c>
      <c r="F1280" s="1" t="str">
        <f t="shared" si="20"/>
        <v>July</v>
      </c>
      <c r="G1280" s="1">
        <v>83</v>
      </c>
      <c r="H1280" s="1">
        <v>0</v>
      </c>
      <c r="I1280" s="1" t="str">
        <f>IF(Table1[[#This Row],[Temperature_F]]&lt;32,"Yes","No")</f>
        <v>No</v>
      </c>
      <c r="J1280" s="1" t="str" cm="1">
        <f t="array" ref="J12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0" s="1" t="str" cm="1">
        <f t="array" ref="K1280">_xlfn.IFS(
H1280=0,"No Rain",
H1280&lt;10,"Light",
H1280&lt;50,"Moderate",
TRUE,"Heavy")</f>
        <v>No Rain</v>
      </c>
      <c r="L1280" s="1" t="str">
        <f>IF(Table1[[#This Row],[Precipitation_mm]]&lt;&gt;0,"Wet","Dry")</f>
        <v>Dry</v>
      </c>
      <c r="M1280" t="b">
        <f>OR(ISBLANK(Table1[[#This Row],[Temperature_F]]),ISERROR(Table1[[#This Row],[Temperature_F]]))</f>
        <v>0</v>
      </c>
    </row>
    <row r="1281" spans="1:13" hidden="1" x14ac:dyDescent="0.25">
      <c r="A1281" s="1" t="s">
        <v>1</v>
      </c>
      <c r="B1281" s="1" t="s">
        <v>2</v>
      </c>
      <c r="C1281" s="1">
        <v>42.360599999999998</v>
      </c>
      <c r="D1281" s="1">
        <v>-71.010599999999997</v>
      </c>
      <c r="E1281" s="5">
        <v>41470</v>
      </c>
      <c r="F1281" s="1" t="str">
        <f t="shared" si="20"/>
        <v>July</v>
      </c>
      <c r="G1281" s="1">
        <v>70</v>
      </c>
      <c r="H1281" s="1">
        <v>0</v>
      </c>
      <c r="I1281" s="1" t="str">
        <f>IF(Table1[[#This Row],[Temperature_F]]&lt;32,"Yes","No")</f>
        <v>No</v>
      </c>
      <c r="J1281" s="1" t="str" cm="1">
        <f t="array" ref="J12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1" s="1" t="str" cm="1">
        <f t="array" ref="K1281">_xlfn.IFS(
H1281=0,"No Rain",
H1281&lt;10,"Light",
H1281&lt;50,"Moderate",
TRUE,"Heavy")</f>
        <v>No Rain</v>
      </c>
      <c r="L1281" s="1" t="str">
        <f>IF(Table1[[#This Row],[Precipitation_mm]]&lt;&gt;0,"Wet","Dry")</f>
        <v>Dry</v>
      </c>
      <c r="M1281" t="b">
        <f>OR(ISBLANK(Table1[[#This Row],[Temperature_F]]),ISERROR(Table1[[#This Row],[Temperature_F]]))</f>
        <v>0</v>
      </c>
    </row>
    <row r="1282" spans="1:13" hidden="1" x14ac:dyDescent="0.25">
      <c r="A1282" s="1" t="s">
        <v>1</v>
      </c>
      <c r="B1282" s="1" t="s">
        <v>2</v>
      </c>
      <c r="C1282" s="1">
        <v>42.360599999999998</v>
      </c>
      <c r="D1282" s="1">
        <v>-71.010599999999997</v>
      </c>
      <c r="E1282" s="5">
        <v>41471</v>
      </c>
      <c r="F1282" s="1" t="str">
        <f t="shared" si="20"/>
        <v>July</v>
      </c>
      <c r="G1282" s="1">
        <v>74</v>
      </c>
      <c r="H1282" s="1">
        <v>3</v>
      </c>
      <c r="I1282" s="1" t="str">
        <f>IF(Table1[[#This Row],[Temperature_F]]&lt;32,"Yes","No")</f>
        <v>No</v>
      </c>
      <c r="J1282" s="1" t="str" cm="1">
        <f t="array" ref="J12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2" s="1" t="str" cm="1">
        <f t="array" ref="K1282">_xlfn.IFS(
H1282=0,"No Rain",
H1282&lt;10,"Light",
H1282&lt;50,"Moderate",
TRUE,"Heavy")</f>
        <v>Light</v>
      </c>
      <c r="L1282" s="1" t="str">
        <f>IF(Table1[[#This Row],[Precipitation_mm]]&lt;&gt;0,"Wet","Dry")</f>
        <v>Wet</v>
      </c>
      <c r="M1282" t="b">
        <f>OR(ISBLANK(Table1[[#This Row],[Temperature_F]]),ISERROR(Table1[[#This Row],[Temperature_F]]))</f>
        <v>0</v>
      </c>
    </row>
    <row r="1283" spans="1:13" hidden="1" x14ac:dyDescent="0.25">
      <c r="A1283" s="1" t="s">
        <v>1</v>
      </c>
      <c r="B1283" s="1" t="s">
        <v>2</v>
      </c>
      <c r="C1283" s="1">
        <v>42.360599999999998</v>
      </c>
      <c r="D1283" s="1">
        <v>-71.010599999999997</v>
      </c>
      <c r="E1283" s="5">
        <v>41472</v>
      </c>
      <c r="F1283" s="1" t="str">
        <f t="shared" si="20"/>
        <v>July</v>
      </c>
      <c r="G1283" s="1">
        <v>78</v>
      </c>
      <c r="H1283" s="1">
        <v>0</v>
      </c>
      <c r="I1283" s="1" t="str">
        <f>IF(Table1[[#This Row],[Temperature_F]]&lt;32,"Yes","No")</f>
        <v>No</v>
      </c>
      <c r="J1283" s="1" t="str" cm="1">
        <f t="array" ref="J12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3" s="1" t="str" cm="1">
        <f t="array" ref="K1283">_xlfn.IFS(
H1283=0,"No Rain",
H1283&lt;10,"Light",
H1283&lt;50,"Moderate",
TRUE,"Heavy")</f>
        <v>No Rain</v>
      </c>
      <c r="L1283" s="1" t="str">
        <f>IF(Table1[[#This Row],[Precipitation_mm]]&lt;&gt;0,"Wet","Dry")</f>
        <v>Dry</v>
      </c>
      <c r="M1283" t="b">
        <f>OR(ISBLANK(Table1[[#This Row],[Temperature_F]]),ISERROR(Table1[[#This Row],[Temperature_F]]))</f>
        <v>0</v>
      </c>
    </row>
    <row r="1284" spans="1:13" hidden="1" x14ac:dyDescent="0.25">
      <c r="A1284" s="1" t="s">
        <v>1</v>
      </c>
      <c r="B1284" s="1" t="s">
        <v>2</v>
      </c>
      <c r="C1284" s="1">
        <v>42.360599999999998</v>
      </c>
      <c r="D1284" s="1">
        <v>-71.010599999999997</v>
      </c>
      <c r="E1284" s="5">
        <v>41473</v>
      </c>
      <c r="F1284" s="1" t="str">
        <f t="shared" si="20"/>
        <v>July</v>
      </c>
      <c r="G1284" s="1">
        <v>89</v>
      </c>
      <c r="H1284" s="1">
        <v>0</v>
      </c>
      <c r="I1284" s="1" t="str">
        <f>IF(Table1[[#This Row],[Temperature_F]]&lt;32,"Yes","No")</f>
        <v>No</v>
      </c>
      <c r="J1284" s="1" t="str" cm="1">
        <f t="array" ref="J12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84" s="1" t="str" cm="1">
        <f t="array" ref="K1284">_xlfn.IFS(
H1284=0,"No Rain",
H1284&lt;10,"Light",
H1284&lt;50,"Moderate",
TRUE,"Heavy")</f>
        <v>No Rain</v>
      </c>
      <c r="L1284" s="1" t="str">
        <f>IF(Table1[[#This Row],[Precipitation_mm]]&lt;&gt;0,"Wet","Dry")</f>
        <v>Dry</v>
      </c>
      <c r="M1284" t="b">
        <f>OR(ISBLANK(Table1[[#This Row],[Temperature_F]]),ISERROR(Table1[[#This Row],[Temperature_F]]))</f>
        <v>0</v>
      </c>
    </row>
    <row r="1285" spans="1:13" hidden="1" x14ac:dyDescent="0.25">
      <c r="A1285" s="1" t="s">
        <v>1</v>
      </c>
      <c r="B1285" s="1" t="s">
        <v>2</v>
      </c>
      <c r="C1285" s="1">
        <v>42.360599999999998</v>
      </c>
      <c r="D1285" s="1">
        <v>-71.010599999999997</v>
      </c>
      <c r="E1285" s="5">
        <v>41474</v>
      </c>
      <c r="F1285" s="1" t="str">
        <f t="shared" si="20"/>
        <v>July</v>
      </c>
      <c r="G1285" s="1">
        <v>74</v>
      </c>
      <c r="H1285" s="1">
        <v>0</v>
      </c>
      <c r="I1285" s="1" t="str">
        <f>IF(Table1[[#This Row],[Temperature_F]]&lt;32,"Yes","No")</f>
        <v>No</v>
      </c>
      <c r="J1285" s="1" t="str" cm="1">
        <f t="array" ref="J12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5" s="1" t="str" cm="1">
        <f t="array" ref="K1285">_xlfn.IFS(
H1285=0,"No Rain",
H1285&lt;10,"Light",
H1285&lt;50,"Moderate",
TRUE,"Heavy")</f>
        <v>No Rain</v>
      </c>
      <c r="L1285" s="1" t="str">
        <f>IF(Table1[[#This Row],[Precipitation_mm]]&lt;&gt;0,"Wet","Dry")</f>
        <v>Dry</v>
      </c>
      <c r="M1285" t="b">
        <f>OR(ISBLANK(Table1[[#This Row],[Temperature_F]]),ISERROR(Table1[[#This Row],[Temperature_F]]))</f>
        <v>0</v>
      </c>
    </row>
    <row r="1286" spans="1:13" hidden="1" x14ac:dyDescent="0.25">
      <c r="A1286" s="1" t="s">
        <v>1</v>
      </c>
      <c r="B1286" s="1" t="s">
        <v>2</v>
      </c>
      <c r="C1286" s="1">
        <v>42.360599999999998</v>
      </c>
      <c r="D1286" s="1">
        <v>-71.010599999999997</v>
      </c>
      <c r="E1286" s="5">
        <v>41475</v>
      </c>
      <c r="F1286" s="1" t="str">
        <f t="shared" si="20"/>
        <v>July</v>
      </c>
      <c r="G1286" s="1">
        <v>79</v>
      </c>
      <c r="H1286" s="1">
        <v>0</v>
      </c>
      <c r="I1286" s="1" t="str">
        <f>IF(Table1[[#This Row],[Temperature_F]]&lt;32,"Yes","No")</f>
        <v>No</v>
      </c>
      <c r="J1286" s="1" t="str" cm="1">
        <f t="array" ref="J12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6" s="1" t="str" cm="1">
        <f t="array" ref="K1286">_xlfn.IFS(
H1286=0,"No Rain",
H1286&lt;10,"Light",
H1286&lt;50,"Moderate",
TRUE,"Heavy")</f>
        <v>No Rain</v>
      </c>
      <c r="L1286" s="1" t="str">
        <f>IF(Table1[[#This Row],[Precipitation_mm]]&lt;&gt;0,"Wet","Dry")</f>
        <v>Dry</v>
      </c>
      <c r="M1286" t="b">
        <f>OR(ISBLANK(Table1[[#This Row],[Temperature_F]]),ISERROR(Table1[[#This Row],[Temperature_F]]))</f>
        <v>0</v>
      </c>
    </row>
    <row r="1287" spans="1:13" hidden="1" x14ac:dyDescent="0.25">
      <c r="A1287" s="1" t="s">
        <v>1</v>
      </c>
      <c r="B1287" s="1" t="s">
        <v>2</v>
      </c>
      <c r="C1287" s="1">
        <v>42.360599999999998</v>
      </c>
      <c r="D1287" s="1">
        <v>-71.010599999999997</v>
      </c>
      <c r="E1287" s="5">
        <v>41476</v>
      </c>
      <c r="F1287" s="1" t="str">
        <f t="shared" si="20"/>
        <v>July</v>
      </c>
      <c r="G1287" s="1">
        <v>79</v>
      </c>
      <c r="H1287" s="1">
        <v>3</v>
      </c>
      <c r="I1287" s="1" t="str">
        <f>IF(Table1[[#This Row],[Temperature_F]]&lt;32,"Yes","No")</f>
        <v>No</v>
      </c>
      <c r="J1287" s="1" t="str" cm="1">
        <f t="array" ref="J12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7" s="1" t="str" cm="1">
        <f t="array" ref="K1287">_xlfn.IFS(
H1287=0,"No Rain",
H1287&lt;10,"Light",
H1287&lt;50,"Moderate",
TRUE,"Heavy")</f>
        <v>Light</v>
      </c>
      <c r="L1287" s="1" t="str">
        <f>IF(Table1[[#This Row],[Precipitation_mm]]&lt;&gt;0,"Wet","Dry")</f>
        <v>Wet</v>
      </c>
      <c r="M1287" t="b">
        <f>OR(ISBLANK(Table1[[#This Row],[Temperature_F]]),ISERROR(Table1[[#This Row],[Temperature_F]]))</f>
        <v>0</v>
      </c>
    </row>
    <row r="1288" spans="1:13" hidden="1" x14ac:dyDescent="0.25">
      <c r="A1288" s="1" t="s">
        <v>1</v>
      </c>
      <c r="B1288" s="1" t="s">
        <v>2</v>
      </c>
      <c r="C1288" s="1">
        <v>42.360599999999998</v>
      </c>
      <c r="D1288" s="1">
        <v>-71.010599999999997</v>
      </c>
      <c r="E1288" s="5">
        <v>41477</v>
      </c>
      <c r="F1288" s="1" t="str">
        <f t="shared" si="20"/>
        <v>July</v>
      </c>
      <c r="G1288" s="1">
        <v>85</v>
      </c>
      <c r="H1288" s="1">
        <v>0</v>
      </c>
      <c r="I1288" s="1" t="str">
        <f>IF(Table1[[#This Row],[Temperature_F]]&lt;32,"Yes","No")</f>
        <v>No</v>
      </c>
      <c r="J1288" s="1" t="str" cm="1">
        <f t="array" ref="J12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8" s="1" t="str" cm="1">
        <f t="array" ref="K1288">_xlfn.IFS(
H1288=0,"No Rain",
H1288&lt;10,"Light",
H1288&lt;50,"Moderate",
TRUE,"Heavy")</f>
        <v>No Rain</v>
      </c>
      <c r="L1288" s="1" t="str">
        <f>IF(Table1[[#This Row],[Precipitation_mm]]&lt;&gt;0,"Wet","Dry")</f>
        <v>Dry</v>
      </c>
      <c r="M1288" t="b">
        <f>OR(ISBLANK(Table1[[#This Row],[Temperature_F]]),ISERROR(Table1[[#This Row],[Temperature_F]]))</f>
        <v>0</v>
      </c>
    </row>
    <row r="1289" spans="1:13" hidden="1" x14ac:dyDescent="0.25">
      <c r="A1289" s="1" t="s">
        <v>1</v>
      </c>
      <c r="B1289" s="1" t="s">
        <v>2</v>
      </c>
      <c r="C1289" s="1">
        <v>42.360599999999998</v>
      </c>
      <c r="D1289" s="1">
        <v>-71.010599999999997</v>
      </c>
      <c r="E1289" s="5">
        <v>41478</v>
      </c>
      <c r="F1289" s="1" t="str">
        <f t="shared" si="20"/>
        <v>July</v>
      </c>
      <c r="G1289" s="1">
        <v>73</v>
      </c>
      <c r="H1289" s="1">
        <v>447</v>
      </c>
      <c r="I1289" s="1" t="str">
        <f>IF(Table1[[#This Row],[Temperature_F]]&lt;32,"Yes","No")</f>
        <v>No</v>
      </c>
      <c r="J1289" s="1" t="str" cm="1">
        <f t="array" ref="J12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89" s="1" t="str" cm="1">
        <f t="array" ref="K1289">_xlfn.IFS(
H1289=0,"No Rain",
H1289&lt;10,"Light",
H1289&lt;50,"Moderate",
TRUE,"Heavy")</f>
        <v>Heavy</v>
      </c>
      <c r="L1289" s="1" t="str">
        <f>IF(Table1[[#This Row],[Precipitation_mm]]&lt;&gt;0,"Wet","Dry")</f>
        <v>Wet</v>
      </c>
      <c r="M1289" t="b">
        <f>OR(ISBLANK(Table1[[#This Row],[Temperature_F]]),ISERROR(Table1[[#This Row],[Temperature_F]]))</f>
        <v>0</v>
      </c>
    </row>
    <row r="1290" spans="1:13" hidden="1" x14ac:dyDescent="0.25">
      <c r="A1290" s="1" t="s">
        <v>1</v>
      </c>
      <c r="B1290" s="1" t="s">
        <v>2</v>
      </c>
      <c r="C1290" s="1">
        <v>42.360599999999998</v>
      </c>
      <c r="D1290" s="1">
        <v>-71.010599999999997</v>
      </c>
      <c r="E1290" s="5">
        <v>41479</v>
      </c>
      <c r="F1290" s="1" t="str">
        <f t="shared" si="20"/>
        <v>July</v>
      </c>
      <c r="G1290" s="1">
        <v>87</v>
      </c>
      <c r="H1290" s="1">
        <v>0</v>
      </c>
      <c r="I1290" s="1" t="str">
        <f>IF(Table1[[#This Row],[Temperature_F]]&lt;32,"Yes","No")</f>
        <v>No</v>
      </c>
      <c r="J1290" s="1" t="str" cm="1">
        <f t="array" ref="J12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290" s="1" t="str" cm="1">
        <f t="array" ref="K1290">_xlfn.IFS(
H1290=0,"No Rain",
H1290&lt;10,"Light",
H1290&lt;50,"Moderate",
TRUE,"Heavy")</f>
        <v>No Rain</v>
      </c>
      <c r="L1290" s="1" t="str">
        <f>IF(Table1[[#This Row],[Precipitation_mm]]&lt;&gt;0,"Wet","Dry")</f>
        <v>Dry</v>
      </c>
      <c r="M1290" t="b">
        <f>OR(ISBLANK(Table1[[#This Row],[Temperature_F]]),ISERROR(Table1[[#This Row],[Temperature_F]]))</f>
        <v>0</v>
      </c>
    </row>
    <row r="1291" spans="1:13" hidden="1" x14ac:dyDescent="0.25">
      <c r="A1291" s="1" t="s">
        <v>1</v>
      </c>
      <c r="B1291" s="1" t="s">
        <v>2</v>
      </c>
      <c r="C1291" s="1">
        <v>42.360599999999998</v>
      </c>
      <c r="D1291" s="1">
        <v>-71.010599999999997</v>
      </c>
      <c r="E1291" s="5">
        <v>41480</v>
      </c>
      <c r="F1291" s="1" t="str">
        <f t="shared" si="20"/>
        <v>July</v>
      </c>
      <c r="G1291" s="1">
        <v>85</v>
      </c>
      <c r="H1291" s="1">
        <v>69</v>
      </c>
      <c r="I1291" s="1" t="str">
        <f>IF(Table1[[#This Row],[Temperature_F]]&lt;32,"Yes","No")</f>
        <v>No</v>
      </c>
      <c r="J1291" s="1" t="str" cm="1">
        <f t="array" ref="J12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91" s="1" t="str" cm="1">
        <f t="array" ref="K1291">_xlfn.IFS(
H1291=0,"No Rain",
H1291&lt;10,"Light",
H1291&lt;50,"Moderate",
TRUE,"Heavy")</f>
        <v>Heavy</v>
      </c>
      <c r="L1291" s="1" t="str">
        <f>IF(Table1[[#This Row],[Precipitation_mm]]&lt;&gt;0,"Wet","Dry")</f>
        <v>Wet</v>
      </c>
      <c r="M1291" t="b">
        <f>OR(ISBLANK(Table1[[#This Row],[Temperature_F]]),ISERROR(Table1[[#This Row],[Temperature_F]]))</f>
        <v>0</v>
      </c>
    </row>
    <row r="1292" spans="1:13" hidden="1" x14ac:dyDescent="0.25">
      <c r="A1292" s="1" t="s">
        <v>1</v>
      </c>
      <c r="B1292" s="1" t="s">
        <v>2</v>
      </c>
      <c r="C1292" s="1">
        <v>42.360599999999998</v>
      </c>
      <c r="D1292" s="1">
        <v>-71.010599999999997</v>
      </c>
      <c r="E1292" s="5">
        <v>41481</v>
      </c>
      <c r="F1292" s="1" t="str">
        <f t="shared" si="20"/>
        <v>July</v>
      </c>
      <c r="G1292" s="1">
        <v>74</v>
      </c>
      <c r="H1292" s="1">
        <v>254</v>
      </c>
      <c r="I1292" s="1" t="str">
        <f>IF(Table1[[#This Row],[Temperature_F]]&lt;32,"Yes","No")</f>
        <v>No</v>
      </c>
      <c r="J1292" s="1" t="str" cm="1">
        <f t="array" ref="J12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92" s="1" t="str" cm="1">
        <f t="array" ref="K1292">_xlfn.IFS(
H1292=0,"No Rain",
H1292&lt;10,"Light",
H1292&lt;50,"Moderate",
TRUE,"Heavy")</f>
        <v>Heavy</v>
      </c>
      <c r="L1292" s="1" t="str">
        <f>IF(Table1[[#This Row],[Precipitation_mm]]&lt;&gt;0,"Wet","Dry")</f>
        <v>Wet</v>
      </c>
      <c r="M1292" t="b">
        <f>OR(ISBLANK(Table1[[#This Row],[Temperature_F]]),ISERROR(Table1[[#This Row],[Temperature_F]]))</f>
        <v>0</v>
      </c>
    </row>
    <row r="1293" spans="1:13" hidden="1" x14ac:dyDescent="0.25">
      <c r="A1293" s="1" t="s">
        <v>1</v>
      </c>
      <c r="B1293" s="1" t="s">
        <v>2</v>
      </c>
      <c r="C1293" s="1">
        <v>42.360599999999998</v>
      </c>
      <c r="D1293" s="1">
        <v>-71.010599999999997</v>
      </c>
      <c r="E1293" s="5">
        <v>41482</v>
      </c>
      <c r="F1293" s="1" t="str">
        <f t="shared" si="20"/>
        <v>July</v>
      </c>
      <c r="G1293" s="1">
        <v>80</v>
      </c>
      <c r="H1293" s="1">
        <v>0</v>
      </c>
      <c r="I1293" s="1" t="str">
        <f>IF(Table1[[#This Row],[Temperature_F]]&lt;32,"Yes","No")</f>
        <v>No</v>
      </c>
      <c r="J1293" s="1" t="str" cm="1">
        <f t="array" ref="J12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93" s="1" t="str" cm="1">
        <f t="array" ref="K1293">_xlfn.IFS(
H1293=0,"No Rain",
H1293&lt;10,"Light",
H1293&lt;50,"Moderate",
TRUE,"Heavy")</f>
        <v>No Rain</v>
      </c>
      <c r="L1293" s="1" t="str">
        <f>IF(Table1[[#This Row],[Precipitation_mm]]&lt;&gt;0,"Wet","Dry")</f>
        <v>Dry</v>
      </c>
      <c r="M1293" t="b">
        <f>OR(ISBLANK(Table1[[#This Row],[Temperature_F]]),ISERROR(Table1[[#This Row],[Temperature_F]]))</f>
        <v>0</v>
      </c>
    </row>
    <row r="1294" spans="1:13" hidden="1" x14ac:dyDescent="0.25">
      <c r="A1294" s="1" t="s">
        <v>1</v>
      </c>
      <c r="B1294" s="1" t="s">
        <v>2</v>
      </c>
      <c r="C1294" s="1">
        <v>42.360599999999998</v>
      </c>
      <c r="D1294" s="1">
        <v>-71.010599999999997</v>
      </c>
      <c r="E1294" s="5">
        <v>41483</v>
      </c>
      <c r="F1294" s="1" t="str">
        <f t="shared" si="20"/>
        <v>July</v>
      </c>
      <c r="G1294" s="1">
        <v>67</v>
      </c>
      <c r="H1294" s="1">
        <v>3</v>
      </c>
      <c r="I1294" s="1" t="str">
        <f>IF(Table1[[#This Row],[Temperature_F]]&lt;32,"Yes","No")</f>
        <v>No</v>
      </c>
      <c r="J1294" s="1" t="str" cm="1">
        <f t="array" ref="J12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94" s="1" t="str" cm="1">
        <f t="array" ref="K1294">_xlfn.IFS(
H1294=0,"No Rain",
H1294&lt;10,"Light",
H1294&lt;50,"Moderate",
TRUE,"Heavy")</f>
        <v>Light</v>
      </c>
      <c r="L1294" s="1" t="str">
        <f>IF(Table1[[#This Row],[Precipitation_mm]]&lt;&gt;0,"Wet","Dry")</f>
        <v>Wet</v>
      </c>
      <c r="M1294" t="b">
        <f>OR(ISBLANK(Table1[[#This Row],[Temperature_F]]),ISERROR(Table1[[#This Row],[Temperature_F]]))</f>
        <v>0</v>
      </c>
    </row>
    <row r="1295" spans="1:13" hidden="1" x14ac:dyDescent="0.25">
      <c r="A1295" s="1" t="s">
        <v>1</v>
      </c>
      <c r="B1295" s="1" t="s">
        <v>2</v>
      </c>
      <c r="C1295" s="1">
        <v>42.360599999999998</v>
      </c>
      <c r="D1295" s="1">
        <v>-71.010599999999997</v>
      </c>
      <c r="E1295" s="5">
        <v>41484</v>
      </c>
      <c r="F1295" s="1" t="str">
        <f t="shared" si="20"/>
        <v>July</v>
      </c>
      <c r="G1295" s="1">
        <v>66</v>
      </c>
      <c r="H1295" s="1">
        <v>84</v>
      </c>
      <c r="I1295" s="1" t="str">
        <f>IF(Table1[[#This Row],[Temperature_F]]&lt;32,"Yes","No")</f>
        <v>No</v>
      </c>
      <c r="J1295" s="1" t="str" cm="1">
        <f t="array" ref="J12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95" s="1" t="str" cm="1">
        <f t="array" ref="K1295">_xlfn.IFS(
H1295=0,"No Rain",
H1295&lt;10,"Light",
H1295&lt;50,"Moderate",
TRUE,"Heavy")</f>
        <v>Heavy</v>
      </c>
      <c r="L1295" s="1" t="str">
        <f>IF(Table1[[#This Row],[Precipitation_mm]]&lt;&gt;0,"Wet","Dry")</f>
        <v>Wet</v>
      </c>
      <c r="M1295" t="b">
        <f>OR(ISBLANK(Table1[[#This Row],[Temperature_F]]),ISERROR(Table1[[#This Row],[Temperature_F]]))</f>
        <v>0</v>
      </c>
    </row>
    <row r="1296" spans="1:13" hidden="1" x14ac:dyDescent="0.25">
      <c r="A1296" s="1" t="s">
        <v>1</v>
      </c>
      <c r="B1296" s="1" t="s">
        <v>2</v>
      </c>
      <c r="C1296" s="1">
        <v>42.360599999999998</v>
      </c>
      <c r="D1296" s="1">
        <v>-71.010599999999997</v>
      </c>
      <c r="E1296" s="5">
        <v>41485</v>
      </c>
      <c r="F1296" s="1" t="str">
        <f t="shared" si="20"/>
        <v>July</v>
      </c>
      <c r="G1296" s="1">
        <v>75</v>
      </c>
      <c r="H1296" s="1">
        <v>0</v>
      </c>
      <c r="I1296" s="1" t="str">
        <f>IF(Table1[[#This Row],[Temperature_F]]&lt;32,"Yes","No")</f>
        <v>No</v>
      </c>
      <c r="J1296" s="1" t="str" cm="1">
        <f t="array" ref="J12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96" s="1" t="str" cm="1">
        <f t="array" ref="K1296">_xlfn.IFS(
H1296=0,"No Rain",
H1296&lt;10,"Light",
H1296&lt;50,"Moderate",
TRUE,"Heavy")</f>
        <v>No Rain</v>
      </c>
      <c r="L1296" s="1" t="str">
        <f>IF(Table1[[#This Row],[Precipitation_mm]]&lt;&gt;0,"Wet","Dry")</f>
        <v>Dry</v>
      </c>
      <c r="M1296" t="b">
        <f>OR(ISBLANK(Table1[[#This Row],[Temperature_F]]),ISERROR(Table1[[#This Row],[Temperature_F]]))</f>
        <v>0</v>
      </c>
    </row>
    <row r="1297" spans="1:13" hidden="1" x14ac:dyDescent="0.25">
      <c r="A1297" s="1" t="s">
        <v>1</v>
      </c>
      <c r="B1297" s="1" t="s">
        <v>2</v>
      </c>
      <c r="C1297" s="1">
        <v>42.360599999999998</v>
      </c>
      <c r="D1297" s="1">
        <v>-71.010599999999997</v>
      </c>
      <c r="E1297" s="5">
        <v>41486</v>
      </c>
      <c r="F1297" s="1" t="str">
        <f t="shared" si="20"/>
        <v>July</v>
      </c>
      <c r="G1297" s="1">
        <v>75</v>
      </c>
      <c r="H1297" s="1">
        <v>0</v>
      </c>
      <c r="I1297" s="1" t="str">
        <f>IF(Table1[[#This Row],[Temperature_F]]&lt;32,"Yes","No")</f>
        <v>No</v>
      </c>
      <c r="J1297" s="1" t="str" cm="1">
        <f t="array" ref="J12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97" s="1" t="str" cm="1">
        <f t="array" ref="K1297">_xlfn.IFS(
H1297=0,"No Rain",
H1297&lt;10,"Light",
H1297&lt;50,"Moderate",
TRUE,"Heavy")</f>
        <v>No Rain</v>
      </c>
      <c r="L1297" s="1" t="str">
        <f>IF(Table1[[#This Row],[Precipitation_mm]]&lt;&gt;0,"Wet","Dry")</f>
        <v>Dry</v>
      </c>
      <c r="M1297" t="b">
        <f>OR(ISBLANK(Table1[[#This Row],[Temperature_F]]),ISERROR(Table1[[#This Row],[Temperature_F]]))</f>
        <v>0</v>
      </c>
    </row>
    <row r="1298" spans="1:13" hidden="1" x14ac:dyDescent="0.25">
      <c r="A1298" s="1" t="s">
        <v>1</v>
      </c>
      <c r="B1298" s="1" t="s">
        <v>2</v>
      </c>
      <c r="C1298" s="1">
        <v>42.360599999999998</v>
      </c>
      <c r="D1298" s="1">
        <v>-71.010599999999997</v>
      </c>
      <c r="E1298" s="5">
        <v>41487</v>
      </c>
      <c r="F1298" s="1" t="str">
        <f t="shared" si="20"/>
        <v>August</v>
      </c>
      <c r="G1298" s="1">
        <v>85</v>
      </c>
      <c r="H1298" s="1">
        <v>0</v>
      </c>
      <c r="I1298" s="1" t="str">
        <f>IF(Table1[[#This Row],[Temperature_F]]&lt;32,"Yes","No")</f>
        <v>No</v>
      </c>
      <c r="J1298" s="1" t="str" cm="1">
        <f t="array" ref="J12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298" s="1" t="str" cm="1">
        <f t="array" ref="K1298">_xlfn.IFS(
H1298=0,"No Rain",
H1298&lt;10,"Light",
H1298&lt;50,"Moderate",
TRUE,"Heavy")</f>
        <v>No Rain</v>
      </c>
      <c r="L1298" s="1" t="str">
        <f>IF(Table1[[#This Row],[Precipitation_mm]]&lt;&gt;0,"Wet","Dry")</f>
        <v>Dry</v>
      </c>
      <c r="M1298" t="b">
        <f>OR(ISBLANK(Table1[[#This Row],[Temperature_F]]),ISERROR(Table1[[#This Row],[Temperature_F]]))</f>
        <v>0</v>
      </c>
    </row>
    <row r="1299" spans="1:13" hidden="1" x14ac:dyDescent="0.25">
      <c r="A1299" s="1" t="s">
        <v>1</v>
      </c>
      <c r="B1299" s="1" t="s">
        <v>2</v>
      </c>
      <c r="C1299" s="1">
        <v>42.360599999999998</v>
      </c>
      <c r="D1299" s="1">
        <v>-71.010599999999997</v>
      </c>
      <c r="E1299" s="5">
        <v>41488</v>
      </c>
      <c r="F1299" s="1" t="str">
        <f t="shared" si="20"/>
        <v>August</v>
      </c>
      <c r="G1299" s="1">
        <v>66</v>
      </c>
      <c r="H1299" s="1">
        <v>33</v>
      </c>
      <c r="I1299" s="1" t="str">
        <f>IF(Table1[[#This Row],[Temperature_F]]&lt;32,"Yes","No")</f>
        <v>No</v>
      </c>
      <c r="J1299" s="1" t="str" cm="1">
        <f t="array" ref="J12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299" s="1" t="str" cm="1">
        <f t="array" ref="K1299">_xlfn.IFS(
H1299=0,"No Rain",
H1299&lt;10,"Light",
H1299&lt;50,"Moderate",
TRUE,"Heavy")</f>
        <v>Moderate</v>
      </c>
      <c r="L1299" s="1" t="str">
        <f>IF(Table1[[#This Row],[Precipitation_mm]]&lt;&gt;0,"Wet","Dry")</f>
        <v>Wet</v>
      </c>
      <c r="M1299" t="b">
        <f>OR(ISBLANK(Table1[[#This Row],[Temperature_F]]),ISERROR(Table1[[#This Row],[Temperature_F]]))</f>
        <v>0</v>
      </c>
    </row>
    <row r="1300" spans="1:13" hidden="1" x14ac:dyDescent="0.25">
      <c r="A1300" s="1" t="s">
        <v>1</v>
      </c>
      <c r="B1300" s="1" t="s">
        <v>2</v>
      </c>
      <c r="C1300" s="1">
        <v>42.360599999999998</v>
      </c>
      <c r="D1300" s="1">
        <v>-71.010599999999997</v>
      </c>
      <c r="E1300" s="5">
        <v>41489</v>
      </c>
      <c r="F1300" s="1" t="str">
        <f t="shared" si="20"/>
        <v>August</v>
      </c>
      <c r="G1300" s="1">
        <v>90</v>
      </c>
      <c r="H1300" s="1">
        <v>0</v>
      </c>
      <c r="I1300" s="1" t="str">
        <f>IF(Table1[[#This Row],[Temperature_F]]&lt;32,"Yes","No")</f>
        <v>No</v>
      </c>
      <c r="J1300" s="1" t="str" cm="1">
        <f t="array" ref="J13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300" s="1" t="str" cm="1">
        <f t="array" ref="K1300">_xlfn.IFS(
H1300=0,"No Rain",
H1300&lt;10,"Light",
H1300&lt;50,"Moderate",
TRUE,"Heavy")</f>
        <v>No Rain</v>
      </c>
      <c r="L1300" s="1" t="str">
        <f>IF(Table1[[#This Row],[Precipitation_mm]]&lt;&gt;0,"Wet","Dry")</f>
        <v>Dry</v>
      </c>
      <c r="M1300" t="b">
        <f>OR(ISBLANK(Table1[[#This Row],[Temperature_F]]),ISERROR(Table1[[#This Row],[Temperature_F]]))</f>
        <v>0</v>
      </c>
    </row>
    <row r="1301" spans="1:13" hidden="1" x14ac:dyDescent="0.25">
      <c r="A1301" s="1" t="s">
        <v>1</v>
      </c>
      <c r="B1301" s="1" t="s">
        <v>2</v>
      </c>
      <c r="C1301" s="1">
        <v>42.360599999999998</v>
      </c>
      <c r="D1301" s="1">
        <v>-71.010599999999997</v>
      </c>
      <c r="E1301" s="5">
        <v>41490</v>
      </c>
      <c r="F1301" s="1" t="str">
        <f t="shared" si="20"/>
        <v>August</v>
      </c>
      <c r="G1301" s="1">
        <v>69</v>
      </c>
      <c r="H1301" s="1">
        <v>0</v>
      </c>
      <c r="I1301" s="1" t="str">
        <f>IF(Table1[[#This Row],[Temperature_F]]&lt;32,"Yes","No")</f>
        <v>No</v>
      </c>
      <c r="J1301" s="1" t="str" cm="1">
        <f t="array" ref="J13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1" s="1" t="str" cm="1">
        <f t="array" ref="K1301">_xlfn.IFS(
H1301=0,"No Rain",
H1301&lt;10,"Light",
H1301&lt;50,"Moderate",
TRUE,"Heavy")</f>
        <v>No Rain</v>
      </c>
      <c r="L1301" s="1" t="str">
        <f>IF(Table1[[#This Row],[Precipitation_mm]]&lt;&gt;0,"Wet","Dry")</f>
        <v>Dry</v>
      </c>
      <c r="M1301" t="b">
        <f>OR(ISBLANK(Table1[[#This Row],[Temperature_F]]),ISERROR(Table1[[#This Row],[Temperature_F]]))</f>
        <v>0</v>
      </c>
    </row>
    <row r="1302" spans="1:13" hidden="1" x14ac:dyDescent="0.25">
      <c r="A1302" s="1" t="s">
        <v>1</v>
      </c>
      <c r="B1302" s="1" t="s">
        <v>2</v>
      </c>
      <c r="C1302" s="1">
        <v>42.360599999999998</v>
      </c>
      <c r="D1302" s="1">
        <v>-71.010599999999997</v>
      </c>
      <c r="E1302" s="5">
        <v>41491</v>
      </c>
      <c r="F1302" s="1" t="str">
        <f t="shared" si="20"/>
        <v>August</v>
      </c>
      <c r="G1302" s="1">
        <v>88</v>
      </c>
      <c r="H1302" s="1">
        <v>0</v>
      </c>
      <c r="I1302" s="1" t="str">
        <f>IF(Table1[[#This Row],[Temperature_F]]&lt;32,"Yes","No")</f>
        <v>No</v>
      </c>
      <c r="J1302" s="1" t="str" cm="1">
        <f t="array" ref="J13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302" s="1" t="str" cm="1">
        <f t="array" ref="K1302">_xlfn.IFS(
H1302=0,"No Rain",
H1302&lt;10,"Light",
H1302&lt;50,"Moderate",
TRUE,"Heavy")</f>
        <v>No Rain</v>
      </c>
      <c r="L1302" s="1" t="str">
        <f>IF(Table1[[#This Row],[Precipitation_mm]]&lt;&gt;0,"Wet","Dry")</f>
        <v>Dry</v>
      </c>
      <c r="M1302" t="b">
        <f>OR(ISBLANK(Table1[[#This Row],[Temperature_F]]),ISERROR(Table1[[#This Row],[Temperature_F]]))</f>
        <v>0</v>
      </c>
    </row>
    <row r="1303" spans="1:13" hidden="1" x14ac:dyDescent="0.25">
      <c r="A1303" s="1" t="s">
        <v>1</v>
      </c>
      <c r="B1303" s="1" t="s">
        <v>2</v>
      </c>
      <c r="C1303" s="1">
        <v>42.360599999999998</v>
      </c>
      <c r="D1303" s="1">
        <v>-71.010599999999997</v>
      </c>
      <c r="E1303" s="5">
        <v>41492</v>
      </c>
      <c r="F1303" s="1" t="str">
        <f t="shared" si="20"/>
        <v>August</v>
      </c>
      <c r="G1303" s="1">
        <v>83</v>
      </c>
      <c r="H1303" s="1">
        <v>0</v>
      </c>
      <c r="I1303" s="1" t="str">
        <f>IF(Table1[[#This Row],[Temperature_F]]&lt;32,"Yes","No")</f>
        <v>No</v>
      </c>
      <c r="J1303" s="1" t="str" cm="1">
        <f t="array" ref="J13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3" s="1" t="str" cm="1">
        <f t="array" ref="K1303">_xlfn.IFS(
H1303=0,"No Rain",
H1303&lt;10,"Light",
H1303&lt;50,"Moderate",
TRUE,"Heavy")</f>
        <v>No Rain</v>
      </c>
      <c r="L1303" s="1" t="str">
        <f>IF(Table1[[#This Row],[Precipitation_mm]]&lt;&gt;0,"Wet","Dry")</f>
        <v>Dry</v>
      </c>
      <c r="M1303" t="b">
        <f>OR(ISBLANK(Table1[[#This Row],[Temperature_F]]),ISERROR(Table1[[#This Row],[Temperature_F]]))</f>
        <v>0</v>
      </c>
    </row>
    <row r="1304" spans="1:13" hidden="1" x14ac:dyDescent="0.25">
      <c r="A1304" s="1" t="s">
        <v>1</v>
      </c>
      <c r="B1304" s="1" t="s">
        <v>2</v>
      </c>
      <c r="C1304" s="1">
        <v>42.360599999999998</v>
      </c>
      <c r="D1304" s="1">
        <v>-71.010599999999997</v>
      </c>
      <c r="E1304" s="5">
        <v>41493</v>
      </c>
      <c r="F1304" s="1" t="str">
        <f t="shared" si="20"/>
        <v>August</v>
      </c>
      <c r="G1304" s="1">
        <v>79</v>
      </c>
      <c r="H1304" s="1">
        <v>0</v>
      </c>
      <c r="I1304" s="1" t="str">
        <f>IF(Table1[[#This Row],[Temperature_F]]&lt;32,"Yes","No")</f>
        <v>No</v>
      </c>
      <c r="J1304" s="1" t="str" cm="1">
        <f t="array" ref="J13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4" s="1" t="str" cm="1">
        <f t="array" ref="K1304">_xlfn.IFS(
H1304=0,"No Rain",
H1304&lt;10,"Light",
H1304&lt;50,"Moderate",
TRUE,"Heavy")</f>
        <v>No Rain</v>
      </c>
      <c r="L1304" s="1" t="str">
        <f>IF(Table1[[#This Row],[Precipitation_mm]]&lt;&gt;0,"Wet","Dry")</f>
        <v>Dry</v>
      </c>
      <c r="M1304" t="b">
        <f>OR(ISBLANK(Table1[[#This Row],[Temperature_F]]),ISERROR(Table1[[#This Row],[Temperature_F]]))</f>
        <v>0</v>
      </c>
    </row>
    <row r="1305" spans="1:13" hidden="1" x14ac:dyDescent="0.25">
      <c r="A1305" s="1" t="s">
        <v>1</v>
      </c>
      <c r="B1305" s="1" t="s">
        <v>2</v>
      </c>
      <c r="C1305" s="1">
        <v>42.360599999999998</v>
      </c>
      <c r="D1305" s="1">
        <v>-71.010599999999997</v>
      </c>
      <c r="E1305" s="5">
        <v>41494</v>
      </c>
      <c r="F1305" s="1" t="str">
        <f t="shared" si="20"/>
        <v>August</v>
      </c>
      <c r="G1305" s="1">
        <v>77</v>
      </c>
      <c r="H1305" s="1">
        <v>18</v>
      </c>
      <c r="I1305" s="1" t="str">
        <f>IF(Table1[[#This Row],[Temperature_F]]&lt;32,"Yes","No")</f>
        <v>No</v>
      </c>
      <c r="J1305" s="1" t="str" cm="1">
        <f t="array" ref="J13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5" s="1" t="str" cm="1">
        <f t="array" ref="K1305">_xlfn.IFS(
H1305=0,"No Rain",
H1305&lt;10,"Light",
H1305&lt;50,"Moderate",
TRUE,"Heavy")</f>
        <v>Moderate</v>
      </c>
      <c r="L1305" s="1" t="str">
        <f>IF(Table1[[#This Row],[Precipitation_mm]]&lt;&gt;0,"Wet","Dry")</f>
        <v>Wet</v>
      </c>
      <c r="M1305" t="b">
        <f>OR(ISBLANK(Table1[[#This Row],[Temperature_F]]),ISERROR(Table1[[#This Row],[Temperature_F]]))</f>
        <v>0</v>
      </c>
    </row>
    <row r="1306" spans="1:13" hidden="1" x14ac:dyDescent="0.25">
      <c r="A1306" s="1" t="s">
        <v>1</v>
      </c>
      <c r="B1306" s="1" t="s">
        <v>2</v>
      </c>
      <c r="C1306" s="1">
        <v>42.360599999999998</v>
      </c>
      <c r="D1306" s="1">
        <v>-71.010599999999997</v>
      </c>
      <c r="E1306" s="5">
        <v>41495</v>
      </c>
      <c r="F1306" s="1" t="str">
        <f t="shared" si="20"/>
        <v>August</v>
      </c>
      <c r="G1306" s="1">
        <v>71</v>
      </c>
      <c r="H1306" s="1">
        <v>411</v>
      </c>
      <c r="I1306" s="1" t="str">
        <f>IF(Table1[[#This Row],[Temperature_F]]&lt;32,"Yes","No")</f>
        <v>No</v>
      </c>
      <c r="J1306" s="1" t="str" cm="1">
        <f t="array" ref="J13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6" s="1" t="str" cm="1">
        <f t="array" ref="K1306">_xlfn.IFS(
H1306=0,"No Rain",
H1306&lt;10,"Light",
H1306&lt;50,"Moderate",
TRUE,"Heavy")</f>
        <v>Heavy</v>
      </c>
      <c r="L1306" s="1" t="str">
        <f>IF(Table1[[#This Row],[Precipitation_mm]]&lt;&gt;0,"Wet","Dry")</f>
        <v>Wet</v>
      </c>
      <c r="M1306" t="b">
        <f>OR(ISBLANK(Table1[[#This Row],[Temperature_F]]),ISERROR(Table1[[#This Row],[Temperature_F]]))</f>
        <v>0</v>
      </c>
    </row>
    <row r="1307" spans="1:13" hidden="1" x14ac:dyDescent="0.25">
      <c r="A1307" s="1" t="s">
        <v>1</v>
      </c>
      <c r="B1307" s="1" t="s">
        <v>2</v>
      </c>
      <c r="C1307" s="1">
        <v>42.360599999999998</v>
      </c>
      <c r="D1307" s="1">
        <v>-71.010599999999997</v>
      </c>
      <c r="E1307" s="5">
        <v>41496</v>
      </c>
      <c r="F1307" s="1" t="str">
        <f t="shared" si="20"/>
        <v>August</v>
      </c>
      <c r="G1307" s="1">
        <v>71</v>
      </c>
      <c r="H1307" s="1">
        <v>0</v>
      </c>
      <c r="I1307" s="1" t="str">
        <f>IF(Table1[[#This Row],[Temperature_F]]&lt;32,"Yes","No")</f>
        <v>No</v>
      </c>
      <c r="J1307" s="1" t="str" cm="1">
        <f t="array" ref="J13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7" s="1" t="str" cm="1">
        <f t="array" ref="K1307">_xlfn.IFS(
H1307=0,"No Rain",
H1307&lt;10,"Light",
H1307&lt;50,"Moderate",
TRUE,"Heavy")</f>
        <v>No Rain</v>
      </c>
      <c r="L1307" s="1" t="str">
        <f>IF(Table1[[#This Row],[Precipitation_mm]]&lt;&gt;0,"Wet","Dry")</f>
        <v>Dry</v>
      </c>
      <c r="M1307" t="b">
        <f>OR(ISBLANK(Table1[[#This Row],[Temperature_F]]),ISERROR(Table1[[#This Row],[Temperature_F]]))</f>
        <v>0</v>
      </c>
    </row>
    <row r="1308" spans="1:13" hidden="1" x14ac:dyDescent="0.25">
      <c r="A1308" s="1" t="s">
        <v>1</v>
      </c>
      <c r="B1308" s="1" t="s">
        <v>2</v>
      </c>
      <c r="C1308" s="1">
        <v>42.360599999999998</v>
      </c>
      <c r="D1308" s="1">
        <v>-71.010599999999997</v>
      </c>
      <c r="E1308" s="5">
        <v>41497</v>
      </c>
      <c r="F1308" s="1" t="str">
        <f t="shared" si="20"/>
        <v>August</v>
      </c>
      <c r="G1308" s="1">
        <v>68</v>
      </c>
      <c r="H1308" s="1">
        <v>0</v>
      </c>
      <c r="I1308" s="1" t="str">
        <f>IF(Table1[[#This Row],[Temperature_F]]&lt;32,"Yes","No")</f>
        <v>No</v>
      </c>
      <c r="J1308" s="1" t="str" cm="1">
        <f t="array" ref="J13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08" s="1" t="str" cm="1">
        <f t="array" ref="K1308">_xlfn.IFS(
H1308=0,"No Rain",
H1308&lt;10,"Light",
H1308&lt;50,"Moderate",
TRUE,"Heavy")</f>
        <v>No Rain</v>
      </c>
      <c r="L1308" s="1" t="str">
        <f>IF(Table1[[#This Row],[Precipitation_mm]]&lt;&gt;0,"Wet","Dry")</f>
        <v>Dry</v>
      </c>
      <c r="M1308" t="b">
        <f>OR(ISBLANK(Table1[[#This Row],[Temperature_F]]),ISERROR(Table1[[#This Row],[Temperature_F]]))</f>
        <v>0</v>
      </c>
    </row>
    <row r="1309" spans="1:13" hidden="1" x14ac:dyDescent="0.25">
      <c r="A1309" s="1" t="s">
        <v>1</v>
      </c>
      <c r="B1309" s="1" t="s">
        <v>2</v>
      </c>
      <c r="C1309" s="1">
        <v>42.360599999999998</v>
      </c>
      <c r="D1309" s="1">
        <v>-71.010599999999997</v>
      </c>
      <c r="E1309" s="5">
        <v>41498</v>
      </c>
      <c r="F1309" s="1" t="str">
        <f t="shared" si="20"/>
        <v>August</v>
      </c>
      <c r="G1309" s="1">
        <v>69</v>
      </c>
      <c r="H1309" s="1">
        <v>0</v>
      </c>
      <c r="I1309" s="1" t="str">
        <f>IF(Table1[[#This Row],[Temperature_F]]&lt;32,"Yes","No")</f>
        <v>No</v>
      </c>
      <c r="J1309" s="1" t="str" cm="1">
        <f t="array" ref="J13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09" s="1" t="str" cm="1">
        <f t="array" ref="K1309">_xlfn.IFS(
H1309=0,"No Rain",
H1309&lt;10,"Light",
H1309&lt;50,"Moderate",
TRUE,"Heavy")</f>
        <v>No Rain</v>
      </c>
      <c r="L1309" s="1" t="str">
        <f>IF(Table1[[#This Row],[Precipitation_mm]]&lt;&gt;0,"Wet","Dry")</f>
        <v>Dry</v>
      </c>
      <c r="M1309" t="b">
        <f>OR(ISBLANK(Table1[[#This Row],[Temperature_F]]),ISERROR(Table1[[#This Row],[Temperature_F]]))</f>
        <v>0</v>
      </c>
    </row>
    <row r="1310" spans="1:13" hidden="1" x14ac:dyDescent="0.25">
      <c r="A1310" s="1" t="s">
        <v>1</v>
      </c>
      <c r="B1310" s="1" t="s">
        <v>2</v>
      </c>
      <c r="C1310" s="1">
        <v>42.360599999999998</v>
      </c>
      <c r="D1310" s="1">
        <v>-71.010599999999997</v>
      </c>
      <c r="E1310" s="5">
        <v>41499</v>
      </c>
      <c r="F1310" s="1" t="str">
        <f t="shared" si="20"/>
        <v>August</v>
      </c>
      <c r="G1310" s="1">
        <v>79</v>
      </c>
      <c r="H1310" s="1">
        <v>0</v>
      </c>
      <c r="I1310" s="1" t="str">
        <f>IF(Table1[[#This Row],[Temperature_F]]&lt;32,"Yes","No")</f>
        <v>No</v>
      </c>
      <c r="J1310" s="1" t="str" cm="1">
        <f t="array" ref="J13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0" s="1" t="str" cm="1">
        <f t="array" ref="K1310">_xlfn.IFS(
H1310=0,"No Rain",
H1310&lt;10,"Light",
H1310&lt;50,"Moderate",
TRUE,"Heavy")</f>
        <v>No Rain</v>
      </c>
      <c r="L1310" s="1" t="str">
        <f>IF(Table1[[#This Row],[Precipitation_mm]]&lt;&gt;0,"Wet","Dry")</f>
        <v>Dry</v>
      </c>
      <c r="M1310" t="b">
        <f>OR(ISBLANK(Table1[[#This Row],[Temperature_F]]),ISERROR(Table1[[#This Row],[Temperature_F]]))</f>
        <v>0</v>
      </c>
    </row>
    <row r="1311" spans="1:13" hidden="1" x14ac:dyDescent="0.25">
      <c r="A1311" s="1" t="s">
        <v>1</v>
      </c>
      <c r="B1311" s="1" t="s">
        <v>2</v>
      </c>
      <c r="C1311" s="1">
        <v>42.360599999999998</v>
      </c>
      <c r="D1311" s="1">
        <v>-71.010599999999997</v>
      </c>
      <c r="E1311" s="5">
        <v>41500</v>
      </c>
      <c r="F1311" s="1" t="str">
        <f t="shared" si="20"/>
        <v>August</v>
      </c>
      <c r="G1311" s="1">
        <v>84</v>
      </c>
      <c r="H1311" s="1">
        <v>0</v>
      </c>
      <c r="I1311" s="1" t="str">
        <f>IF(Table1[[#This Row],[Temperature_F]]&lt;32,"Yes","No")</f>
        <v>No</v>
      </c>
      <c r="J1311" s="1" t="str" cm="1">
        <f t="array" ref="J13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1" s="1" t="str" cm="1">
        <f t="array" ref="K1311">_xlfn.IFS(
H1311=0,"No Rain",
H1311&lt;10,"Light",
H1311&lt;50,"Moderate",
TRUE,"Heavy")</f>
        <v>No Rain</v>
      </c>
      <c r="L1311" s="1" t="str">
        <f>IF(Table1[[#This Row],[Precipitation_mm]]&lt;&gt;0,"Wet","Dry")</f>
        <v>Dry</v>
      </c>
      <c r="M1311" t="b">
        <f>OR(ISBLANK(Table1[[#This Row],[Temperature_F]]),ISERROR(Table1[[#This Row],[Temperature_F]]))</f>
        <v>0</v>
      </c>
    </row>
    <row r="1312" spans="1:13" hidden="1" x14ac:dyDescent="0.25">
      <c r="A1312" s="1" t="s">
        <v>1</v>
      </c>
      <c r="B1312" s="1" t="s">
        <v>2</v>
      </c>
      <c r="C1312" s="1">
        <v>42.360599999999998</v>
      </c>
      <c r="D1312" s="1">
        <v>-71.010599999999997</v>
      </c>
      <c r="E1312" s="5">
        <v>41501</v>
      </c>
      <c r="F1312" s="1" t="str">
        <f t="shared" si="20"/>
        <v>August</v>
      </c>
      <c r="G1312" s="1">
        <v>84</v>
      </c>
      <c r="H1312" s="1">
        <v>0</v>
      </c>
      <c r="I1312" s="1" t="str">
        <f>IF(Table1[[#This Row],[Temperature_F]]&lt;32,"Yes","No")</f>
        <v>No</v>
      </c>
      <c r="J1312" s="1" t="str" cm="1">
        <f t="array" ref="J13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2" s="1" t="str" cm="1">
        <f t="array" ref="K1312">_xlfn.IFS(
H1312=0,"No Rain",
H1312&lt;10,"Light",
H1312&lt;50,"Moderate",
TRUE,"Heavy")</f>
        <v>No Rain</v>
      </c>
      <c r="L1312" s="1" t="str">
        <f>IF(Table1[[#This Row],[Precipitation_mm]]&lt;&gt;0,"Wet","Dry")</f>
        <v>Dry</v>
      </c>
      <c r="M1312" t="b">
        <f>OR(ISBLANK(Table1[[#This Row],[Temperature_F]]),ISERROR(Table1[[#This Row],[Temperature_F]]))</f>
        <v>0</v>
      </c>
    </row>
    <row r="1313" spans="1:13" hidden="1" x14ac:dyDescent="0.25">
      <c r="A1313" s="1" t="s">
        <v>1</v>
      </c>
      <c r="B1313" s="1" t="s">
        <v>2</v>
      </c>
      <c r="C1313" s="1">
        <v>42.360599999999998</v>
      </c>
      <c r="D1313" s="1">
        <v>-71.010599999999997</v>
      </c>
      <c r="E1313" s="5">
        <v>41502</v>
      </c>
      <c r="F1313" s="1" t="str">
        <f t="shared" si="20"/>
        <v>August</v>
      </c>
      <c r="G1313" s="1">
        <v>77</v>
      </c>
      <c r="H1313" s="1">
        <v>0</v>
      </c>
      <c r="I1313" s="1" t="str">
        <f>IF(Table1[[#This Row],[Temperature_F]]&lt;32,"Yes","No")</f>
        <v>No</v>
      </c>
      <c r="J1313" s="1" t="str" cm="1">
        <f t="array" ref="J13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3" s="1" t="str" cm="1">
        <f t="array" ref="K1313">_xlfn.IFS(
H1313=0,"No Rain",
H1313&lt;10,"Light",
H1313&lt;50,"Moderate",
TRUE,"Heavy")</f>
        <v>No Rain</v>
      </c>
      <c r="L1313" s="1" t="str">
        <f>IF(Table1[[#This Row],[Precipitation_mm]]&lt;&gt;0,"Wet","Dry")</f>
        <v>Dry</v>
      </c>
      <c r="M1313" t="b">
        <f>OR(ISBLANK(Table1[[#This Row],[Temperature_F]]),ISERROR(Table1[[#This Row],[Temperature_F]]))</f>
        <v>0</v>
      </c>
    </row>
    <row r="1314" spans="1:13" hidden="1" x14ac:dyDescent="0.25">
      <c r="A1314" s="1" t="s">
        <v>1</v>
      </c>
      <c r="B1314" s="1" t="s">
        <v>2</v>
      </c>
      <c r="C1314" s="1">
        <v>42.360599999999998</v>
      </c>
      <c r="D1314" s="1">
        <v>-71.010599999999997</v>
      </c>
      <c r="E1314" s="5">
        <v>41503</v>
      </c>
      <c r="F1314" s="1" t="str">
        <f t="shared" si="20"/>
        <v>August</v>
      </c>
      <c r="G1314" s="1">
        <v>81</v>
      </c>
      <c r="H1314" s="1">
        <v>0</v>
      </c>
      <c r="I1314" s="1" t="str">
        <f>IF(Table1[[#This Row],[Temperature_F]]&lt;32,"Yes","No")</f>
        <v>No</v>
      </c>
      <c r="J1314" s="1" t="str" cm="1">
        <f t="array" ref="J13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4" s="1" t="str" cm="1">
        <f t="array" ref="K1314">_xlfn.IFS(
H1314=0,"No Rain",
H1314&lt;10,"Light",
H1314&lt;50,"Moderate",
TRUE,"Heavy")</f>
        <v>No Rain</v>
      </c>
      <c r="L1314" s="1" t="str">
        <f>IF(Table1[[#This Row],[Precipitation_mm]]&lt;&gt;0,"Wet","Dry")</f>
        <v>Dry</v>
      </c>
      <c r="M1314" t="b">
        <f>OR(ISBLANK(Table1[[#This Row],[Temperature_F]]),ISERROR(Table1[[#This Row],[Temperature_F]]))</f>
        <v>0</v>
      </c>
    </row>
    <row r="1315" spans="1:13" hidden="1" x14ac:dyDescent="0.25">
      <c r="A1315" s="1" t="s">
        <v>1</v>
      </c>
      <c r="B1315" s="1" t="s">
        <v>2</v>
      </c>
      <c r="C1315" s="1">
        <v>42.360599999999998</v>
      </c>
      <c r="D1315" s="1">
        <v>-71.010599999999997</v>
      </c>
      <c r="E1315" s="5">
        <v>41504</v>
      </c>
      <c r="F1315" s="1" t="str">
        <f t="shared" si="20"/>
        <v>August</v>
      </c>
      <c r="G1315" s="1">
        <v>88</v>
      </c>
      <c r="H1315" s="1">
        <v>0</v>
      </c>
      <c r="I1315" s="1" t="str">
        <f>IF(Table1[[#This Row],[Temperature_F]]&lt;32,"Yes","No")</f>
        <v>No</v>
      </c>
      <c r="J1315" s="1" t="str" cm="1">
        <f t="array" ref="J13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315" s="1" t="str" cm="1">
        <f t="array" ref="K1315">_xlfn.IFS(
H1315=0,"No Rain",
H1315&lt;10,"Light",
H1315&lt;50,"Moderate",
TRUE,"Heavy")</f>
        <v>No Rain</v>
      </c>
      <c r="L1315" s="1" t="str">
        <f>IF(Table1[[#This Row],[Precipitation_mm]]&lt;&gt;0,"Wet","Dry")</f>
        <v>Dry</v>
      </c>
      <c r="M1315" t="b">
        <f>OR(ISBLANK(Table1[[#This Row],[Temperature_F]]),ISERROR(Table1[[#This Row],[Temperature_F]]))</f>
        <v>0</v>
      </c>
    </row>
    <row r="1316" spans="1:13" hidden="1" x14ac:dyDescent="0.25">
      <c r="A1316" s="1" t="s">
        <v>1</v>
      </c>
      <c r="B1316" s="1" t="s">
        <v>2</v>
      </c>
      <c r="C1316" s="1">
        <v>42.360599999999998</v>
      </c>
      <c r="D1316" s="1">
        <v>-71.010599999999997</v>
      </c>
      <c r="E1316" s="5">
        <v>41505</v>
      </c>
      <c r="F1316" s="1" t="str">
        <f t="shared" si="20"/>
        <v>August</v>
      </c>
      <c r="G1316" s="1">
        <v>75</v>
      </c>
      <c r="H1316" s="1">
        <v>0</v>
      </c>
      <c r="I1316" s="1" t="str">
        <f>IF(Table1[[#This Row],[Temperature_F]]&lt;32,"Yes","No")</f>
        <v>No</v>
      </c>
      <c r="J1316" s="1" t="str" cm="1">
        <f t="array" ref="J13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6" s="1" t="str" cm="1">
        <f t="array" ref="K1316">_xlfn.IFS(
H1316=0,"No Rain",
H1316&lt;10,"Light",
H1316&lt;50,"Moderate",
TRUE,"Heavy")</f>
        <v>No Rain</v>
      </c>
      <c r="L1316" s="1" t="str">
        <f>IF(Table1[[#This Row],[Precipitation_mm]]&lt;&gt;0,"Wet","Dry")</f>
        <v>Dry</v>
      </c>
      <c r="M1316" t="b">
        <f>OR(ISBLANK(Table1[[#This Row],[Temperature_F]]),ISERROR(Table1[[#This Row],[Temperature_F]]))</f>
        <v>0</v>
      </c>
    </row>
    <row r="1317" spans="1:13" hidden="1" x14ac:dyDescent="0.25">
      <c r="A1317" s="1" t="s">
        <v>1</v>
      </c>
      <c r="B1317" s="1" t="s">
        <v>2</v>
      </c>
      <c r="C1317" s="1">
        <v>42.360599999999998</v>
      </c>
      <c r="D1317" s="1">
        <v>-71.010599999999997</v>
      </c>
      <c r="E1317" s="5">
        <v>41506</v>
      </c>
      <c r="F1317" s="1" t="str">
        <f t="shared" si="20"/>
        <v>August</v>
      </c>
      <c r="G1317" s="1">
        <v>65</v>
      </c>
      <c r="H1317" s="1">
        <v>0</v>
      </c>
      <c r="I1317" s="1" t="str">
        <f>IF(Table1[[#This Row],[Temperature_F]]&lt;32,"Yes","No")</f>
        <v>No</v>
      </c>
      <c r="J1317" s="1" t="str" cm="1">
        <f t="array" ref="J13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17" s="1" t="str" cm="1">
        <f t="array" ref="K1317">_xlfn.IFS(
H1317=0,"No Rain",
H1317&lt;10,"Light",
H1317&lt;50,"Moderate",
TRUE,"Heavy")</f>
        <v>No Rain</v>
      </c>
      <c r="L1317" s="1" t="str">
        <f>IF(Table1[[#This Row],[Precipitation_mm]]&lt;&gt;0,"Wet","Dry")</f>
        <v>Dry</v>
      </c>
      <c r="M1317" t="b">
        <f>OR(ISBLANK(Table1[[#This Row],[Temperature_F]]),ISERROR(Table1[[#This Row],[Temperature_F]]))</f>
        <v>0</v>
      </c>
    </row>
    <row r="1318" spans="1:13" hidden="1" x14ac:dyDescent="0.25">
      <c r="A1318" s="1" t="s">
        <v>1</v>
      </c>
      <c r="B1318" s="1" t="s">
        <v>2</v>
      </c>
      <c r="C1318" s="1">
        <v>42.360599999999998</v>
      </c>
      <c r="D1318" s="1">
        <v>-71.010599999999997</v>
      </c>
      <c r="E1318" s="5">
        <v>41507</v>
      </c>
      <c r="F1318" s="1" t="str">
        <f t="shared" si="20"/>
        <v>August</v>
      </c>
      <c r="G1318" s="1">
        <v>74</v>
      </c>
      <c r="H1318" s="1">
        <v>0</v>
      </c>
      <c r="I1318" s="1" t="str">
        <f>IF(Table1[[#This Row],[Temperature_F]]&lt;32,"Yes","No")</f>
        <v>No</v>
      </c>
      <c r="J1318" s="1" t="str" cm="1">
        <f t="array" ref="J13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8" s="1" t="str" cm="1">
        <f t="array" ref="K1318">_xlfn.IFS(
H1318=0,"No Rain",
H1318&lt;10,"Light",
H1318&lt;50,"Moderate",
TRUE,"Heavy")</f>
        <v>No Rain</v>
      </c>
      <c r="L1318" s="1" t="str">
        <f>IF(Table1[[#This Row],[Precipitation_mm]]&lt;&gt;0,"Wet","Dry")</f>
        <v>Dry</v>
      </c>
      <c r="M1318" t="b">
        <f>OR(ISBLANK(Table1[[#This Row],[Temperature_F]]),ISERROR(Table1[[#This Row],[Temperature_F]]))</f>
        <v>0</v>
      </c>
    </row>
    <row r="1319" spans="1:13" hidden="1" x14ac:dyDescent="0.25">
      <c r="A1319" s="1" t="s">
        <v>1</v>
      </c>
      <c r="B1319" s="1" t="s">
        <v>2</v>
      </c>
      <c r="C1319" s="1">
        <v>42.360599999999998</v>
      </c>
      <c r="D1319" s="1">
        <v>-71.010599999999997</v>
      </c>
      <c r="E1319" s="5">
        <v>41508</v>
      </c>
      <c r="F1319" s="1" t="str">
        <f t="shared" si="20"/>
        <v>August</v>
      </c>
      <c r="G1319" s="1">
        <v>75</v>
      </c>
      <c r="H1319" s="1">
        <v>0</v>
      </c>
      <c r="I1319" s="1" t="str">
        <f>IF(Table1[[#This Row],[Temperature_F]]&lt;32,"Yes","No")</f>
        <v>No</v>
      </c>
      <c r="J1319" s="1" t="str" cm="1">
        <f t="array" ref="J13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19" s="1" t="str" cm="1">
        <f t="array" ref="K1319">_xlfn.IFS(
H1319=0,"No Rain",
H1319&lt;10,"Light",
H1319&lt;50,"Moderate",
TRUE,"Heavy")</f>
        <v>No Rain</v>
      </c>
      <c r="L1319" s="1" t="str">
        <f>IF(Table1[[#This Row],[Precipitation_mm]]&lt;&gt;0,"Wet","Dry")</f>
        <v>Dry</v>
      </c>
      <c r="M1319" t="b">
        <f>OR(ISBLANK(Table1[[#This Row],[Temperature_F]]),ISERROR(Table1[[#This Row],[Temperature_F]]))</f>
        <v>0</v>
      </c>
    </row>
    <row r="1320" spans="1:13" hidden="1" x14ac:dyDescent="0.25">
      <c r="A1320" s="1" t="s">
        <v>1</v>
      </c>
      <c r="B1320" s="1" t="s">
        <v>2</v>
      </c>
      <c r="C1320" s="1">
        <v>42.360599999999998</v>
      </c>
      <c r="D1320" s="1">
        <v>-71.010599999999997</v>
      </c>
      <c r="E1320" s="5">
        <v>41509</v>
      </c>
      <c r="F1320" s="1" t="str">
        <f t="shared" si="20"/>
        <v>August</v>
      </c>
      <c r="G1320" s="1">
        <v>74</v>
      </c>
      <c r="H1320" s="1">
        <v>0</v>
      </c>
      <c r="I1320" s="1" t="str">
        <f>IF(Table1[[#This Row],[Temperature_F]]&lt;32,"Yes","No")</f>
        <v>No</v>
      </c>
      <c r="J1320" s="1" t="str" cm="1">
        <f t="array" ref="J13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20" s="1" t="str" cm="1">
        <f t="array" ref="K1320">_xlfn.IFS(
H1320=0,"No Rain",
H1320&lt;10,"Light",
H1320&lt;50,"Moderate",
TRUE,"Heavy")</f>
        <v>No Rain</v>
      </c>
      <c r="L1320" s="1" t="str">
        <f>IF(Table1[[#This Row],[Precipitation_mm]]&lt;&gt;0,"Wet","Dry")</f>
        <v>Dry</v>
      </c>
      <c r="M1320" t="b">
        <f>OR(ISBLANK(Table1[[#This Row],[Temperature_F]]),ISERROR(Table1[[#This Row],[Temperature_F]]))</f>
        <v>0</v>
      </c>
    </row>
    <row r="1321" spans="1:13" hidden="1" x14ac:dyDescent="0.25">
      <c r="A1321" s="1" t="s">
        <v>1</v>
      </c>
      <c r="B1321" s="1" t="s">
        <v>2</v>
      </c>
      <c r="C1321" s="1">
        <v>42.360599999999998</v>
      </c>
      <c r="D1321" s="1">
        <v>-71.010599999999997</v>
      </c>
      <c r="E1321" s="5">
        <v>41510</v>
      </c>
      <c r="F1321" s="1" t="str">
        <f t="shared" si="20"/>
        <v>August</v>
      </c>
      <c r="G1321" s="1">
        <v>70</v>
      </c>
      <c r="H1321" s="1">
        <v>0</v>
      </c>
      <c r="I1321" s="1" t="str">
        <f>IF(Table1[[#This Row],[Temperature_F]]&lt;32,"Yes","No")</f>
        <v>No</v>
      </c>
      <c r="J1321" s="1" t="str" cm="1">
        <f t="array" ref="J13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21" s="1" t="str" cm="1">
        <f t="array" ref="K1321">_xlfn.IFS(
H1321=0,"No Rain",
H1321&lt;10,"Light",
H1321&lt;50,"Moderate",
TRUE,"Heavy")</f>
        <v>No Rain</v>
      </c>
      <c r="L1321" s="1" t="str">
        <f>IF(Table1[[#This Row],[Precipitation_mm]]&lt;&gt;0,"Wet","Dry")</f>
        <v>Dry</v>
      </c>
      <c r="M1321" t="b">
        <f>OR(ISBLANK(Table1[[#This Row],[Temperature_F]]),ISERROR(Table1[[#This Row],[Temperature_F]]))</f>
        <v>0</v>
      </c>
    </row>
    <row r="1322" spans="1:13" hidden="1" x14ac:dyDescent="0.25">
      <c r="A1322" s="1" t="s">
        <v>1</v>
      </c>
      <c r="B1322" s="1" t="s">
        <v>2</v>
      </c>
      <c r="C1322" s="1">
        <v>42.360599999999998</v>
      </c>
      <c r="D1322" s="1">
        <v>-71.010599999999997</v>
      </c>
      <c r="E1322" s="5">
        <v>41511</v>
      </c>
      <c r="F1322" s="1" t="str">
        <f t="shared" si="20"/>
        <v>August</v>
      </c>
      <c r="G1322" s="1">
        <v>90</v>
      </c>
      <c r="H1322" s="1">
        <v>0</v>
      </c>
      <c r="I1322" s="1" t="str">
        <f>IF(Table1[[#This Row],[Temperature_F]]&lt;32,"Yes","No")</f>
        <v>No</v>
      </c>
      <c r="J1322" s="1" t="str" cm="1">
        <f t="array" ref="J13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322" s="1" t="str" cm="1">
        <f t="array" ref="K1322">_xlfn.IFS(
H1322=0,"No Rain",
H1322&lt;10,"Light",
H1322&lt;50,"Moderate",
TRUE,"Heavy")</f>
        <v>No Rain</v>
      </c>
      <c r="L1322" s="1" t="str">
        <f>IF(Table1[[#This Row],[Precipitation_mm]]&lt;&gt;0,"Wet","Dry")</f>
        <v>Dry</v>
      </c>
      <c r="M1322" t="b">
        <f>OR(ISBLANK(Table1[[#This Row],[Temperature_F]]),ISERROR(Table1[[#This Row],[Temperature_F]]))</f>
        <v>0</v>
      </c>
    </row>
    <row r="1323" spans="1:13" hidden="1" x14ac:dyDescent="0.25">
      <c r="A1323" s="1" t="s">
        <v>1</v>
      </c>
      <c r="B1323" s="1" t="s">
        <v>2</v>
      </c>
      <c r="C1323" s="1">
        <v>42.360599999999998</v>
      </c>
      <c r="D1323" s="1">
        <v>-71.010599999999997</v>
      </c>
      <c r="E1323" s="5">
        <v>41512</v>
      </c>
      <c r="F1323" s="1" t="str">
        <f t="shared" si="20"/>
        <v>August</v>
      </c>
      <c r="G1323" s="1">
        <v>68</v>
      </c>
      <c r="H1323" s="1">
        <v>3</v>
      </c>
      <c r="I1323" s="1" t="str">
        <f>IF(Table1[[#This Row],[Temperature_F]]&lt;32,"Yes","No")</f>
        <v>No</v>
      </c>
      <c r="J1323" s="1" t="str" cm="1">
        <f t="array" ref="J13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23" s="1" t="str" cm="1">
        <f t="array" ref="K1323">_xlfn.IFS(
H1323=0,"No Rain",
H1323&lt;10,"Light",
H1323&lt;50,"Moderate",
TRUE,"Heavy")</f>
        <v>Light</v>
      </c>
      <c r="L1323" s="1" t="str">
        <f>IF(Table1[[#This Row],[Precipitation_mm]]&lt;&gt;0,"Wet","Dry")</f>
        <v>Wet</v>
      </c>
      <c r="M1323" t="b">
        <f>OR(ISBLANK(Table1[[#This Row],[Temperature_F]]),ISERROR(Table1[[#This Row],[Temperature_F]]))</f>
        <v>0</v>
      </c>
    </row>
    <row r="1324" spans="1:13" hidden="1" x14ac:dyDescent="0.25">
      <c r="A1324" s="1" t="s">
        <v>1</v>
      </c>
      <c r="B1324" s="1" t="s">
        <v>2</v>
      </c>
      <c r="C1324" s="1">
        <v>42.360599999999998</v>
      </c>
      <c r="D1324" s="1">
        <v>-71.010599999999997</v>
      </c>
      <c r="E1324" s="5">
        <v>41513</v>
      </c>
      <c r="F1324" s="1" t="str">
        <f t="shared" si="20"/>
        <v>August</v>
      </c>
      <c r="G1324" s="1">
        <v>78</v>
      </c>
      <c r="H1324" s="1">
        <v>3</v>
      </c>
      <c r="I1324" s="1" t="str">
        <f>IF(Table1[[#This Row],[Temperature_F]]&lt;32,"Yes","No")</f>
        <v>No</v>
      </c>
      <c r="J1324" s="1" t="str" cm="1">
        <f t="array" ref="J13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24" s="1" t="str" cm="1">
        <f t="array" ref="K1324">_xlfn.IFS(
H1324=0,"No Rain",
H1324&lt;10,"Light",
H1324&lt;50,"Moderate",
TRUE,"Heavy")</f>
        <v>Light</v>
      </c>
      <c r="L1324" s="1" t="str">
        <f>IF(Table1[[#This Row],[Precipitation_mm]]&lt;&gt;0,"Wet","Dry")</f>
        <v>Wet</v>
      </c>
      <c r="M1324" t="b">
        <f>OR(ISBLANK(Table1[[#This Row],[Temperature_F]]),ISERROR(Table1[[#This Row],[Temperature_F]]))</f>
        <v>0</v>
      </c>
    </row>
    <row r="1325" spans="1:13" hidden="1" x14ac:dyDescent="0.25">
      <c r="A1325" s="1" t="s">
        <v>1</v>
      </c>
      <c r="B1325" s="1" t="s">
        <v>2</v>
      </c>
      <c r="C1325" s="1">
        <v>42.360599999999998</v>
      </c>
      <c r="D1325" s="1">
        <v>-71.010599999999997</v>
      </c>
      <c r="E1325" s="5">
        <v>41514</v>
      </c>
      <c r="F1325" s="1" t="str">
        <f t="shared" si="20"/>
        <v>August</v>
      </c>
      <c r="G1325" s="1">
        <v>80</v>
      </c>
      <c r="H1325" s="1">
        <v>0</v>
      </c>
      <c r="I1325" s="1" t="str">
        <f>IF(Table1[[#This Row],[Temperature_F]]&lt;32,"Yes","No")</f>
        <v>No</v>
      </c>
      <c r="J1325" s="1" t="str" cm="1">
        <f t="array" ref="J13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25" s="1" t="str" cm="1">
        <f t="array" ref="K1325">_xlfn.IFS(
H1325=0,"No Rain",
H1325&lt;10,"Light",
H1325&lt;50,"Moderate",
TRUE,"Heavy")</f>
        <v>No Rain</v>
      </c>
      <c r="L1325" s="1" t="str">
        <f>IF(Table1[[#This Row],[Precipitation_mm]]&lt;&gt;0,"Wet","Dry")</f>
        <v>Dry</v>
      </c>
      <c r="M1325" t="b">
        <f>OR(ISBLANK(Table1[[#This Row],[Temperature_F]]),ISERROR(Table1[[#This Row],[Temperature_F]]))</f>
        <v>0</v>
      </c>
    </row>
    <row r="1326" spans="1:13" hidden="1" x14ac:dyDescent="0.25">
      <c r="A1326" s="1" t="s">
        <v>1</v>
      </c>
      <c r="B1326" s="1" t="s">
        <v>2</v>
      </c>
      <c r="C1326" s="1">
        <v>42.360599999999998</v>
      </c>
      <c r="D1326" s="1">
        <v>-71.010599999999997</v>
      </c>
      <c r="E1326" s="5">
        <v>41515</v>
      </c>
      <c r="F1326" s="1" t="str">
        <f t="shared" si="20"/>
        <v>August</v>
      </c>
      <c r="G1326" s="1">
        <v>89</v>
      </c>
      <c r="H1326" s="1">
        <v>0</v>
      </c>
      <c r="I1326" s="1" t="str">
        <f>IF(Table1[[#This Row],[Temperature_F]]&lt;32,"Yes","No")</f>
        <v>No</v>
      </c>
      <c r="J1326" s="1" t="str" cm="1">
        <f t="array" ref="J13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Hot</v>
      </c>
      <c r="K1326" s="1" t="str" cm="1">
        <f t="array" ref="K1326">_xlfn.IFS(
H1326=0,"No Rain",
H1326&lt;10,"Light",
H1326&lt;50,"Moderate",
TRUE,"Heavy")</f>
        <v>No Rain</v>
      </c>
      <c r="L1326" s="1" t="str">
        <f>IF(Table1[[#This Row],[Precipitation_mm]]&lt;&gt;0,"Wet","Dry")</f>
        <v>Dry</v>
      </c>
      <c r="M1326" t="b">
        <f>OR(ISBLANK(Table1[[#This Row],[Temperature_F]]),ISERROR(Table1[[#This Row],[Temperature_F]]))</f>
        <v>0</v>
      </c>
    </row>
    <row r="1327" spans="1:13" hidden="1" x14ac:dyDescent="0.25">
      <c r="A1327" s="1" t="s">
        <v>1</v>
      </c>
      <c r="B1327" s="1" t="s">
        <v>2</v>
      </c>
      <c r="C1327" s="1">
        <v>42.360599999999998</v>
      </c>
      <c r="D1327" s="1">
        <v>-71.010599999999997</v>
      </c>
      <c r="E1327" s="5">
        <v>41516</v>
      </c>
      <c r="F1327" s="1" t="str">
        <f t="shared" si="20"/>
        <v>August</v>
      </c>
      <c r="G1327" s="1">
        <v>83</v>
      </c>
      <c r="H1327" s="1">
        <v>0</v>
      </c>
      <c r="I1327" s="1" t="str">
        <f>IF(Table1[[#This Row],[Temperature_F]]&lt;32,"Yes","No")</f>
        <v>No</v>
      </c>
      <c r="J1327" s="1" t="str" cm="1">
        <f t="array" ref="J13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27" s="1" t="str" cm="1">
        <f t="array" ref="K1327">_xlfn.IFS(
H1327=0,"No Rain",
H1327&lt;10,"Light",
H1327&lt;50,"Moderate",
TRUE,"Heavy")</f>
        <v>No Rain</v>
      </c>
      <c r="L1327" s="1" t="str">
        <f>IF(Table1[[#This Row],[Precipitation_mm]]&lt;&gt;0,"Wet","Dry")</f>
        <v>Dry</v>
      </c>
      <c r="M1327" t="b">
        <f>OR(ISBLANK(Table1[[#This Row],[Temperature_F]]),ISERROR(Table1[[#This Row],[Temperature_F]]))</f>
        <v>0</v>
      </c>
    </row>
    <row r="1328" spans="1:13" hidden="1" x14ac:dyDescent="0.25">
      <c r="A1328" s="1" t="s">
        <v>1</v>
      </c>
      <c r="B1328" s="1" t="s">
        <v>2</v>
      </c>
      <c r="C1328" s="1">
        <v>42.360599999999998</v>
      </c>
      <c r="D1328" s="1">
        <v>-71.010599999999997</v>
      </c>
      <c r="E1328" s="5">
        <v>41517</v>
      </c>
      <c r="F1328" s="1" t="str">
        <f t="shared" si="20"/>
        <v>August</v>
      </c>
      <c r="G1328" s="1">
        <v>85</v>
      </c>
      <c r="H1328" s="1">
        <v>0</v>
      </c>
      <c r="I1328" s="1" t="str">
        <f>IF(Table1[[#This Row],[Temperature_F]]&lt;32,"Yes","No")</f>
        <v>No</v>
      </c>
      <c r="J1328" s="1" t="str" cm="1">
        <f t="array" ref="J13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28" s="1" t="str" cm="1">
        <f t="array" ref="K1328">_xlfn.IFS(
H1328=0,"No Rain",
H1328&lt;10,"Light",
H1328&lt;50,"Moderate",
TRUE,"Heavy")</f>
        <v>No Rain</v>
      </c>
      <c r="L1328" s="1" t="str">
        <f>IF(Table1[[#This Row],[Precipitation_mm]]&lt;&gt;0,"Wet","Dry")</f>
        <v>Dry</v>
      </c>
      <c r="M1328" t="b">
        <f>OR(ISBLANK(Table1[[#This Row],[Temperature_F]]),ISERROR(Table1[[#This Row],[Temperature_F]]))</f>
        <v>0</v>
      </c>
    </row>
    <row r="1329" spans="1:13" x14ac:dyDescent="0.25">
      <c r="A1329" s="1" t="s">
        <v>1</v>
      </c>
      <c r="B1329" s="1" t="s">
        <v>2</v>
      </c>
      <c r="C1329" s="1">
        <v>42.360599999999998</v>
      </c>
      <c r="D1329" s="1">
        <v>-71.010599999999997</v>
      </c>
      <c r="E1329" s="5">
        <v>41518</v>
      </c>
      <c r="F1329" s="1" t="str">
        <f t="shared" si="20"/>
        <v>September</v>
      </c>
      <c r="G1329" s="1">
        <v>41</v>
      </c>
      <c r="H1329" s="1">
        <v>97</v>
      </c>
      <c r="I1329" s="1" t="str">
        <f>IF(Table1[[#This Row],[Temperature_F]]&lt;32,"Yes","No")</f>
        <v>No</v>
      </c>
      <c r="J1329" s="1" t="str" cm="1">
        <f t="array" ref="J13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29" s="1" t="str" cm="1">
        <f t="array" ref="K1329">_xlfn.IFS(
H1329=0,"No Rain",
H1329&lt;10,"Light",
H1329&lt;50,"Moderate",
TRUE,"Heavy")</f>
        <v>Heavy</v>
      </c>
      <c r="L1329" s="1" t="str">
        <f>IF(Table1[[#This Row],[Precipitation_mm]]&lt;&gt;0,"Wet","Dry")</f>
        <v>Wet</v>
      </c>
      <c r="M1329" t="b">
        <f>OR(ISBLANK(Table1[[#This Row],[Temperature_F]]),ISERROR(Table1[[#This Row],[Temperature_F]]))</f>
        <v>0</v>
      </c>
    </row>
    <row r="1330" spans="1:13" x14ac:dyDescent="0.25">
      <c r="A1330" s="1" t="s">
        <v>1</v>
      </c>
      <c r="B1330" s="1" t="s">
        <v>2</v>
      </c>
      <c r="C1330" s="1">
        <v>42.360599999999998</v>
      </c>
      <c r="D1330" s="1">
        <v>-71.010599999999997</v>
      </c>
      <c r="E1330" s="5">
        <v>41519</v>
      </c>
      <c r="F1330" s="1" t="str">
        <f t="shared" si="20"/>
        <v>September</v>
      </c>
      <c r="G1330" s="1">
        <v>42</v>
      </c>
      <c r="H1330" s="1">
        <v>97</v>
      </c>
      <c r="I1330" s="1" t="str">
        <f>IF(Table1[[#This Row],[Temperature_F]]&lt;32,"Yes","No")</f>
        <v>No</v>
      </c>
      <c r="J1330" s="1" t="str" cm="1">
        <f t="array" ref="J13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30" s="1" t="str" cm="1">
        <f t="array" ref="K1330">_xlfn.IFS(
H1330=0,"No Rain",
H1330&lt;10,"Light",
H1330&lt;50,"Moderate",
TRUE,"Heavy")</f>
        <v>Heavy</v>
      </c>
      <c r="L1330" s="1" t="str">
        <f>IF(Table1[[#This Row],[Precipitation_mm]]&lt;&gt;0,"Wet","Dry")</f>
        <v>Wet</v>
      </c>
      <c r="M1330" t="b">
        <f>OR(ISBLANK(Table1[[#This Row],[Temperature_F]]),ISERROR(Table1[[#This Row],[Temperature_F]]))</f>
        <v>0</v>
      </c>
    </row>
    <row r="1331" spans="1:13" x14ac:dyDescent="0.25">
      <c r="A1331" s="1" t="s">
        <v>1</v>
      </c>
      <c r="B1331" s="1" t="s">
        <v>2</v>
      </c>
      <c r="C1331" s="1">
        <v>42.360599999999998</v>
      </c>
      <c r="D1331" s="1">
        <v>-71.010599999999997</v>
      </c>
      <c r="E1331" s="5">
        <v>41520</v>
      </c>
      <c r="F1331" s="1" t="str">
        <f t="shared" si="20"/>
        <v>September</v>
      </c>
      <c r="G1331" s="1">
        <v>48</v>
      </c>
      <c r="H1331" s="1">
        <v>0</v>
      </c>
      <c r="I1331" s="1" t="str">
        <f>IF(Table1[[#This Row],[Temperature_F]]&lt;32,"Yes","No")</f>
        <v>No</v>
      </c>
      <c r="J1331" s="1" t="str" cm="1">
        <f t="array" ref="J13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31" s="1" t="str" cm="1">
        <f t="array" ref="K1331">_xlfn.IFS(
H1331=0,"No Rain",
H1331&lt;10,"Light",
H1331&lt;50,"Moderate",
TRUE,"Heavy")</f>
        <v>No Rain</v>
      </c>
      <c r="L1331" s="1" t="str">
        <f>IF(Table1[[#This Row],[Precipitation_mm]]&lt;&gt;0,"Wet","Dry")</f>
        <v>Dry</v>
      </c>
      <c r="M1331" t="b">
        <f>OR(ISBLANK(Table1[[#This Row],[Temperature_F]]),ISERROR(Table1[[#This Row],[Temperature_F]]))</f>
        <v>0</v>
      </c>
    </row>
    <row r="1332" spans="1:13" x14ac:dyDescent="0.25">
      <c r="A1332" s="1" t="s">
        <v>1</v>
      </c>
      <c r="B1332" s="1" t="s">
        <v>2</v>
      </c>
      <c r="C1332" s="1">
        <v>42.360599999999998</v>
      </c>
      <c r="D1332" s="1">
        <v>-71.010599999999997</v>
      </c>
      <c r="E1332" s="5">
        <v>41521</v>
      </c>
      <c r="F1332" s="1" t="str">
        <f t="shared" si="20"/>
        <v>September</v>
      </c>
      <c r="G1332" s="1">
        <v>41</v>
      </c>
      <c r="H1332" s="1">
        <v>0</v>
      </c>
      <c r="I1332" s="1" t="str">
        <f>IF(Table1[[#This Row],[Temperature_F]]&lt;32,"Yes","No")</f>
        <v>No</v>
      </c>
      <c r="J1332" s="1" t="str" cm="1">
        <f t="array" ref="J13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32" s="1" t="str" cm="1">
        <f t="array" ref="K1332">_xlfn.IFS(
H1332=0,"No Rain",
H1332&lt;10,"Light",
H1332&lt;50,"Moderate",
TRUE,"Heavy")</f>
        <v>No Rain</v>
      </c>
      <c r="L1332" s="1" t="str">
        <f>IF(Table1[[#This Row],[Precipitation_mm]]&lt;&gt;0,"Wet","Dry")</f>
        <v>Dry</v>
      </c>
      <c r="M1332" t="b">
        <f>OR(ISBLANK(Table1[[#This Row],[Temperature_F]]),ISERROR(Table1[[#This Row],[Temperature_F]]))</f>
        <v>0</v>
      </c>
    </row>
    <row r="1333" spans="1:13" x14ac:dyDescent="0.25">
      <c r="A1333" s="1" t="s">
        <v>1</v>
      </c>
      <c r="B1333" s="1" t="s">
        <v>2</v>
      </c>
      <c r="C1333" s="1">
        <v>42.360599999999998</v>
      </c>
      <c r="D1333" s="1">
        <v>-71.010599999999997</v>
      </c>
      <c r="E1333" s="5">
        <v>41522</v>
      </c>
      <c r="F1333" s="1" t="str">
        <f t="shared" si="20"/>
        <v>September</v>
      </c>
      <c r="G1333" s="1">
        <v>42</v>
      </c>
      <c r="H1333" s="1">
        <v>23</v>
      </c>
      <c r="I1333" s="1" t="str">
        <f>IF(Table1[[#This Row],[Temperature_F]]&lt;32,"Yes","No")</f>
        <v>No</v>
      </c>
      <c r="J1333" s="1" t="str" cm="1">
        <f t="array" ref="J13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33" s="1" t="str" cm="1">
        <f t="array" ref="K1333">_xlfn.IFS(
H1333=0,"No Rain",
H1333&lt;10,"Light",
H1333&lt;50,"Moderate",
TRUE,"Heavy")</f>
        <v>Moderate</v>
      </c>
      <c r="L1333" s="1" t="str">
        <f>IF(Table1[[#This Row],[Precipitation_mm]]&lt;&gt;0,"Wet","Dry")</f>
        <v>Wet</v>
      </c>
      <c r="M1333" t="b">
        <f>OR(ISBLANK(Table1[[#This Row],[Temperature_F]]),ISERROR(Table1[[#This Row],[Temperature_F]]))</f>
        <v>0</v>
      </c>
    </row>
    <row r="1334" spans="1:13" hidden="1" x14ac:dyDescent="0.25">
      <c r="A1334" s="1" t="s">
        <v>1</v>
      </c>
      <c r="B1334" s="1" t="s">
        <v>2</v>
      </c>
      <c r="C1334" s="1">
        <v>42.360599999999998</v>
      </c>
      <c r="D1334" s="1">
        <v>-71.010599999999997</v>
      </c>
      <c r="E1334" s="5">
        <v>41523</v>
      </c>
      <c r="F1334" s="1" t="str">
        <f t="shared" si="20"/>
        <v>September</v>
      </c>
      <c r="G1334" s="1">
        <v>70</v>
      </c>
      <c r="H1334" s="1">
        <v>0</v>
      </c>
      <c r="I1334" s="1" t="str">
        <f>IF(Table1[[#This Row],[Temperature_F]]&lt;32,"Yes","No")</f>
        <v>No</v>
      </c>
      <c r="J1334" s="1" t="str" cm="1">
        <f t="array" ref="J13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34" s="1" t="str" cm="1">
        <f t="array" ref="K1334">_xlfn.IFS(
H1334=0,"No Rain",
H1334&lt;10,"Light",
H1334&lt;50,"Moderate",
TRUE,"Heavy")</f>
        <v>No Rain</v>
      </c>
      <c r="L1334" s="1" t="str">
        <f>IF(Table1[[#This Row],[Precipitation_mm]]&lt;&gt;0,"Wet","Dry")</f>
        <v>Dry</v>
      </c>
      <c r="M1334" t="b">
        <f>OR(ISBLANK(Table1[[#This Row],[Temperature_F]]),ISERROR(Table1[[#This Row],[Temperature_F]]))</f>
        <v>0</v>
      </c>
    </row>
    <row r="1335" spans="1:13" x14ac:dyDescent="0.25">
      <c r="A1335" s="1" t="s">
        <v>1</v>
      </c>
      <c r="B1335" s="1" t="s">
        <v>2</v>
      </c>
      <c r="C1335" s="1">
        <v>42.360599999999998</v>
      </c>
      <c r="D1335" s="1">
        <v>-71.010599999999997</v>
      </c>
      <c r="E1335" s="5">
        <v>41524</v>
      </c>
      <c r="F1335" s="1" t="str">
        <f t="shared" ref="F1335:F1398" si="21">TEXT(E1335,"mmmm")</f>
        <v>September</v>
      </c>
      <c r="G1335" s="1">
        <v>48</v>
      </c>
      <c r="H1335" s="1">
        <v>0</v>
      </c>
      <c r="I1335" s="1" t="str">
        <f>IF(Table1[[#This Row],[Temperature_F]]&lt;32,"Yes","No")</f>
        <v>No</v>
      </c>
      <c r="J1335" s="1" t="str" cm="1">
        <f t="array" ref="J13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35" s="1" t="str" cm="1">
        <f t="array" ref="K1335">_xlfn.IFS(
H1335=0,"No Rain",
H1335&lt;10,"Light",
H1335&lt;50,"Moderate",
TRUE,"Heavy")</f>
        <v>No Rain</v>
      </c>
      <c r="L1335" s="1" t="str">
        <f>IF(Table1[[#This Row],[Precipitation_mm]]&lt;&gt;0,"Wet","Dry")</f>
        <v>Dry</v>
      </c>
      <c r="M1335" t="b">
        <f>OR(ISBLANK(Table1[[#This Row],[Temperature_F]]),ISERROR(Table1[[#This Row],[Temperature_F]]))</f>
        <v>0</v>
      </c>
    </row>
    <row r="1336" spans="1:13" hidden="1" x14ac:dyDescent="0.25">
      <c r="A1336" s="1" t="s">
        <v>1</v>
      </c>
      <c r="B1336" s="1" t="s">
        <v>2</v>
      </c>
      <c r="C1336" s="1">
        <v>42.360599999999998</v>
      </c>
      <c r="D1336" s="1">
        <v>-71.010599999999997</v>
      </c>
      <c r="E1336" s="5">
        <v>41525</v>
      </c>
      <c r="F1336" s="1" t="str">
        <f t="shared" si="21"/>
        <v>September</v>
      </c>
      <c r="G1336" s="1">
        <v>52</v>
      </c>
      <c r="H1336" s="1">
        <v>0</v>
      </c>
      <c r="I1336" s="1" t="str">
        <f>IF(Table1[[#This Row],[Temperature_F]]&lt;32,"Yes","No")</f>
        <v>No</v>
      </c>
      <c r="J1336" s="1" t="str" cm="1">
        <f t="array" ref="J13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36" s="1" t="str" cm="1">
        <f t="array" ref="K1336">_xlfn.IFS(
H1336=0,"No Rain",
H1336&lt;10,"Light",
H1336&lt;50,"Moderate",
TRUE,"Heavy")</f>
        <v>No Rain</v>
      </c>
      <c r="L1336" s="1" t="str">
        <f>IF(Table1[[#This Row],[Precipitation_mm]]&lt;&gt;0,"Wet","Dry")</f>
        <v>Dry</v>
      </c>
      <c r="M1336" t="b">
        <f>OR(ISBLANK(Table1[[#This Row],[Temperature_F]]),ISERROR(Table1[[#This Row],[Temperature_F]]))</f>
        <v>0</v>
      </c>
    </row>
    <row r="1337" spans="1:13" hidden="1" x14ac:dyDescent="0.25">
      <c r="A1337" s="1" t="s">
        <v>1</v>
      </c>
      <c r="B1337" s="1" t="s">
        <v>2</v>
      </c>
      <c r="C1337" s="1">
        <v>42.360599999999998</v>
      </c>
      <c r="D1337" s="1">
        <v>-71.010599999999997</v>
      </c>
      <c r="E1337" s="5">
        <v>41526</v>
      </c>
      <c r="F1337" s="1" t="str">
        <f t="shared" si="21"/>
        <v>September</v>
      </c>
      <c r="G1337" s="1">
        <v>53</v>
      </c>
      <c r="H1337" s="1">
        <v>0</v>
      </c>
      <c r="I1337" s="1" t="str">
        <f>IF(Table1[[#This Row],[Temperature_F]]&lt;32,"Yes","No")</f>
        <v>No</v>
      </c>
      <c r="J1337" s="1" t="str" cm="1">
        <f t="array" ref="J13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37" s="1" t="str" cm="1">
        <f t="array" ref="K1337">_xlfn.IFS(
H1337=0,"No Rain",
H1337&lt;10,"Light",
H1337&lt;50,"Moderate",
TRUE,"Heavy")</f>
        <v>No Rain</v>
      </c>
      <c r="L1337" s="1" t="str">
        <f>IF(Table1[[#This Row],[Precipitation_mm]]&lt;&gt;0,"Wet","Dry")</f>
        <v>Dry</v>
      </c>
      <c r="M1337" t="b">
        <f>OR(ISBLANK(Table1[[#This Row],[Temperature_F]]),ISERROR(Table1[[#This Row],[Temperature_F]]))</f>
        <v>0</v>
      </c>
    </row>
    <row r="1338" spans="1:13" hidden="1" x14ac:dyDescent="0.25">
      <c r="A1338" s="1" t="s">
        <v>1</v>
      </c>
      <c r="B1338" s="1" t="s">
        <v>2</v>
      </c>
      <c r="C1338" s="1">
        <v>42.360599999999998</v>
      </c>
      <c r="D1338" s="1">
        <v>-71.010599999999997</v>
      </c>
      <c r="E1338" s="5">
        <v>41527</v>
      </c>
      <c r="F1338" s="1" t="str">
        <f t="shared" si="21"/>
        <v>September</v>
      </c>
      <c r="G1338" s="1">
        <v>60</v>
      </c>
      <c r="H1338" s="1">
        <v>8</v>
      </c>
      <c r="I1338" s="1" t="str">
        <f>IF(Table1[[#This Row],[Temperature_F]]&lt;32,"Yes","No")</f>
        <v>No</v>
      </c>
      <c r="J1338" s="1" t="str" cm="1">
        <f t="array" ref="J13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38" s="1" t="str" cm="1">
        <f t="array" ref="K1338">_xlfn.IFS(
H1338=0,"No Rain",
H1338&lt;10,"Light",
H1338&lt;50,"Moderate",
TRUE,"Heavy")</f>
        <v>Light</v>
      </c>
      <c r="L1338" s="1" t="str">
        <f>IF(Table1[[#This Row],[Precipitation_mm]]&lt;&gt;0,"Wet","Dry")</f>
        <v>Wet</v>
      </c>
      <c r="M1338" t="b">
        <f>OR(ISBLANK(Table1[[#This Row],[Temperature_F]]),ISERROR(Table1[[#This Row],[Temperature_F]]))</f>
        <v>0</v>
      </c>
    </row>
    <row r="1339" spans="1:13" x14ac:dyDescent="0.25">
      <c r="A1339" s="1" t="s">
        <v>1</v>
      </c>
      <c r="B1339" s="1" t="s">
        <v>2</v>
      </c>
      <c r="C1339" s="1">
        <v>42.360599999999998</v>
      </c>
      <c r="D1339" s="1">
        <v>-71.010599999999997</v>
      </c>
      <c r="E1339" s="5">
        <v>41528</v>
      </c>
      <c r="F1339" s="1" t="str">
        <f t="shared" si="21"/>
        <v>September</v>
      </c>
      <c r="G1339" s="1">
        <v>41</v>
      </c>
      <c r="H1339" s="1">
        <v>0</v>
      </c>
      <c r="I1339" s="1" t="str">
        <f>IF(Table1[[#This Row],[Temperature_F]]&lt;32,"Yes","No")</f>
        <v>No</v>
      </c>
      <c r="J1339" s="1" t="str" cm="1">
        <f t="array" ref="J13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39" s="1" t="str" cm="1">
        <f t="array" ref="K1339">_xlfn.IFS(
H1339=0,"No Rain",
H1339&lt;10,"Light",
H1339&lt;50,"Moderate",
TRUE,"Heavy")</f>
        <v>No Rain</v>
      </c>
      <c r="L1339" s="1" t="str">
        <f>IF(Table1[[#This Row],[Precipitation_mm]]&lt;&gt;0,"Wet","Dry")</f>
        <v>Dry</v>
      </c>
      <c r="M1339" t="b">
        <f>OR(ISBLANK(Table1[[#This Row],[Temperature_F]]),ISERROR(Table1[[#This Row],[Temperature_F]]))</f>
        <v>0</v>
      </c>
    </row>
    <row r="1340" spans="1:13" hidden="1" x14ac:dyDescent="0.25">
      <c r="A1340" s="1" t="s">
        <v>1</v>
      </c>
      <c r="B1340" s="1" t="s">
        <v>2</v>
      </c>
      <c r="C1340" s="1">
        <v>42.360599999999998</v>
      </c>
      <c r="D1340" s="1">
        <v>-71.010599999999997</v>
      </c>
      <c r="E1340" s="5">
        <v>41529</v>
      </c>
      <c r="F1340" s="1" t="str">
        <f t="shared" si="21"/>
        <v>September</v>
      </c>
      <c r="G1340" s="1">
        <v>68</v>
      </c>
      <c r="H1340" s="1">
        <v>145</v>
      </c>
      <c r="I1340" s="1" t="str">
        <f>IF(Table1[[#This Row],[Temperature_F]]&lt;32,"Yes","No")</f>
        <v>No</v>
      </c>
      <c r="J1340" s="1" t="str" cm="1">
        <f t="array" ref="J13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40" s="1" t="str" cm="1">
        <f t="array" ref="K1340">_xlfn.IFS(
H1340=0,"No Rain",
H1340&lt;10,"Light",
H1340&lt;50,"Moderate",
TRUE,"Heavy")</f>
        <v>Heavy</v>
      </c>
      <c r="L1340" s="1" t="str">
        <f>IF(Table1[[#This Row],[Precipitation_mm]]&lt;&gt;0,"Wet","Dry")</f>
        <v>Wet</v>
      </c>
      <c r="M1340" t="b">
        <f>OR(ISBLANK(Table1[[#This Row],[Temperature_F]]),ISERROR(Table1[[#This Row],[Temperature_F]]))</f>
        <v>0</v>
      </c>
    </row>
    <row r="1341" spans="1:13" x14ac:dyDescent="0.25">
      <c r="A1341" s="1" t="s">
        <v>1</v>
      </c>
      <c r="B1341" s="1" t="s">
        <v>2</v>
      </c>
      <c r="C1341" s="1">
        <v>42.360599999999998</v>
      </c>
      <c r="D1341" s="1">
        <v>-71.010599999999997</v>
      </c>
      <c r="E1341" s="5">
        <v>41530</v>
      </c>
      <c r="F1341" s="1" t="str">
        <f t="shared" si="21"/>
        <v>September</v>
      </c>
      <c r="G1341" s="1">
        <v>42</v>
      </c>
      <c r="H1341" s="1">
        <v>99</v>
      </c>
      <c r="I1341" s="1" t="str">
        <f>IF(Table1[[#This Row],[Temperature_F]]&lt;32,"Yes","No")</f>
        <v>No</v>
      </c>
      <c r="J1341" s="1" t="str" cm="1">
        <f t="array" ref="J13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41" s="1" t="str" cm="1">
        <f t="array" ref="K1341">_xlfn.IFS(
H1341=0,"No Rain",
H1341&lt;10,"Light",
H1341&lt;50,"Moderate",
TRUE,"Heavy")</f>
        <v>Heavy</v>
      </c>
      <c r="L1341" s="1" t="str">
        <f>IF(Table1[[#This Row],[Precipitation_mm]]&lt;&gt;0,"Wet","Dry")</f>
        <v>Wet</v>
      </c>
      <c r="M1341" t="b">
        <f>OR(ISBLANK(Table1[[#This Row],[Temperature_F]]),ISERROR(Table1[[#This Row],[Temperature_F]]))</f>
        <v>0</v>
      </c>
    </row>
    <row r="1342" spans="1:13" x14ac:dyDescent="0.25">
      <c r="A1342" s="1" t="s">
        <v>1</v>
      </c>
      <c r="B1342" s="1" t="s">
        <v>2</v>
      </c>
      <c r="C1342" s="1">
        <v>42.360599999999998</v>
      </c>
      <c r="D1342" s="1">
        <v>-71.010599999999997</v>
      </c>
      <c r="E1342" s="5">
        <v>41531</v>
      </c>
      <c r="F1342" s="1" t="str">
        <f t="shared" si="21"/>
        <v>September</v>
      </c>
      <c r="G1342" s="1">
        <v>50</v>
      </c>
      <c r="H1342" s="1">
        <v>0</v>
      </c>
      <c r="I1342" s="1" t="str">
        <f>IF(Table1[[#This Row],[Temperature_F]]&lt;32,"Yes","No")</f>
        <v>No</v>
      </c>
      <c r="J1342" s="1" t="str" cm="1">
        <f t="array" ref="J13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42" s="1" t="str" cm="1">
        <f t="array" ref="K1342">_xlfn.IFS(
H1342=0,"No Rain",
H1342&lt;10,"Light",
H1342&lt;50,"Moderate",
TRUE,"Heavy")</f>
        <v>No Rain</v>
      </c>
      <c r="L1342" s="1" t="str">
        <f>IF(Table1[[#This Row],[Precipitation_mm]]&lt;&gt;0,"Wet","Dry")</f>
        <v>Dry</v>
      </c>
      <c r="M1342" t="b">
        <f>OR(ISBLANK(Table1[[#This Row],[Temperature_F]]),ISERROR(Table1[[#This Row],[Temperature_F]]))</f>
        <v>0</v>
      </c>
    </row>
    <row r="1343" spans="1:13" hidden="1" x14ac:dyDescent="0.25">
      <c r="A1343" s="1" t="s">
        <v>1</v>
      </c>
      <c r="B1343" s="1" t="s">
        <v>2</v>
      </c>
      <c r="C1343" s="1">
        <v>42.360599999999998</v>
      </c>
      <c r="D1343" s="1">
        <v>-71.010599999999997</v>
      </c>
      <c r="E1343" s="5">
        <v>41532</v>
      </c>
      <c r="F1343" s="1" t="str">
        <f t="shared" si="21"/>
        <v>September</v>
      </c>
      <c r="G1343" s="1">
        <v>64</v>
      </c>
      <c r="H1343" s="1">
        <v>0</v>
      </c>
      <c r="I1343" s="1" t="str">
        <f>IF(Table1[[#This Row],[Temperature_F]]&lt;32,"Yes","No")</f>
        <v>No</v>
      </c>
      <c r="J1343" s="1" t="str" cm="1">
        <f t="array" ref="J13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43" s="1" t="str" cm="1">
        <f t="array" ref="K1343">_xlfn.IFS(
H1343=0,"No Rain",
H1343&lt;10,"Light",
H1343&lt;50,"Moderate",
TRUE,"Heavy")</f>
        <v>No Rain</v>
      </c>
      <c r="L1343" s="1" t="str">
        <f>IF(Table1[[#This Row],[Precipitation_mm]]&lt;&gt;0,"Wet","Dry")</f>
        <v>Dry</v>
      </c>
      <c r="M1343" t="b">
        <f>OR(ISBLANK(Table1[[#This Row],[Temperature_F]]),ISERROR(Table1[[#This Row],[Temperature_F]]))</f>
        <v>0</v>
      </c>
    </row>
    <row r="1344" spans="1:13" hidden="1" x14ac:dyDescent="0.25">
      <c r="A1344" s="1" t="s">
        <v>1</v>
      </c>
      <c r="B1344" s="1" t="s">
        <v>2</v>
      </c>
      <c r="C1344" s="1">
        <v>42.360599999999998</v>
      </c>
      <c r="D1344" s="1">
        <v>-71.010599999999997</v>
      </c>
      <c r="E1344" s="5">
        <v>41533</v>
      </c>
      <c r="F1344" s="1" t="str">
        <f t="shared" si="21"/>
        <v>September</v>
      </c>
      <c r="G1344" s="1">
        <v>67</v>
      </c>
      <c r="H1344" s="1">
        <v>0</v>
      </c>
      <c r="I1344" s="1" t="str">
        <f>IF(Table1[[#This Row],[Temperature_F]]&lt;32,"Yes","No")</f>
        <v>No</v>
      </c>
      <c r="J1344" s="1" t="str" cm="1">
        <f t="array" ref="J13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44" s="1" t="str" cm="1">
        <f t="array" ref="K1344">_xlfn.IFS(
H1344=0,"No Rain",
H1344&lt;10,"Light",
H1344&lt;50,"Moderate",
TRUE,"Heavy")</f>
        <v>No Rain</v>
      </c>
      <c r="L1344" s="1" t="str">
        <f>IF(Table1[[#This Row],[Precipitation_mm]]&lt;&gt;0,"Wet","Dry")</f>
        <v>Dry</v>
      </c>
      <c r="M1344" t="b">
        <f>OR(ISBLANK(Table1[[#This Row],[Temperature_F]]),ISERROR(Table1[[#This Row],[Temperature_F]]))</f>
        <v>0</v>
      </c>
    </row>
    <row r="1345" spans="1:13" x14ac:dyDescent="0.25">
      <c r="A1345" s="1" t="s">
        <v>1</v>
      </c>
      <c r="B1345" s="1" t="s">
        <v>2</v>
      </c>
      <c r="C1345" s="1">
        <v>42.360599999999998</v>
      </c>
      <c r="D1345" s="1">
        <v>-71.010599999999997</v>
      </c>
      <c r="E1345" s="5">
        <v>41534</v>
      </c>
      <c r="F1345" s="1" t="str">
        <f t="shared" si="21"/>
        <v>September</v>
      </c>
      <c r="G1345" s="1">
        <v>40</v>
      </c>
      <c r="H1345" s="1">
        <v>0</v>
      </c>
      <c r="I1345" s="1" t="str">
        <f>IF(Table1[[#This Row],[Temperature_F]]&lt;32,"Yes","No")</f>
        <v>No</v>
      </c>
      <c r="J1345" s="1" t="str" cm="1">
        <f t="array" ref="J13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45" s="1" t="str" cm="1">
        <f t="array" ref="K1345">_xlfn.IFS(
H1345=0,"No Rain",
H1345&lt;10,"Light",
H1345&lt;50,"Moderate",
TRUE,"Heavy")</f>
        <v>No Rain</v>
      </c>
      <c r="L1345" s="1" t="str">
        <f>IF(Table1[[#This Row],[Precipitation_mm]]&lt;&gt;0,"Wet","Dry")</f>
        <v>Dry</v>
      </c>
      <c r="M1345" t="b">
        <f>OR(ISBLANK(Table1[[#This Row],[Temperature_F]]),ISERROR(Table1[[#This Row],[Temperature_F]]))</f>
        <v>0</v>
      </c>
    </row>
    <row r="1346" spans="1:13" hidden="1" x14ac:dyDescent="0.25">
      <c r="A1346" s="1" t="s">
        <v>1</v>
      </c>
      <c r="B1346" s="1" t="s">
        <v>2</v>
      </c>
      <c r="C1346" s="1">
        <v>42.360599999999998</v>
      </c>
      <c r="D1346" s="1">
        <v>-71.010599999999997</v>
      </c>
      <c r="E1346" s="5">
        <v>41535</v>
      </c>
      <c r="F1346" s="1" t="str">
        <f t="shared" si="21"/>
        <v>September</v>
      </c>
      <c r="G1346" s="1">
        <v>58</v>
      </c>
      <c r="H1346" s="1">
        <v>0</v>
      </c>
      <c r="I1346" s="1" t="str">
        <f>IF(Table1[[#This Row],[Temperature_F]]&lt;32,"Yes","No")</f>
        <v>No</v>
      </c>
      <c r="J1346" s="1" t="str" cm="1">
        <f t="array" ref="J13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46" s="1" t="str" cm="1">
        <f t="array" ref="K1346">_xlfn.IFS(
H1346=0,"No Rain",
H1346&lt;10,"Light",
H1346&lt;50,"Moderate",
TRUE,"Heavy")</f>
        <v>No Rain</v>
      </c>
      <c r="L1346" s="1" t="str">
        <f>IF(Table1[[#This Row],[Precipitation_mm]]&lt;&gt;0,"Wet","Dry")</f>
        <v>Dry</v>
      </c>
      <c r="M1346" t="b">
        <f>OR(ISBLANK(Table1[[#This Row],[Temperature_F]]),ISERROR(Table1[[#This Row],[Temperature_F]]))</f>
        <v>0</v>
      </c>
    </row>
    <row r="1347" spans="1:13" hidden="1" x14ac:dyDescent="0.25">
      <c r="A1347" s="1" t="s">
        <v>1</v>
      </c>
      <c r="B1347" s="1" t="s">
        <v>2</v>
      </c>
      <c r="C1347" s="1">
        <v>42.360599999999998</v>
      </c>
      <c r="D1347" s="1">
        <v>-71.010599999999997</v>
      </c>
      <c r="E1347" s="5">
        <v>41536</v>
      </c>
      <c r="F1347" s="1" t="str">
        <f t="shared" si="21"/>
        <v>September</v>
      </c>
      <c r="G1347" s="1">
        <v>57</v>
      </c>
      <c r="H1347" s="1">
        <v>0</v>
      </c>
      <c r="I1347" s="1" t="str">
        <f>IF(Table1[[#This Row],[Temperature_F]]&lt;32,"Yes","No")</f>
        <v>No</v>
      </c>
      <c r="J1347" s="1" t="str" cm="1">
        <f t="array" ref="J13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47" s="1" t="str" cm="1">
        <f t="array" ref="K1347">_xlfn.IFS(
H1347=0,"No Rain",
H1347&lt;10,"Light",
H1347&lt;50,"Moderate",
TRUE,"Heavy")</f>
        <v>No Rain</v>
      </c>
      <c r="L1347" s="1" t="str">
        <f>IF(Table1[[#This Row],[Precipitation_mm]]&lt;&gt;0,"Wet","Dry")</f>
        <v>Dry</v>
      </c>
      <c r="M1347" t="b">
        <f>OR(ISBLANK(Table1[[#This Row],[Temperature_F]]),ISERROR(Table1[[#This Row],[Temperature_F]]))</f>
        <v>0</v>
      </c>
    </row>
    <row r="1348" spans="1:13" hidden="1" x14ac:dyDescent="0.25">
      <c r="A1348" s="1" t="s">
        <v>1</v>
      </c>
      <c r="B1348" s="1" t="s">
        <v>2</v>
      </c>
      <c r="C1348" s="1">
        <v>42.360599999999998</v>
      </c>
      <c r="D1348" s="1">
        <v>-71.010599999999997</v>
      </c>
      <c r="E1348" s="5">
        <v>41537</v>
      </c>
      <c r="F1348" s="1" t="str">
        <f t="shared" si="21"/>
        <v>September</v>
      </c>
      <c r="G1348" s="1">
        <v>56</v>
      </c>
      <c r="H1348" s="1">
        <v>0</v>
      </c>
      <c r="I1348" s="1" t="str">
        <f>IF(Table1[[#This Row],[Temperature_F]]&lt;32,"Yes","No")</f>
        <v>No</v>
      </c>
      <c r="J1348" s="1" t="str" cm="1">
        <f t="array" ref="J13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48" s="1" t="str" cm="1">
        <f t="array" ref="K1348">_xlfn.IFS(
H1348=0,"No Rain",
H1348&lt;10,"Light",
H1348&lt;50,"Moderate",
TRUE,"Heavy")</f>
        <v>No Rain</v>
      </c>
      <c r="L1348" s="1" t="str">
        <f>IF(Table1[[#This Row],[Precipitation_mm]]&lt;&gt;0,"Wet","Dry")</f>
        <v>Dry</v>
      </c>
      <c r="M1348" t="b">
        <f>OR(ISBLANK(Table1[[#This Row],[Temperature_F]]),ISERROR(Table1[[#This Row],[Temperature_F]]))</f>
        <v>0</v>
      </c>
    </row>
    <row r="1349" spans="1:13" x14ac:dyDescent="0.25">
      <c r="A1349" s="1" t="s">
        <v>1</v>
      </c>
      <c r="B1349" s="1" t="s">
        <v>2</v>
      </c>
      <c r="C1349" s="1">
        <v>42.360599999999998</v>
      </c>
      <c r="D1349" s="1">
        <v>-71.010599999999997</v>
      </c>
      <c r="E1349" s="5">
        <v>41538</v>
      </c>
      <c r="F1349" s="1" t="str">
        <f t="shared" si="21"/>
        <v>September</v>
      </c>
      <c r="G1349" s="1">
        <v>41</v>
      </c>
      <c r="H1349" s="1">
        <v>0</v>
      </c>
      <c r="I1349" s="1" t="str">
        <f>IF(Table1[[#This Row],[Temperature_F]]&lt;32,"Yes","No")</f>
        <v>No</v>
      </c>
      <c r="J1349" s="1" t="str" cm="1">
        <f t="array" ref="J134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49" s="1" t="str" cm="1">
        <f t="array" ref="K1349">_xlfn.IFS(
H1349=0,"No Rain",
H1349&lt;10,"Light",
H1349&lt;50,"Moderate",
TRUE,"Heavy")</f>
        <v>No Rain</v>
      </c>
      <c r="L1349" s="1" t="str">
        <f>IF(Table1[[#This Row],[Precipitation_mm]]&lt;&gt;0,"Wet","Dry")</f>
        <v>Dry</v>
      </c>
      <c r="M1349" t="b">
        <f>OR(ISBLANK(Table1[[#This Row],[Temperature_F]]),ISERROR(Table1[[#This Row],[Temperature_F]]))</f>
        <v>0</v>
      </c>
    </row>
    <row r="1350" spans="1:13" x14ac:dyDescent="0.25">
      <c r="A1350" s="1" t="s">
        <v>1</v>
      </c>
      <c r="B1350" s="1" t="s">
        <v>2</v>
      </c>
      <c r="C1350" s="1">
        <v>42.360599999999998</v>
      </c>
      <c r="D1350" s="1">
        <v>-71.010599999999997</v>
      </c>
      <c r="E1350" s="5">
        <v>41539</v>
      </c>
      <c r="F1350" s="1" t="str">
        <f t="shared" si="21"/>
        <v>September</v>
      </c>
      <c r="G1350" s="1">
        <v>47</v>
      </c>
      <c r="H1350" s="1">
        <v>94</v>
      </c>
      <c r="I1350" s="1" t="str">
        <f>IF(Table1[[#This Row],[Temperature_F]]&lt;32,"Yes","No")</f>
        <v>No</v>
      </c>
      <c r="J1350" s="1" t="str" cm="1">
        <f t="array" ref="J135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50" s="1" t="str" cm="1">
        <f t="array" ref="K1350">_xlfn.IFS(
H1350=0,"No Rain",
H1350&lt;10,"Light",
H1350&lt;50,"Moderate",
TRUE,"Heavy")</f>
        <v>Heavy</v>
      </c>
      <c r="L1350" s="1" t="str">
        <f>IF(Table1[[#This Row],[Precipitation_mm]]&lt;&gt;0,"Wet","Dry")</f>
        <v>Wet</v>
      </c>
      <c r="M1350" t="b">
        <f>OR(ISBLANK(Table1[[#This Row],[Temperature_F]]),ISERROR(Table1[[#This Row],[Temperature_F]]))</f>
        <v>0</v>
      </c>
    </row>
    <row r="1351" spans="1:13" hidden="1" x14ac:dyDescent="0.25">
      <c r="A1351" s="1" t="s">
        <v>1</v>
      </c>
      <c r="B1351" s="1" t="s">
        <v>2</v>
      </c>
      <c r="C1351" s="1">
        <v>42.360599999999998</v>
      </c>
      <c r="D1351" s="1">
        <v>-71.010599999999997</v>
      </c>
      <c r="E1351" s="5">
        <v>41540</v>
      </c>
      <c r="F1351" s="1" t="str">
        <f t="shared" si="21"/>
        <v>September</v>
      </c>
      <c r="G1351" s="1">
        <v>70</v>
      </c>
      <c r="H1351" s="1">
        <v>0</v>
      </c>
      <c r="I1351" s="1" t="str">
        <f>IF(Table1[[#This Row],[Temperature_F]]&lt;32,"Yes","No")</f>
        <v>No</v>
      </c>
      <c r="J1351" s="1" t="str" cm="1">
        <f t="array" ref="J135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51" s="1" t="str" cm="1">
        <f t="array" ref="K1351">_xlfn.IFS(
H1351=0,"No Rain",
H1351&lt;10,"Light",
H1351&lt;50,"Moderate",
TRUE,"Heavy")</f>
        <v>No Rain</v>
      </c>
      <c r="L1351" s="1" t="str">
        <f>IF(Table1[[#This Row],[Precipitation_mm]]&lt;&gt;0,"Wet","Dry")</f>
        <v>Dry</v>
      </c>
      <c r="M1351" t="b">
        <f>OR(ISBLANK(Table1[[#This Row],[Temperature_F]]),ISERROR(Table1[[#This Row],[Temperature_F]]))</f>
        <v>0</v>
      </c>
    </row>
    <row r="1352" spans="1:13" hidden="1" x14ac:dyDescent="0.25">
      <c r="A1352" s="1" t="s">
        <v>1</v>
      </c>
      <c r="B1352" s="1" t="s">
        <v>2</v>
      </c>
      <c r="C1352" s="1">
        <v>42.360599999999998</v>
      </c>
      <c r="D1352" s="1">
        <v>-71.010599999999997</v>
      </c>
      <c r="E1352" s="5">
        <v>41541</v>
      </c>
      <c r="F1352" s="1" t="str">
        <f t="shared" si="21"/>
        <v>September</v>
      </c>
      <c r="G1352" s="1">
        <v>62</v>
      </c>
      <c r="H1352" s="1">
        <v>0</v>
      </c>
      <c r="I1352" s="1" t="str">
        <f>IF(Table1[[#This Row],[Temperature_F]]&lt;32,"Yes","No")</f>
        <v>No</v>
      </c>
      <c r="J1352" s="1" t="str" cm="1">
        <f t="array" ref="J135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2" s="1" t="str" cm="1">
        <f t="array" ref="K1352">_xlfn.IFS(
H1352=0,"No Rain",
H1352&lt;10,"Light",
H1352&lt;50,"Moderate",
TRUE,"Heavy")</f>
        <v>No Rain</v>
      </c>
      <c r="L1352" s="1" t="str">
        <f>IF(Table1[[#This Row],[Precipitation_mm]]&lt;&gt;0,"Wet","Dry")</f>
        <v>Dry</v>
      </c>
      <c r="M1352" t="b">
        <f>OR(ISBLANK(Table1[[#This Row],[Temperature_F]]),ISERROR(Table1[[#This Row],[Temperature_F]]))</f>
        <v>0</v>
      </c>
    </row>
    <row r="1353" spans="1:13" hidden="1" x14ac:dyDescent="0.25">
      <c r="A1353" s="1" t="s">
        <v>1</v>
      </c>
      <c r="B1353" s="1" t="s">
        <v>2</v>
      </c>
      <c r="C1353" s="1">
        <v>42.360599999999998</v>
      </c>
      <c r="D1353" s="1">
        <v>-71.010599999999997</v>
      </c>
      <c r="E1353" s="5">
        <v>41542</v>
      </c>
      <c r="F1353" s="1" t="str">
        <f t="shared" si="21"/>
        <v>September</v>
      </c>
      <c r="G1353" s="1">
        <v>57</v>
      </c>
      <c r="H1353" s="1">
        <v>0</v>
      </c>
      <c r="I1353" s="1" t="str">
        <f>IF(Table1[[#This Row],[Temperature_F]]&lt;32,"Yes","No")</f>
        <v>No</v>
      </c>
      <c r="J1353" s="1" t="str" cm="1">
        <f t="array" ref="J135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3" s="1" t="str" cm="1">
        <f t="array" ref="K1353">_xlfn.IFS(
H1353=0,"No Rain",
H1353&lt;10,"Light",
H1353&lt;50,"Moderate",
TRUE,"Heavy")</f>
        <v>No Rain</v>
      </c>
      <c r="L1353" s="1" t="str">
        <f>IF(Table1[[#This Row],[Precipitation_mm]]&lt;&gt;0,"Wet","Dry")</f>
        <v>Dry</v>
      </c>
      <c r="M1353" t="b">
        <f>OR(ISBLANK(Table1[[#This Row],[Temperature_F]]),ISERROR(Table1[[#This Row],[Temperature_F]]))</f>
        <v>0</v>
      </c>
    </row>
    <row r="1354" spans="1:13" hidden="1" x14ac:dyDescent="0.25">
      <c r="A1354" s="1" t="s">
        <v>1</v>
      </c>
      <c r="B1354" s="1" t="s">
        <v>2</v>
      </c>
      <c r="C1354" s="1">
        <v>42.360599999999998</v>
      </c>
      <c r="D1354" s="1">
        <v>-71.010599999999997</v>
      </c>
      <c r="E1354" s="5">
        <v>41543</v>
      </c>
      <c r="F1354" s="1" t="str">
        <f t="shared" si="21"/>
        <v>September</v>
      </c>
      <c r="G1354" s="1">
        <v>68</v>
      </c>
      <c r="H1354" s="1">
        <v>0</v>
      </c>
      <c r="I1354" s="1" t="str">
        <f>IF(Table1[[#This Row],[Temperature_F]]&lt;32,"Yes","No")</f>
        <v>No</v>
      </c>
      <c r="J1354" s="1" t="str" cm="1">
        <f t="array" ref="J135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4" s="1" t="str" cm="1">
        <f t="array" ref="K1354">_xlfn.IFS(
H1354=0,"No Rain",
H1354&lt;10,"Light",
H1354&lt;50,"Moderate",
TRUE,"Heavy")</f>
        <v>No Rain</v>
      </c>
      <c r="L1354" s="1" t="str">
        <f>IF(Table1[[#This Row],[Precipitation_mm]]&lt;&gt;0,"Wet","Dry")</f>
        <v>Dry</v>
      </c>
      <c r="M1354" t="b">
        <f>OR(ISBLANK(Table1[[#This Row],[Temperature_F]]),ISERROR(Table1[[#This Row],[Temperature_F]]))</f>
        <v>0</v>
      </c>
    </row>
    <row r="1355" spans="1:13" hidden="1" x14ac:dyDescent="0.25">
      <c r="A1355" s="1" t="s">
        <v>1</v>
      </c>
      <c r="B1355" s="1" t="s">
        <v>2</v>
      </c>
      <c r="C1355" s="1">
        <v>42.360599999999998</v>
      </c>
      <c r="D1355" s="1">
        <v>-71.010599999999997</v>
      </c>
      <c r="E1355" s="5">
        <v>41544</v>
      </c>
      <c r="F1355" s="1" t="str">
        <f t="shared" si="21"/>
        <v>September</v>
      </c>
      <c r="G1355" s="1">
        <v>58</v>
      </c>
      <c r="H1355" s="1">
        <v>0</v>
      </c>
      <c r="I1355" s="1" t="str">
        <f>IF(Table1[[#This Row],[Temperature_F]]&lt;32,"Yes","No")</f>
        <v>No</v>
      </c>
      <c r="J1355" s="1" t="str" cm="1">
        <f t="array" ref="J135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5" s="1" t="str" cm="1">
        <f t="array" ref="K1355">_xlfn.IFS(
H1355=0,"No Rain",
H1355&lt;10,"Light",
H1355&lt;50,"Moderate",
TRUE,"Heavy")</f>
        <v>No Rain</v>
      </c>
      <c r="L1355" s="1" t="str">
        <f>IF(Table1[[#This Row],[Precipitation_mm]]&lt;&gt;0,"Wet","Dry")</f>
        <v>Dry</v>
      </c>
      <c r="M1355" t="b">
        <f>OR(ISBLANK(Table1[[#This Row],[Temperature_F]]),ISERROR(Table1[[#This Row],[Temperature_F]]))</f>
        <v>0</v>
      </c>
    </row>
    <row r="1356" spans="1:13" hidden="1" x14ac:dyDescent="0.25">
      <c r="A1356" s="1" t="s">
        <v>1</v>
      </c>
      <c r="B1356" s="1" t="s">
        <v>2</v>
      </c>
      <c r="C1356" s="1">
        <v>42.360599999999998</v>
      </c>
      <c r="D1356" s="1">
        <v>-71.010599999999997</v>
      </c>
      <c r="E1356" s="5">
        <v>41545</v>
      </c>
      <c r="F1356" s="1" t="str">
        <f t="shared" si="21"/>
        <v>September</v>
      </c>
      <c r="G1356" s="1">
        <v>67</v>
      </c>
      <c r="H1356" s="1">
        <v>0</v>
      </c>
      <c r="I1356" s="1" t="str">
        <f>IF(Table1[[#This Row],[Temperature_F]]&lt;32,"Yes","No")</f>
        <v>No</v>
      </c>
      <c r="J1356" s="1" t="str" cm="1">
        <f t="array" ref="J135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6" s="1" t="str" cm="1">
        <f t="array" ref="K1356">_xlfn.IFS(
H1356=0,"No Rain",
H1356&lt;10,"Light",
H1356&lt;50,"Moderate",
TRUE,"Heavy")</f>
        <v>No Rain</v>
      </c>
      <c r="L1356" s="1" t="str">
        <f>IF(Table1[[#This Row],[Precipitation_mm]]&lt;&gt;0,"Wet","Dry")</f>
        <v>Dry</v>
      </c>
      <c r="M1356" t="b">
        <f>OR(ISBLANK(Table1[[#This Row],[Temperature_F]]),ISERROR(Table1[[#This Row],[Temperature_F]]))</f>
        <v>0</v>
      </c>
    </row>
    <row r="1357" spans="1:13" hidden="1" x14ac:dyDescent="0.25">
      <c r="A1357" s="1" t="s">
        <v>1</v>
      </c>
      <c r="B1357" s="1" t="s">
        <v>2</v>
      </c>
      <c r="C1357" s="1">
        <v>42.360599999999998</v>
      </c>
      <c r="D1357" s="1">
        <v>-71.010599999999997</v>
      </c>
      <c r="E1357" s="5">
        <v>41546</v>
      </c>
      <c r="F1357" s="1" t="str">
        <f t="shared" si="21"/>
        <v>September</v>
      </c>
      <c r="G1357" s="1">
        <v>68</v>
      </c>
      <c r="H1357" s="1">
        <v>0</v>
      </c>
      <c r="I1357" s="1" t="str">
        <f>IF(Table1[[#This Row],[Temperature_F]]&lt;32,"Yes","No")</f>
        <v>No</v>
      </c>
      <c r="J1357" s="1" t="str" cm="1">
        <f t="array" ref="J135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7" s="1" t="str" cm="1">
        <f t="array" ref="K1357">_xlfn.IFS(
H1357=0,"No Rain",
H1357&lt;10,"Light",
H1357&lt;50,"Moderate",
TRUE,"Heavy")</f>
        <v>No Rain</v>
      </c>
      <c r="L1357" s="1" t="str">
        <f>IF(Table1[[#This Row],[Precipitation_mm]]&lt;&gt;0,"Wet","Dry")</f>
        <v>Dry</v>
      </c>
      <c r="M1357" t="b">
        <f>OR(ISBLANK(Table1[[#This Row],[Temperature_F]]),ISERROR(Table1[[#This Row],[Temperature_F]]))</f>
        <v>0</v>
      </c>
    </row>
    <row r="1358" spans="1:13" hidden="1" x14ac:dyDescent="0.25">
      <c r="A1358" s="1" t="s">
        <v>1</v>
      </c>
      <c r="B1358" s="1" t="s">
        <v>2</v>
      </c>
      <c r="C1358" s="1">
        <v>42.360599999999998</v>
      </c>
      <c r="D1358" s="1">
        <v>-71.010599999999997</v>
      </c>
      <c r="E1358" s="5">
        <v>41547</v>
      </c>
      <c r="F1358" s="1" t="str">
        <f t="shared" si="21"/>
        <v>September</v>
      </c>
      <c r="G1358" s="1">
        <v>66</v>
      </c>
      <c r="H1358" s="1">
        <v>0</v>
      </c>
      <c r="I1358" s="1" t="str">
        <f>IF(Table1[[#This Row],[Temperature_F]]&lt;32,"Yes","No")</f>
        <v>No</v>
      </c>
      <c r="J1358" s="1" t="str" cm="1">
        <f t="array" ref="J135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8" s="1" t="str" cm="1">
        <f t="array" ref="K1358">_xlfn.IFS(
H1358=0,"No Rain",
H1358&lt;10,"Light",
H1358&lt;50,"Moderate",
TRUE,"Heavy")</f>
        <v>No Rain</v>
      </c>
      <c r="L1358" s="1" t="str">
        <f>IF(Table1[[#This Row],[Precipitation_mm]]&lt;&gt;0,"Wet","Dry")</f>
        <v>Dry</v>
      </c>
      <c r="M1358" t="b">
        <f>OR(ISBLANK(Table1[[#This Row],[Temperature_F]]),ISERROR(Table1[[#This Row],[Temperature_F]]))</f>
        <v>0</v>
      </c>
    </row>
    <row r="1359" spans="1:13" hidden="1" x14ac:dyDescent="0.25">
      <c r="A1359" s="1" t="s">
        <v>1</v>
      </c>
      <c r="B1359" s="1" t="s">
        <v>2</v>
      </c>
      <c r="C1359" s="1">
        <v>42.360599999999998</v>
      </c>
      <c r="D1359" s="1">
        <v>-71.010599999999997</v>
      </c>
      <c r="E1359" s="5">
        <v>41548</v>
      </c>
      <c r="F1359" s="1" t="str">
        <f t="shared" si="21"/>
        <v>October</v>
      </c>
      <c r="G1359" s="1">
        <v>59</v>
      </c>
      <c r="H1359" s="1">
        <v>0</v>
      </c>
      <c r="I1359" s="1" t="str">
        <f>IF(Table1[[#This Row],[Temperature_F]]&lt;32,"Yes","No")</f>
        <v>No</v>
      </c>
      <c r="J1359" s="1" t="str" cm="1">
        <f t="array" ref="J135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59" s="1" t="str" cm="1">
        <f t="array" ref="K1359">_xlfn.IFS(
H1359=0,"No Rain",
H1359&lt;10,"Light",
H1359&lt;50,"Moderate",
TRUE,"Heavy")</f>
        <v>No Rain</v>
      </c>
      <c r="L1359" s="1" t="str">
        <f>IF(Table1[[#This Row],[Precipitation_mm]]&lt;&gt;0,"Wet","Dry")</f>
        <v>Dry</v>
      </c>
      <c r="M1359" t="b">
        <f>OR(ISBLANK(Table1[[#This Row],[Temperature_F]]),ISERROR(Table1[[#This Row],[Temperature_F]]))</f>
        <v>0</v>
      </c>
    </row>
    <row r="1360" spans="1:13" hidden="1" x14ac:dyDescent="0.25">
      <c r="A1360" s="1" t="s">
        <v>1</v>
      </c>
      <c r="B1360" s="1" t="s">
        <v>2</v>
      </c>
      <c r="C1360" s="1">
        <v>42.360599999999998</v>
      </c>
      <c r="D1360" s="1">
        <v>-71.010599999999997</v>
      </c>
      <c r="E1360" s="5">
        <v>41549</v>
      </c>
      <c r="F1360" s="1" t="str">
        <f t="shared" si="21"/>
        <v>October</v>
      </c>
      <c r="G1360" s="1">
        <v>69</v>
      </c>
      <c r="H1360" s="1">
        <v>0</v>
      </c>
      <c r="I1360" s="1" t="str">
        <f>IF(Table1[[#This Row],[Temperature_F]]&lt;32,"Yes","No")</f>
        <v>No</v>
      </c>
      <c r="J1360" s="1" t="str" cm="1">
        <f t="array" ref="J136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60" s="1" t="str" cm="1">
        <f t="array" ref="K1360">_xlfn.IFS(
H1360=0,"No Rain",
H1360&lt;10,"Light",
H1360&lt;50,"Moderate",
TRUE,"Heavy")</f>
        <v>No Rain</v>
      </c>
      <c r="L1360" s="1" t="str">
        <f>IF(Table1[[#This Row],[Precipitation_mm]]&lt;&gt;0,"Wet","Dry")</f>
        <v>Dry</v>
      </c>
      <c r="M1360" t="b">
        <f>OR(ISBLANK(Table1[[#This Row],[Temperature_F]]),ISERROR(Table1[[#This Row],[Temperature_F]]))</f>
        <v>0</v>
      </c>
    </row>
    <row r="1361" spans="1:13" hidden="1" x14ac:dyDescent="0.25">
      <c r="A1361" s="1" t="s">
        <v>1</v>
      </c>
      <c r="B1361" s="1" t="s">
        <v>2</v>
      </c>
      <c r="C1361" s="1">
        <v>42.360599999999998</v>
      </c>
      <c r="D1361" s="1">
        <v>-71.010599999999997</v>
      </c>
      <c r="E1361" s="5">
        <v>41550</v>
      </c>
      <c r="F1361" s="1" t="str">
        <f t="shared" si="21"/>
        <v>October</v>
      </c>
      <c r="G1361" s="1">
        <v>58</v>
      </c>
      <c r="H1361" s="1">
        <v>0</v>
      </c>
      <c r="I1361" s="1" t="str">
        <f>IF(Table1[[#This Row],[Temperature_F]]&lt;32,"Yes","No")</f>
        <v>No</v>
      </c>
      <c r="J1361" s="1" t="str" cm="1">
        <f t="array" ref="J136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1" s="1" t="str" cm="1">
        <f t="array" ref="K1361">_xlfn.IFS(
H1361=0,"No Rain",
H1361&lt;10,"Light",
H1361&lt;50,"Moderate",
TRUE,"Heavy")</f>
        <v>No Rain</v>
      </c>
      <c r="L1361" s="1" t="str">
        <f>IF(Table1[[#This Row],[Precipitation_mm]]&lt;&gt;0,"Wet","Dry")</f>
        <v>Dry</v>
      </c>
      <c r="M1361" t="b">
        <f>OR(ISBLANK(Table1[[#This Row],[Temperature_F]]),ISERROR(Table1[[#This Row],[Temperature_F]]))</f>
        <v>0</v>
      </c>
    </row>
    <row r="1362" spans="1:13" hidden="1" x14ac:dyDescent="0.25">
      <c r="A1362" s="1" t="s">
        <v>1</v>
      </c>
      <c r="B1362" s="1" t="s">
        <v>2</v>
      </c>
      <c r="C1362" s="1">
        <v>42.360599999999998</v>
      </c>
      <c r="D1362" s="1">
        <v>-71.010599999999997</v>
      </c>
      <c r="E1362" s="5">
        <v>41551</v>
      </c>
      <c r="F1362" s="1" t="str">
        <f t="shared" si="21"/>
        <v>October</v>
      </c>
      <c r="G1362" s="1">
        <v>53</v>
      </c>
      <c r="H1362" s="1">
        <v>8</v>
      </c>
      <c r="I1362" s="1" t="str">
        <f>IF(Table1[[#This Row],[Temperature_F]]&lt;32,"Yes","No")</f>
        <v>No</v>
      </c>
      <c r="J1362" s="1" t="str" cm="1">
        <f t="array" ref="J136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2" s="1" t="str" cm="1">
        <f t="array" ref="K1362">_xlfn.IFS(
H1362=0,"No Rain",
H1362&lt;10,"Light",
H1362&lt;50,"Moderate",
TRUE,"Heavy")</f>
        <v>Light</v>
      </c>
      <c r="L1362" s="1" t="str">
        <f>IF(Table1[[#This Row],[Precipitation_mm]]&lt;&gt;0,"Wet","Dry")</f>
        <v>Wet</v>
      </c>
      <c r="M1362" t="b">
        <f>OR(ISBLANK(Table1[[#This Row],[Temperature_F]]),ISERROR(Table1[[#This Row],[Temperature_F]]))</f>
        <v>0</v>
      </c>
    </row>
    <row r="1363" spans="1:13" hidden="1" x14ac:dyDescent="0.25">
      <c r="A1363" s="1" t="s">
        <v>1</v>
      </c>
      <c r="B1363" s="1" t="s">
        <v>2</v>
      </c>
      <c r="C1363" s="1">
        <v>42.360599999999998</v>
      </c>
      <c r="D1363" s="1">
        <v>-71.010599999999997</v>
      </c>
      <c r="E1363" s="5">
        <v>41552</v>
      </c>
      <c r="F1363" s="1" t="str">
        <f t="shared" si="21"/>
        <v>October</v>
      </c>
      <c r="G1363" s="1">
        <v>67</v>
      </c>
      <c r="H1363" s="1">
        <v>0</v>
      </c>
      <c r="I1363" s="1" t="str">
        <f>IF(Table1[[#This Row],[Temperature_F]]&lt;32,"Yes","No")</f>
        <v>No</v>
      </c>
      <c r="J1363" s="1" t="str" cm="1">
        <f t="array" ref="J136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3" s="1" t="str" cm="1">
        <f t="array" ref="K1363">_xlfn.IFS(
H1363=0,"No Rain",
H1363&lt;10,"Light",
H1363&lt;50,"Moderate",
TRUE,"Heavy")</f>
        <v>No Rain</v>
      </c>
      <c r="L1363" s="1" t="str">
        <f>IF(Table1[[#This Row],[Precipitation_mm]]&lt;&gt;0,"Wet","Dry")</f>
        <v>Dry</v>
      </c>
      <c r="M1363" t="b">
        <f>OR(ISBLANK(Table1[[#This Row],[Temperature_F]]),ISERROR(Table1[[#This Row],[Temperature_F]]))</f>
        <v>0</v>
      </c>
    </row>
    <row r="1364" spans="1:13" x14ac:dyDescent="0.25">
      <c r="A1364" s="1" t="s">
        <v>1</v>
      </c>
      <c r="B1364" s="1" t="s">
        <v>2</v>
      </c>
      <c r="C1364" s="1">
        <v>42.360599999999998</v>
      </c>
      <c r="D1364" s="1">
        <v>-71.010599999999997</v>
      </c>
      <c r="E1364" s="5">
        <v>41553</v>
      </c>
      <c r="F1364" s="1" t="str">
        <f t="shared" si="21"/>
        <v>October</v>
      </c>
      <c r="G1364" s="1">
        <v>46</v>
      </c>
      <c r="H1364" s="1">
        <v>79</v>
      </c>
      <c r="I1364" s="1" t="str">
        <f>IF(Table1[[#This Row],[Temperature_F]]&lt;32,"Yes","No")</f>
        <v>No</v>
      </c>
      <c r="J1364" s="1" t="str" cm="1">
        <f t="array" ref="J136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64" s="1" t="str" cm="1">
        <f t="array" ref="K1364">_xlfn.IFS(
H1364=0,"No Rain",
H1364&lt;10,"Light",
H1364&lt;50,"Moderate",
TRUE,"Heavy")</f>
        <v>Heavy</v>
      </c>
      <c r="L1364" s="1" t="str">
        <f>IF(Table1[[#This Row],[Precipitation_mm]]&lt;&gt;0,"Wet","Dry")</f>
        <v>Wet</v>
      </c>
      <c r="M1364" t="b">
        <f>OR(ISBLANK(Table1[[#This Row],[Temperature_F]]),ISERROR(Table1[[#This Row],[Temperature_F]]))</f>
        <v>0</v>
      </c>
    </row>
    <row r="1365" spans="1:13" hidden="1" x14ac:dyDescent="0.25">
      <c r="A1365" s="1" t="s">
        <v>1</v>
      </c>
      <c r="B1365" s="1" t="s">
        <v>2</v>
      </c>
      <c r="C1365" s="1">
        <v>42.360599999999998</v>
      </c>
      <c r="D1365" s="1">
        <v>-71.010599999999997</v>
      </c>
      <c r="E1365" s="5">
        <v>41554</v>
      </c>
      <c r="F1365" s="1" t="str">
        <f t="shared" si="21"/>
        <v>October</v>
      </c>
      <c r="G1365" s="1">
        <v>56</v>
      </c>
      <c r="H1365" s="1">
        <v>28</v>
      </c>
      <c r="I1365" s="1" t="str">
        <f>IF(Table1[[#This Row],[Temperature_F]]&lt;32,"Yes","No")</f>
        <v>No</v>
      </c>
      <c r="J1365" s="1" t="str" cm="1">
        <f t="array" ref="J136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5" s="1" t="str" cm="1">
        <f t="array" ref="K1365">_xlfn.IFS(
H1365=0,"No Rain",
H1365&lt;10,"Light",
H1365&lt;50,"Moderate",
TRUE,"Heavy")</f>
        <v>Moderate</v>
      </c>
      <c r="L1365" s="1" t="str">
        <f>IF(Table1[[#This Row],[Precipitation_mm]]&lt;&gt;0,"Wet","Dry")</f>
        <v>Wet</v>
      </c>
      <c r="M1365" t="b">
        <f>OR(ISBLANK(Table1[[#This Row],[Temperature_F]]),ISERROR(Table1[[#This Row],[Temperature_F]]))</f>
        <v>0</v>
      </c>
    </row>
    <row r="1366" spans="1:13" hidden="1" x14ac:dyDescent="0.25">
      <c r="A1366" s="1" t="s">
        <v>1</v>
      </c>
      <c r="B1366" s="1" t="s">
        <v>2</v>
      </c>
      <c r="C1366" s="1">
        <v>42.360599999999998</v>
      </c>
      <c r="D1366" s="1">
        <v>-71.010599999999997</v>
      </c>
      <c r="E1366" s="5">
        <v>41555</v>
      </c>
      <c r="F1366" s="1" t="str">
        <f t="shared" si="21"/>
        <v>October</v>
      </c>
      <c r="G1366" s="1">
        <v>69</v>
      </c>
      <c r="H1366" s="1">
        <v>0</v>
      </c>
      <c r="I1366" s="1" t="str">
        <f>IF(Table1[[#This Row],[Temperature_F]]&lt;32,"Yes","No")</f>
        <v>No</v>
      </c>
      <c r="J1366" s="1" t="str" cm="1">
        <f t="array" ref="J136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66" s="1" t="str" cm="1">
        <f t="array" ref="K1366">_xlfn.IFS(
H1366=0,"No Rain",
H1366&lt;10,"Light",
H1366&lt;50,"Moderate",
TRUE,"Heavy")</f>
        <v>No Rain</v>
      </c>
      <c r="L1366" s="1" t="str">
        <f>IF(Table1[[#This Row],[Precipitation_mm]]&lt;&gt;0,"Wet","Dry")</f>
        <v>Dry</v>
      </c>
      <c r="M1366" t="b">
        <f>OR(ISBLANK(Table1[[#This Row],[Temperature_F]]),ISERROR(Table1[[#This Row],[Temperature_F]]))</f>
        <v>0</v>
      </c>
    </row>
    <row r="1367" spans="1:13" x14ac:dyDescent="0.25">
      <c r="A1367" s="1" t="s">
        <v>1</v>
      </c>
      <c r="B1367" s="1" t="s">
        <v>2</v>
      </c>
      <c r="C1367" s="1">
        <v>42.360599999999998</v>
      </c>
      <c r="D1367" s="1">
        <v>-71.010599999999997</v>
      </c>
      <c r="E1367" s="5">
        <v>41556</v>
      </c>
      <c r="F1367" s="1" t="str">
        <f t="shared" si="21"/>
        <v>October</v>
      </c>
      <c r="G1367" s="1">
        <v>46</v>
      </c>
      <c r="H1367" s="1">
        <v>0</v>
      </c>
      <c r="I1367" s="1" t="str">
        <f>IF(Table1[[#This Row],[Temperature_F]]&lt;32,"Yes","No")</f>
        <v>No</v>
      </c>
      <c r="J1367" s="1" t="str" cm="1">
        <f t="array" ref="J136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67" s="1" t="str" cm="1">
        <f t="array" ref="K1367">_xlfn.IFS(
H1367=0,"No Rain",
H1367&lt;10,"Light",
H1367&lt;50,"Moderate",
TRUE,"Heavy")</f>
        <v>No Rain</v>
      </c>
      <c r="L1367" s="1" t="str">
        <f>IF(Table1[[#This Row],[Precipitation_mm]]&lt;&gt;0,"Wet","Dry")</f>
        <v>Dry</v>
      </c>
      <c r="M1367" t="b">
        <f>OR(ISBLANK(Table1[[#This Row],[Temperature_F]]),ISERROR(Table1[[#This Row],[Temperature_F]]))</f>
        <v>0</v>
      </c>
    </row>
    <row r="1368" spans="1:13" hidden="1" x14ac:dyDescent="0.25">
      <c r="A1368" s="1" t="s">
        <v>1</v>
      </c>
      <c r="B1368" s="1" t="s">
        <v>2</v>
      </c>
      <c r="C1368" s="1">
        <v>42.360599999999998</v>
      </c>
      <c r="D1368" s="1">
        <v>-71.010599999999997</v>
      </c>
      <c r="E1368" s="5">
        <v>41557</v>
      </c>
      <c r="F1368" s="1" t="str">
        <f t="shared" si="21"/>
        <v>October</v>
      </c>
      <c r="G1368" s="1">
        <v>59</v>
      </c>
      <c r="H1368" s="1">
        <v>0</v>
      </c>
      <c r="I1368" s="1" t="str">
        <f>IF(Table1[[#This Row],[Temperature_F]]&lt;32,"Yes","No")</f>
        <v>No</v>
      </c>
      <c r="J1368" s="1" t="str" cm="1">
        <f t="array" ref="J136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8" s="1" t="str" cm="1">
        <f t="array" ref="K1368">_xlfn.IFS(
H1368=0,"No Rain",
H1368&lt;10,"Light",
H1368&lt;50,"Moderate",
TRUE,"Heavy")</f>
        <v>No Rain</v>
      </c>
      <c r="L1368" s="1" t="str">
        <f>IF(Table1[[#This Row],[Precipitation_mm]]&lt;&gt;0,"Wet","Dry")</f>
        <v>Dry</v>
      </c>
      <c r="M1368" t="b">
        <f>OR(ISBLANK(Table1[[#This Row],[Temperature_F]]),ISERROR(Table1[[#This Row],[Temperature_F]]))</f>
        <v>0</v>
      </c>
    </row>
    <row r="1369" spans="1:13" hidden="1" x14ac:dyDescent="0.25">
      <c r="A1369" s="1" t="s">
        <v>1</v>
      </c>
      <c r="B1369" s="1" t="s">
        <v>2</v>
      </c>
      <c r="C1369" s="1">
        <v>42.360599999999998</v>
      </c>
      <c r="D1369" s="1">
        <v>-71.010599999999997</v>
      </c>
      <c r="E1369" s="5">
        <v>41558</v>
      </c>
      <c r="F1369" s="1" t="str">
        <f t="shared" si="21"/>
        <v>October</v>
      </c>
      <c r="G1369" s="1">
        <v>67</v>
      </c>
      <c r="H1369" s="1">
        <v>0</v>
      </c>
      <c r="I1369" s="1" t="str">
        <f>IF(Table1[[#This Row],[Temperature_F]]&lt;32,"Yes","No")</f>
        <v>No</v>
      </c>
      <c r="J1369" s="1" t="str" cm="1">
        <f t="array" ref="J136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69" s="1" t="str" cm="1">
        <f t="array" ref="K1369">_xlfn.IFS(
H1369=0,"No Rain",
H1369&lt;10,"Light",
H1369&lt;50,"Moderate",
TRUE,"Heavy")</f>
        <v>No Rain</v>
      </c>
      <c r="L1369" s="1" t="str">
        <f>IF(Table1[[#This Row],[Precipitation_mm]]&lt;&gt;0,"Wet","Dry")</f>
        <v>Dry</v>
      </c>
      <c r="M1369" t="b">
        <f>OR(ISBLANK(Table1[[#This Row],[Temperature_F]]),ISERROR(Table1[[#This Row],[Temperature_F]]))</f>
        <v>0</v>
      </c>
    </row>
    <row r="1370" spans="1:13" hidden="1" x14ac:dyDescent="0.25">
      <c r="A1370" s="1" t="s">
        <v>1</v>
      </c>
      <c r="B1370" s="1" t="s">
        <v>2</v>
      </c>
      <c r="C1370" s="1">
        <v>42.360599999999998</v>
      </c>
      <c r="D1370" s="1">
        <v>-71.010599999999997</v>
      </c>
      <c r="E1370" s="5">
        <v>41559</v>
      </c>
      <c r="F1370" s="1" t="str">
        <f t="shared" si="21"/>
        <v>October</v>
      </c>
      <c r="G1370" s="1">
        <v>68</v>
      </c>
      <c r="H1370" s="1">
        <v>0</v>
      </c>
      <c r="I1370" s="1" t="str">
        <f>IF(Table1[[#This Row],[Temperature_F]]&lt;32,"Yes","No")</f>
        <v>No</v>
      </c>
      <c r="J1370" s="1" t="str" cm="1">
        <f t="array" ref="J137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0" s="1" t="str" cm="1">
        <f t="array" ref="K1370">_xlfn.IFS(
H1370=0,"No Rain",
H1370&lt;10,"Light",
H1370&lt;50,"Moderate",
TRUE,"Heavy")</f>
        <v>No Rain</v>
      </c>
      <c r="L1370" s="1" t="str">
        <f>IF(Table1[[#This Row],[Precipitation_mm]]&lt;&gt;0,"Wet","Dry")</f>
        <v>Dry</v>
      </c>
      <c r="M1370" t="b">
        <f>OR(ISBLANK(Table1[[#This Row],[Temperature_F]]),ISERROR(Table1[[#This Row],[Temperature_F]]))</f>
        <v>0</v>
      </c>
    </row>
    <row r="1371" spans="1:13" hidden="1" x14ac:dyDescent="0.25">
      <c r="A1371" s="1" t="s">
        <v>1</v>
      </c>
      <c r="B1371" s="1" t="s">
        <v>2</v>
      </c>
      <c r="C1371" s="1">
        <v>42.360599999999998</v>
      </c>
      <c r="D1371" s="1">
        <v>-71.010599999999997</v>
      </c>
      <c r="E1371" s="5">
        <v>41560</v>
      </c>
      <c r="F1371" s="1" t="str">
        <f t="shared" si="21"/>
        <v>October</v>
      </c>
      <c r="G1371" s="1">
        <v>61</v>
      </c>
      <c r="H1371" s="1">
        <v>0</v>
      </c>
      <c r="I1371" s="1" t="str">
        <f>IF(Table1[[#This Row],[Temperature_F]]&lt;32,"Yes","No")</f>
        <v>No</v>
      </c>
      <c r="J1371" s="1" t="str" cm="1">
        <f t="array" ref="J137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1" s="1" t="str" cm="1">
        <f t="array" ref="K1371">_xlfn.IFS(
H1371=0,"No Rain",
H1371&lt;10,"Light",
H1371&lt;50,"Moderate",
TRUE,"Heavy")</f>
        <v>No Rain</v>
      </c>
      <c r="L1371" s="1" t="str">
        <f>IF(Table1[[#This Row],[Precipitation_mm]]&lt;&gt;0,"Wet","Dry")</f>
        <v>Dry</v>
      </c>
      <c r="M1371" t="b">
        <f>OR(ISBLANK(Table1[[#This Row],[Temperature_F]]),ISERROR(Table1[[#This Row],[Temperature_F]]))</f>
        <v>0</v>
      </c>
    </row>
    <row r="1372" spans="1:13" hidden="1" x14ac:dyDescent="0.25">
      <c r="A1372" s="1" t="s">
        <v>1</v>
      </c>
      <c r="B1372" s="1" t="s">
        <v>2</v>
      </c>
      <c r="C1372" s="1">
        <v>42.360599999999998</v>
      </c>
      <c r="D1372" s="1">
        <v>-71.010599999999997</v>
      </c>
      <c r="E1372" s="5">
        <v>41561</v>
      </c>
      <c r="F1372" s="1" t="str">
        <f t="shared" si="21"/>
        <v>October</v>
      </c>
      <c r="G1372" s="1">
        <v>57</v>
      </c>
      <c r="H1372" s="1">
        <v>0</v>
      </c>
      <c r="I1372" s="1" t="str">
        <f>IF(Table1[[#This Row],[Temperature_F]]&lt;32,"Yes","No")</f>
        <v>No</v>
      </c>
      <c r="J1372" s="1" t="str" cm="1">
        <f t="array" ref="J137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2" s="1" t="str" cm="1">
        <f t="array" ref="K1372">_xlfn.IFS(
H1372=0,"No Rain",
H1372&lt;10,"Light",
H1372&lt;50,"Moderate",
TRUE,"Heavy")</f>
        <v>No Rain</v>
      </c>
      <c r="L1372" s="1" t="str">
        <f>IF(Table1[[#This Row],[Precipitation_mm]]&lt;&gt;0,"Wet","Dry")</f>
        <v>Dry</v>
      </c>
      <c r="M1372" t="b">
        <f>OR(ISBLANK(Table1[[#This Row],[Temperature_F]]),ISERROR(Table1[[#This Row],[Temperature_F]]))</f>
        <v>0</v>
      </c>
    </row>
    <row r="1373" spans="1:13" x14ac:dyDescent="0.25">
      <c r="A1373" s="1" t="s">
        <v>1</v>
      </c>
      <c r="B1373" s="1" t="s">
        <v>2</v>
      </c>
      <c r="C1373" s="1">
        <v>42.360599999999998</v>
      </c>
      <c r="D1373" s="1">
        <v>-71.010599999999997</v>
      </c>
      <c r="E1373" s="5">
        <v>41562</v>
      </c>
      <c r="F1373" s="1" t="str">
        <f t="shared" si="21"/>
        <v>October</v>
      </c>
      <c r="G1373" s="1">
        <v>48</v>
      </c>
      <c r="H1373" s="1">
        <v>0</v>
      </c>
      <c r="I1373" s="1" t="str">
        <f>IF(Table1[[#This Row],[Temperature_F]]&lt;32,"Yes","No")</f>
        <v>No</v>
      </c>
      <c r="J1373" s="1" t="str" cm="1">
        <f t="array" ref="J137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73" s="1" t="str" cm="1">
        <f t="array" ref="K1373">_xlfn.IFS(
H1373=0,"No Rain",
H1373&lt;10,"Light",
H1373&lt;50,"Moderate",
TRUE,"Heavy")</f>
        <v>No Rain</v>
      </c>
      <c r="L1373" s="1" t="str">
        <f>IF(Table1[[#This Row],[Precipitation_mm]]&lt;&gt;0,"Wet","Dry")</f>
        <v>Dry</v>
      </c>
      <c r="M1373" t="b">
        <f>OR(ISBLANK(Table1[[#This Row],[Temperature_F]]),ISERROR(Table1[[#This Row],[Temperature_F]]))</f>
        <v>0</v>
      </c>
    </row>
    <row r="1374" spans="1:13" hidden="1" x14ac:dyDescent="0.25">
      <c r="A1374" s="1" t="s">
        <v>1</v>
      </c>
      <c r="B1374" s="1" t="s">
        <v>2</v>
      </c>
      <c r="C1374" s="1">
        <v>42.360599999999998</v>
      </c>
      <c r="D1374" s="1">
        <v>-71.010599999999997</v>
      </c>
      <c r="E1374" s="5">
        <v>41563</v>
      </c>
      <c r="F1374" s="1" t="str">
        <f t="shared" si="21"/>
        <v>October</v>
      </c>
      <c r="G1374" s="1">
        <v>52</v>
      </c>
      <c r="H1374" s="1">
        <v>0</v>
      </c>
      <c r="I1374" s="1" t="str">
        <f>IF(Table1[[#This Row],[Temperature_F]]&lt;32,"Yes","No")</f>
        <v>No</v>
      </c>
      <c r="J1374" s="1" t="str" cm="1">
        <f t="array" ref="J137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4" s="1" t="str" cm="1">
        <f t="array" ref="K1374">_xlfn.IFS(
H1374=0,"No Rain",
H1374&lt;10,"Light",
H1374&lt;50,"Moderate",
TRUE,"Heavy")</f>
        <v>No Rain</v>
      </c>
      <c r="L1374" s="1" t="str">
        <f>IF(Table1[[#This Row],[Precipitation_mm]]&lt;&gt;0,"Wet","Dry")</f>
        <v>Dry</v>
      </c>
      <c r="M1374" t="b">
        <f>OR(ISBLANK(Table1[[#This Row],[Temperature_F]]),ISERROR(Table1[[#This Row],[Temperature_F]]))</f>
        <v>0</v>
      </c>
    </row>
    <row r="1375" spans="1:13" hidden="1" x14ac:dyDescent="0.25">
      <c r="A1375" s="1" t="s">
        <v>1</v>
      </c>
      <c r="B1375" s="1" t="s">
        <v>2</v>
      </c>
      <c r="C1375" s="1">
        <v>42.360599999999998</v>
      </c>
      <c r="D1375" s="1">
        <v>-71.010599999999997</v>
      </c>
      <c r="E1375" s="5">
        <v>41564</v>
      </c>
      <c r="F1375" s="1" t="str">
        <f t="shared" si="21"/>
        <v>October</v>
      </c>
      <c r="G1375" s="1">
        <v>64</v>
      </c>
      <c r="H1375" s="1">
        <v>8</v>
      </c>
      <c r="I1375" s="1" t="str">
        <f>IF(Table1[[#This Row],[Temperature_F]]&lt;32,"Yes","No")</f>
        <v>No</v>
      </c>
      <c r="J1375" s="1" t="str" cm="1">
        <f t="array" ref="J137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5" s="1" t="str" cm="1">
        <f t="array" ref="K1375">_xlfn.IFS(
H1375=0,"No Rain",
H1375&lt;10,"Light",
H1375&lt;50,"Moderate",
TRUE,"Heavy")</f>
        <v>Light</v>
      </c>
      <c r="L1375" s="1" t="str">
        <f>IF(Table1[[#This Row],[Precipitation_mm]]&lt;&gt;0,"Wet","Dry")</f>
        <v>Wet</v>
      </c>
      <c r="M1375" t="b">
        <f>OR(ISBLANK(Table1[[#This Row],[Temperature_F]]),ISERROR(Table1[[#This Row],[Temperature_F]]))</f>
        <v>0</v>
      </c>
    </row>
    <row r="1376" spans="1:13" hidden="1" x14ac:dyDescent="0.25">
      <c r="A1376" s="1" t="s">
        <v>1</v>
      </c>
      <c r="B1376" s="1" t="s">
        <v>2</v>
      </c>
      <c r="C1376" s="1">
        <v>42.360599999999998</v>
      </c>
      <c r="D1376" s="1">
        <v>-71.010599999999997</v>
      </c>
      <c r="E1376" s="5">
        <v>41565</v>
      </c>
      <c r="F1376" s="1" t="str">
        <f t="shared" si="21"/>
        <v>October</v>
      </c>
      <c r="G1376" s="1">
        <v>55</v>
      </c>
      <c r="H1376" s="1">
        <v>5</v>
      </c>
      <c r="I1376" s="1" t="str">
        <f>IF(Table1[[#This Row],[Temperature_F]]&lt;32,"Yes","No")</f>
        <v>No</v>
      </c>
      <c r="J1376" s="1" t="str" cm="1">
        <f t="array" ref="J137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6" s="1" t="str" cm="1">
        <f t="array" ref="K1376">_xlfn.IFS(
H1376=0,"No Rain",
H1376&lt;10,"Light",
H1376&lt;50,"Moderate",
TRUE,"Heavy")</f>
        <v>Light</v>
      </c>
      <c r="L1376" s="1" t="str">
        <f>IF(Table1[[#This Row],[Precipitation_mm]]&lt;&gt;0,"Wet","Dry")</f>
        <v>Wet</v>
      </c>
      <c r="M1376" t="b">
        <f>OR(ISBLANK(Table1[[#This Row],[Temperature_F]]),ISERROR(Table1[[#This Row],[Temperature_F]]))</f>
        <v>0</v>
      </c>
    </row>
    <row r="1377" spans="1:13" x14ac:dyDescent="0.25">
      <c r="A1377" s="1" t="s">
        <v>1</v>
      </c>
      <c r="B1377" s="1" t="s">
        <v>2</v>
      </c>
      <c r="C1377" s="1">
        <v>42.360599999999998</v>
      </c>
      <c r="D1377" s="1">
        <v>-71.010599999999997</v>
      </c>
      <c r="E1377" s="5">
        <v>41566</v>
      </c>
      <c r="F1377" s="1" t="str">
        <f t="shared" si="21"/>
        <v>October</v>
      </c>
      <c r="G1377" s="1">
        <v>41</v>
      </c>
      <c r="H1377" s="1">
        <v>0</v>
      </c>
      <c r="I1377" s="1" t="str">
        <f>IF(Table1[[#This Row],[Temperature_F]]&lt;32,"Yes","No")</f>
        <v>No</v>
      </c>
      <c r="J1377" s="1" t="str" cm="1">
        <f t="array" ref="J137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77" s="1" t="str" cm="1">
        <f t="array" ref="K1377">_xlfn.IFS(
H1377=0,"No Rain",
H1377&lt;10,"Light",
H1377&lt;50,"Moderate",
TRUE,"Heavy")</f>
        <v>No Rain</v>
      </c>
      <c r="L1377" s="1" t="str">
        <f>IF(Table1[[#This Row],[Precipitation_mm]]&lt;&gt;0,"Wet","Dry")</f>
        <v>Dry</v>
      </c>
      <c r="M1377" t="b">
        <f>OR(ISBLANK(Table1[[#This Row],[Temperature_F]]),ISERROR(Table1[[#This Row],[Temperature_F]]))</f>
        <v>0</v>
      </c>
    </row>
    <row r="1378" spans="1:13" x14ac:dyDescent="0.25">
      <c r="A1378" s="1" t="s">
        <v>1</v>
      </c>
      <c r="B1378" s="1" t="s">
        <v>2</v>
      </c>
      <c r="C1378" s="1">
        <v>42.360599999999998</v>
      </c>
      <c r="D1378" s="1">
        <v>-71.010599999999997</v>
      </c>
      <c r="E1378" s="5">
        <v>41567</v>
      </c>
      <c r="F1378" s="1" t="str">
        <f t="shared" si="21"/>
        <v>October</v>
      </c>
      <c r="G1378" s="1">
        <v>44</v>
      </c>
      <c r="H1378" s="1">
        <v>0</v>
      </c>
      <c r="I1378" s="1" t="str">
        <f>IF(Table1[[#This Row],[Temperature_F]]&lt;32,"Yes","No")</f>
        <v>No</v>
      </c>
      <c r="J1378" s="1" t="str" cm="1">
        <f t="array" ref="J137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78" s="1" t="str" cm="1">
        <f t="array" ref="K1378">_xlfn.IFS(
H1378=0,"No Rain",
H1378&lt;10,"Light",
H1378&lt;50,"Moderate",
TRUE,"Heavy")</f>
        <v>No Rain</v>
      </c>
      <c r="L1378" s="1" t="str">
        <f>IF(Table1[[#This Row],[Precipitation_mm]]&lt;&gt;0,"Wet","Dry")</f>
        <v>Dry</v>
      </c>
      <c r="M1378" t="b">
        <f>OR(ISBLANK(Table1[[#This Row],[Temperature_F]]),ISERROR(Table1[[#This Row],[Temperature_F]]))</f>
        <v>0</v>
      </c>
    </row>
    <row r="1379" spans="1:13" hidden="1" x14ac:dyDescent="0.25">
      <c r="A1379" s="1" t="s">
        <v>1</v>
      </c>
      <c r="B1379" s="1" t="s">
        <v>2</v>
      </c>
      <c r="C1379" s="1">
        <v>42.360599999999998</v>
      </c>
      <c r="D1379" s="1">
        <v>-71.010599999999997</v>
      </c>
      <c r="E1379" s="5">
        <v>41568</v>
      </c>
      <c r="F1379" s="1" t="str">
        <f t="shared" si="21"/>
        <v>October</v>
      </c>
      <c r="G1379" s="1">
        <v>53</v>
      </c>
      <c r="H1379" s="1">
        <v>0</v>
      </c>
      <c r="I1379" s="1" t="str">
        <f>IF(Table1[[#This Row],[Temperature_F]]&lt;32,"Yes","No")</f>
        <v>No</v>
      </c>
      <c r="J1379" s="1" t="str" cm="1">
        <f t="array" ref="J137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79" s="1" t="str" cm="1">
        <f t="array" ref="K1379">_xlfn.IFS(
H1379=0,"No Rain",
H1379&lt;10,"Light",
H1379&lt;50,"Moderate",
TRUE,"Heavy")</f>
        <v>No Rain</v>
      </c>
      <c r="L1379" s="1" t="str">
        <f>IF(Table1[[#This Row],[Precipitation_mm]]&lt;&gt;0,"Wet","Dry")</f>
        <v>Dry</v>
      </c>
      <c r="M1379" t="b">
        <f>OR(ISBLANK(Table1[[#This Row],[Temperature_F]]),ISERROR(Table1[[#This Row],[Temperature_F]]))</f>
        <v>0</v>
      </c>
    </row>
    <row r="1380" spans="1:13" x14ac:dyDescent="0.25">
      <c r="A1380" s="1" t="s">
        <v>1</v>
      </c>
      <c r="B1380" s="1" t="s">
        <v>2</v>
      </c>
      <c r="C1380" s="1">
        <v>42.360599999999998</v>
      </c>
      <c r="D1380" s="1">
        <v>-71.010599999999997</v>
      </c>
      <c r="E1380" s="5">
        <v>41569</v>
      </c>
      <c r="F1380" s="1" t="str">
        <f t="shared" si="21"/>
        <v>October</v>
      </c>
      <c r="G1380" s="1">
        <v>47</v>
      </c>
      <c r="H1380" s="1">
        <v>0</v>
      </c>
      <c r="I1380" s="1" t="str">
        <f>IF(Table1[[#This Row],[Temperature_F]]&lt;32,"Yes","No")</f>
        <v>No</v>
      </c>
      <c r="J1380" s="1" t="str" cm="1">
        <f t="array" ref="J138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80" s="1" t="str" cm="1">
        <f t="array" ref="K1380">_xlfn.IFS(
H1380=0,"No Rain",
H1380&lt;10,"Light",
H1380&lt;50,"Moderate",
TRUE,"Heavy")</f>
        <v>No Rain</v>
      </c>
      <c r="L1380" s="1" t="str">
        <f>IF(Table1[[#This Row],[Precipitation_mm]]&lt;&gt;0,"Wet","Dry")</f>
        <v>Dry</v>
      </c>
      <c r="M1380" t="b">
        <f>OR(ISBLANK(Table1[[#This Row],[Temperature_F]]),ISERROR(Table1[[#This Row],[Temperature_F]]))</f>
        <v>0</v>
      </c>
    </row>
    <row r="1381" spans="1:13" hidden="1" x14ac:dyDescent="0.25">
      <c r="A1381" s="1" t="s">
        <v>1</v>
      </c>
      <c r="B1381" s="1" t="s">
        <v>2</v>
      </c>
      <c r="C1381" s="1">
        <v>42.360599999999998</v>
      </c>
      <c r="D1381" s="1">
        <v>-71.010599999999997</v>
      </c>
      <c r="E1381" s="5">
        <v>41570</v>
      </c>
      <c r="F1381" s="1" t="str">
        <f t="shared" si="21"/>
        <v>October</v>
      </c>
      <c r="G1381" s="1">
        <v>59</v>
      </c>
      <c r="H1381" s="1">
        <v>0</v>
      </c>
      <c r="I1381" s="1" t="str">
        <f>IF(Table1[[#This Row],[Temperature_F]]&lt;32,"Yes","No")</f>
        <v>No</v>
      </c>
      <c r="J1381" s="1" t="str" cm="1">
        <f t="array" ref="J138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1" s="1" t="str" cm="1">
        <f t="array" ref="K1381">_xlfn.IFS(
H1381=0,"No Rain",
H1381&lt;10,"Light",
H1381&lt;50,"Moderate",
TRUE,"Heavy")</f>
        <v>No Rain</v>
      </c>
      <c r="L1381" s="1" t="str">
        <f>IF(Table1[[#This Row],[Precipitation_mm]]&lt;&gt;0,"Wet","Dry")</f>
        <v>Dry</v>
      </c>
      <c r="M1381" t="b">
        <f>OR(ISBLANK(Table1[[#This Row],[Temperature_F]]),ISERROR(Table1[[#This Row],[Temperature_F]]))</f>
        <v>0</v>
      </c>
    </row>
    <row r="1382" spans="1:13" x14ac:dyDescent="0.25">
      <c r="A1382" s="1" t="s">
        <v>1</v>
      </c>
      <c r="B1382" s="1" t="s">
        <v>2</v>
      </c>
      <c r="C1382" s="1">
        <v>42.360599999999998</v>
      </c>
      <c r="D1382" s="1">
        <v>-71.010599999999997</v>
      </c>
      <c r="E1382" s="5">
        <v>41571</v>
      </c>
      <c r="F1382" s="1" t="str">
        <f t="shared" si="21"/>
        <v>October</v>
      </c>
      <c r="G1382" s="1">
        <v>48</v>
      </c>
      <c r="H1382" s="1">
        <v>0</v>
      </c>
      <c r="I1382" s="1" t="str">
        <f>IF(Table1[[#This Row],[Temperature_F]]&lt;32,"Yes","No")</f>
        <v>No</v>
      </c>
      <c r="J1382" s="1" t="str" cm="1">
        <f t="array" ref="J138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82" s="1" t="str" cm="1">
        <f t="array" ref="K1382">_xlfn.IFS(
H1382=0,"No Rain",
H1382&lt;10,"Light",
H1382&lt;50,"Moderate",
TRUE,"Heavy")</f>
        <v>No Rain</v>
      </c>
      <c r="L1382" s="1" t="str">
        <f>IF(Table1[[#This Row],[Precipitation_mm]]&lt;&gt;0,"Wet","Dry")</f>
        <v>Dry</v>
      </c>
      <c r="M1382" t="b">
        <f>OR(ISBLANK(Table1[[#This Row],[Temperature_F]]),ISERROR(Table1[[#This Row],[Temperature_F]]))</f>
        <v>0</v>
      </c>
    </row>
    <row r="1383" spans="1:13" hidden="1" x14ac:dyDescent="0.25">
      <c r="A1383" s="1" t="s">
        <v>1</v>
      </c>
      <c r="B1383" s="1" t="s">
        <v>2</v>
      </c>
      <c r="C1383" s="1">
        <v>42.360599999999998</v>
      </c>
      <c r="D1383" s="1">
        <v>-71.010599999999997</v>
      </c>
      <c r="E1383" s="5">
        <v>41572</v>
      </c>
      <c r="F1383" s="1" t="str">
        <f t="shared" si="21"/>
        <v>October</v>
      </c>
      <c r="G1383" s="1">
        <v>54</v>
      </c>
      <c r="H1383" s="1">
        <v>0</v>
      </c>
      <c r="I1383" s="1" t="str">
        <f>IF(Table1[[#This Row],[Temperature_F]]&lt;32,"Yes","No")</f>
        <v>No</v>
      </c>
      <c r="J1383" s="1" t="str" cm="1">
        <f t="array" ref="J138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3" s="1" t="str" cm="1">
        <f t="array" ref="K1383">_xlfn.IFS(
H1383=0,"No Rain",
H1383&lt;10,"Light",
H1383&lt;50,"Moderate",
TRUE,"Heavy")</f>
        <v>No Rain</v>
      </c>
      <c r="L1383" s="1" t="str">
        <f>IF(Table1[[#This Row],[Precipitation_mm]]&lt;&gt;0,"Wet","Dry")</f>
        <v>Dry</v>
      </c>
      <c r="M1383" t="b">
        <f>OR(ISBLANK(Table1[[#This Row],[Temperature_F]]),ISERROR(Table1[[#This Row],[Temperature_F]]))</f>
        <v>0</v>
      </c>
    </row>
    <row r="1384" spans="1:13" hidden="1" x14ac:dyDescent="0.25">
      <c r="A1384" s="1" t="s">
        <v>1</v>
      </c>
      <c r="B1384" s="1" t="s">
        <v>2</v>
      </c>
      <c r="C1384" s="1">
        <v>42.360599999999998</v>
      </c>
      <c r="D1384" s="1">
        <v>-71.010599999999997</v>
      </c>
      <c r="E1384" s="5">
        <v>41573</v>
      </c>
      <c r="F1384" s="1" t="str">
        <f t="shared" si="21"/>
        <v>October</v>
      </c>
      <c r="G1384" s="1">
        <v>63</v>
      </c>
      <c r="H1384" s="1">
        <v>0</v>
      </c>
      <c r="I1384" s="1" t="str">
        <f>IF(Table1[[#This Row],[Temperature_F]]&lt;32,"Yes","No")</f>
        <v>No</v>
      </c>
      <c r="J1384" s="1" t="str" cm="1">
        <f t="array" ref="J138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4" s="1" t="str" cm="1">
        <f t="array" ref="K1384">_xlfn.IFS(
H1384=0,"No Rain",
H1384&lt;10,"Light",
H1384&lt;50,"Moderate",
TRUE,"Heavy")</f>
        <v>No Rain</v>
      </c>
      <c r="L1384" s="1" t="str">
        <f>IF(Table1[[#This Row],[Precipitation_mm]]&lt;&gt;0,"Wet","Dry")</f>
        <v>Dry</v>
      </c>
      <c r="M1384" t="b">
        <f>OR(ISBLANK(Table1[[#This Row],[Temperature_F]]),ISERROR(Table1[[#This Row],[Temperature_F]]))</f>
        <v>0</v>
      </c>
    </row>
    <row r="1385" spans="1:13" hidden="1" x14ac:dyDescent="0.25">
      <c r="A1385" s="1" t="s">
        <v>1</v>
      </c>
      <c r="B1385" s="1" t="s">
        <v>2</v>
      </c>
      <c r="C1385" s="1">
        <v>42.360599999999998</v>
      </c>
      <c r="D1385" s="1">
        <v>-71.010599999999997</v>
      </c>
      <c r="E1385" s="5">
        <v>41574</v>
      </c>
      <c r="F1385" s="1" t="str">
        <f t="shared" si="21"/>
        <v>October</v>
      </c>
      <c r="G1385" s="1">
        <v>61</v>
      </c>
      <c r="H1385" s="1">
        <v>8</v>
      </c>
      <c r="I1385" s="1" t="str">
        <f>IF(Table1[[#This Row],[Temperature_F]]&lt;32,"Yes","No")</f>
        <v>No</v>
      </c>
      <c r="J1385" s="1" t="str" cm="1">
        <f t="array" ref="J138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5" s="1" t="str" cm="1">
        <f t="array" ref="K1385">_xlfn.IFS(
H1385=0,"No Rain",
H1385&lt;10,"Light",
H1385&lt;50,"Moderate",
TRUE,"Heavy")</f>
        <v>Light</v>
      </c>
      <c r="L1385" s="1" t="str">
        <f>IF(Table1[[#This Row],[Precipitation_mm]]&lt;&gt;0,"Wet","Dry")</f>
        <v>Wet</v>
      </c>
      <c r="M1385" t="b">
        <f>OR(ISBLANK(Table1[[#This Row],[Temperature_F]]),ISERROR(Table1[[#This Row],[Temperature_F]]))</f>
        <v>0</v>
      </c>
    </row>
    <row r="1386" spans="1:13" hidden="1" x14ac:dyDescent="0.25">
      <c r="A1386" s="1" t="s">
        <v>1</v>
      </c>
      <c r="B1386" s="1" t="s">
        <v>2</v>
      </c>
      <c r="C1386" s="1">
        <v>42.360599999999998</v>
      </c>
      <c r="D1386" s="1">
        <v>-71.010599999999997</v>
      </c>
      <c r="E1386" s="5">
        <v>41575</v>
      </c>
      <c r="F1386" s="1" t="str">
        <f t="shared" si="21"/>
        <v>October</v>
      </c>
      <c r="G1386" s="1">
        <v>67</v>
      </c>
      <c r="H1386" s="1">
        <v>0</v>
      </c>
      <c r="I1386" s="1" t="str">
        <f>IF(Table1[[#This Row],[Temperature_F]]&lt;32,"Yes","No")</f>
        <v>No</v>
      </c>
      <c r="J1386" s="1" t="str" cm="1">
        <f t="array" ref="J138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6" s="1" t="str" cm="1">
        <f t="array" ref="K1386">_xlfn.IFS(
H1386=0,"No Rain",
H1386&lt;10,"Light",
H1386&lt;50,"Moderate",
TRUE,"Heavy")</f>
        <v>No Rain</v>
      </c>
      <c r="L1386" s="1" t="str">
        <f>IF(Table1[[#This Row],[Precipitation_mm]]&lt;&gt;0,"Wet","Dry")</f>
        <v>Dry</v>
      </c>
      <c r="M1386" t="b">
        <f>OR(ISBLANK(Table1[[#This Row],[Temperature_F]]),ISERROR(Table1[[#This Row],[Temperature_F]]))</f>
        <v>0</v>
      </c>
    </row>
    <row r="1387" spans="1:13" x14ac:dyDescent="0.25">
      <c r="A1387" s="1" t="s">
        <v>1</v>
      </c>
      <c r="B1387" s="1" t="s">
        <v>2</v>
      </c>
      <c r="C1387" s="1">
        <v>42.360599999999998</v>
      </c>
      <c r="D1387" s="1">
        <v>-71.010599999999997</v>
      </c>
      <c r="E1387" s="5">
        <v>41576</v>
      </c>
      <c r="F1387" s="1" t="str">
        <f t="shared" si="21"/>
        <v>October</v>
      </c>
      <c r="G1387" s="1">
        <v>46</v>
      </c>
      <c r="H1387" s="1">
        <v>0</v>
      </c>
      <c r="I1387" s="1" t="str">
        <f>IF(Table1[[#This Row],[Temperature_F]]&lt;32,"Yes","No")</f>
        <v>No</v>
      </c>
      <c r="J1387" s="1" t="str" cm="1">
        <f t="array" ref="J138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87" s="1" t="str" cm="1">
        <f t="array" ref="K1387">_xlfn.IFS(
H1387=0,"No Rain",
H1387&lt;10,"Light",
H1387&lt;50,"Moderate",
TRUE,"Heavy")</f>
        <v>No Rain</v>
      </c>
      <c r="L1387" s="1" t="str">
        <f>IF(Table1[[#This Row],[Precipitation_mm]]&lt;&gt;0,"Wet","Dry")</f>
        <v>Dry</v>
      </c>
      <c r="M1387" t="b">
        <f>OR(ISBLANK(Table1[[#This Row],[Temperature_F]]),ISERROR(Table1[[#This Row],[Temperature_F]]))</f>
        <v>0</v>
      </c>
    </row>
    <row r="1388" spans="1:13" hidden="1" x14ac:dyDescent="0.25">
      <c r="A1388" s="1" t="s">
        <v>1</v>
      </c>
      <c r="B1388" s="1" t="s">
        <v>2</v>
      </c>
      <c r="C1388" s="1">
        <v>42.360599999999998</v>
      </c>
      <c r="D1388" s="1">
        <v>-71.010599999999997</v>
      </c>
      <c r="E1388" s="5">
        <v>41577</v>
      </c>
      <c r="F1388" s="1" t="str">
        <f t="shared" si="21"/>
        <v>October</v>
      </c>
      <c r="G1388" s="1">
        <v>54</v>
      </c>
      <c r="H1388" s="1">
        <v>13</v>
      </c>
      <c r="I1388" s="1" t="str">
        <f>IF(Table1[[#This Row],[Temperature_F]]&lt;32,"Yes","No")</f>
        <v>No</v>
      </c>
      <c r="J1388" s="1" t="str" cm="1">
        <f t="array" ref="J138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8" s="1" t="str" cm="1">
        <f t="array" ref="K1388">_xlfn.IFS(
H1388=0,"No Rain",
H1388&lt;10,"Light",
H1388&lt;50,"Moderate",
TRUE,"Heavy")</f>
        <v>Moderate</v>
      </c>
      <c r="L1388" s="1" t="str">
        <f>IF(Table1[[#This Row],[Precipitation_mm]]&lt;&gt;0,"Wet","Dry")</f>
        <v>Wet</v>
      </c>
      <c r="M1388" t="b">
        <f>OR(ISBLANK(Table1[[#This Row],[Temperature_F]]),ISERROR(Table1[[#This Row],[Temperature_F]]))</f>
        <v>0</v>
      </c>
    </row>
    <row r="1389" spans="1:13" hidden="1" x14ac:dyDescent="0.25">
      <c r="A1389" s="1" t="s">
        <v>1</v>
      </c>
      <c r="B1389" s="1" t="s">
        <v>2</v>
      </c>
      <c r="C1389" s="1">
        <v>42.360599999999998</v>
      </c>
      <c r="D1389" s="1">
        <v>-71.010599999999997</v>
      </c>
      <c r="E1389" s="5">
        <v>41578</v>
      </c>
      <c r="F1389" s="1" t="str">
        <f t="shared" si="21"/>
        <v>October</v>
      </c>
      <c r="G1389" s="1">
        <v>58</v>
      </c>
      <c r="H1389" s="1">
        <v>8</v>
      </c>
      <c r="I1389" s="1" t="str">
        <f>IF(Table1[[#This Row],[Temperature_F]]&lt;32,"Yes","No")</f>
        <v>No</v>
      </c>
      <c r="J1389" s="1" t="str" cm="1">
        <f t="array" ref="J138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89" s="1" t="str" cm="1">
        <f t="array" ref="K1389">_xlfn.IFS(
H1389=0,"No Rain",
H1389&lt;10,"Light",
H1389&lt;50,"Moderate",
TRUE,"Heavy")</f>
        <v>Light</v>
      </c>
      <c r="L1389" s="1" t="str">
        <f>IF(Table1[[#This Row],[Precipitation_mm]]&lt;&gt;0,"Wet","Dry")</f>
        <v>Wet</v>
      </c>
      <c r="M1389" t="b">
        <f>OR(ISBLANK(Table1[[#This Row],[Temperature_F]]),ISERROR(Table1[[#This Row],[Temperature_F]]))</f>
        <v>0</v>
      </c>
    </row>
    <row r="1390" spans="1:13" hidden="1" x14ac:dyDescent="0.25">
      <c r="A1390" s="1" t="s">
        <v>1</v>
      </c>
      <c r="B1390" s="1" t="s">
        <v>2</v>
      </c>
      <c r="C1390" s="1">
        <v>42.360599999999998</v>
      </c>
      <c r="D1390" s="1">
        <v>-71.010599999999997</v>
      </c>
      <c r="E1390" s="5">
        <v>41579</v>
      </c>
      <c r="F1390" s="1" t="str">
        <f t="shared" si="21"/>
        <v>November</v>
      </c>
      <c r="G1390" s="1">
        <v>70</v>
      </c>
      <c r="H1390" s="1">
        <v>8</v>
      </c>
      <c r="I1390" s="1" t="str">
        <f>IF(Table1[[#This Row],[Temperature_F]]&lt;32,"Yes","No")</f>
        <v>No</v>
      </c>
      <c r="J1390" s="1" t="str" cm="1">
        <f t="array" ref="J139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390" s="1" t="str" cm="1">
        <f t="array" ref="K1390">_xlfn.IFS(
H1390=0,"No Rain",
H1390&lt;10,"Light",
H1390&lt;50,"Moderate",
TRUE,"Heavy")</f>
        <v>Light</v>
      </c>
      <c r="L1390" s="1" t="str">
        <f>IF(Table1[[#This Row],[Precipitation_mm]]&lt;&gt;0,"Wet","Dry")</f>
        <v>Wet</v>
      </c>
      <c r="M1390" t="b">
        <f>OR(ISBLANK(Table1[[#This Row],[Temperature_F]]),ISERROR(Table1[[#This Row],[Temperature_F]]))</f>
        <v>0</v>
      </c>
    </row>
    <row r="1391" spans="1:13" hidden="1" x14ac:dyDescent="0.25">
      <c r="A1391" s="1" t="s">
        <v>1</v>
      </c>
      <c r="B1391" s="1" t="s">
        <v>2</v>
      </c>
      <c r="C1391" s="1">
        <v>42.360599999999998</v>
      </c>
      <c r="D1391" s="1">
        <v>-71.010599999999997</v>
      </c>
      <c r="E1391" s="5">
        <v>41580</v>
      </c>
      <c r="F1391" s="1" t="str">
        <f t="shared" si="21"/>
        <v>November</v>
      </c>
      <c r="G1391" s="1">
        <v>67</v>
      </c>
      <c r="H1391" s="1">
        <v>0</v>
      </c>
      <c r="I1391" s="1" t="str">
        <f>IF(Table1[[#This Row],[Temperature_F]]&lt;32,"Yes","No")</f>
        <v>No</v>
      </c>
      <c r="J1391" s="1" t="str" cm="1">
        <f t="array" ref="J139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1" s="1" t="str" cm="1">
        <f t="array" ref="K1391">_xlfn.IFS(
H1391=0,"No Rain",
H1391&lt;10,"Light",
H1391&lt;50,"Moderate",
TRUE,"Heavy")</f>
        <v>No Rain</v>
      </c>
      <c r="L1391" s="1" t="str">
        <f>IF(Table1[[#This Row],[Precipitation_mm]]&lt;&gt;0,"Wet","Dry")</f>
        <v>Dry</v>
      </c>
      <c r="M1391" t="b">
        <f>OR(ISBLANK(Table1[[#This Row],[Temperature_F]]),ISERROR(Table1[[#This Row],[Temperature_F]]))</f>
        <v>0</v>
      </c>
    </row>
    <row r="1392" spans="1:13" x14ac:dyDescent="0.25">
      <c r="A1392" s="1" t="s">
        <v>1</v>
      </c>
      <c r="B1392" s="1" t="s">
        <v>2</v>
      </c>
      <c r="C1392" s="1">
        <v>42.360599999999998</v>
      </c>
      <c r="D1392" s="1">
        <v>-71.010599999999997</v>
      </c>
      <c r="E1392" s="5">
        <v>41581</v>
      </c>
      <c r="F1392" s="1" t="str">
        <f t="shared" si="21"/>
        <v>November</v>
      </c>
      <c r="G1392" s="1">
        <v>43</v>
      </c>
      <c r="H1392" s="1">
        <v>8</v>
      </c>
      <c r="I1392" s="1" t="str">
        <f>IF(Table1[[#This Row],[Temperature_F]]&lt;32,"Yes","No")</f>
        <v>No</v>
      </c>
      <c r="J1392" s="1" t="str" cm="1">
        <f t="array" ref="J139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92" s="1" t="str" cm="1">
        <f t="array" ref="K1392">_xlfn.IFS(
H1392=0,"No Rain",
H1392&lt;10,"Light",
H1392&lt;50,"Moderate",
TRUE,"Heavy")</f>
        <v>Light</v>
      </c>
      <c r="L1392" s="1" t="str">
        <f>IF(Table1[[#This Row],[Precipitation_mm]]&lt;&gt;0,"Wet","Dry")</f>
        <v>Wet</v>
      </c>
      <c r="M1392" t="b">
        <f>OR(ISBLANK(Table1[[#This Row],[Temperature_F]]),ISERROR(Table1[[#This Row],[Temperature_F]]))</f>
        <v>0</v>
      </c>
    </row>
    <row r="1393" spans="1:13" hidden="1" x14ac:dyDescent="0.25">
      <c r="A1393" s="1" t="s">
        <v>1</v>
      </c>
      <c r="B1393" s="1" t="s">
        <v>2</v>
      </c>
      <c r="C1393" s="1">
        <v>42.360599999999998</v>
      </c>
      <c r="D1393" s="1">
        <v>-71.010599999999997</v>
      </c>
      <c r="E1393" s="5">
        <v>41582</v>
      </c>
      <c r="F1393" s="1" t="str">
        <f t="shared" si="21"/>
        <v>November</v>
      </c>
      <c r="G1393" s="1">
        <v>54</v>
      </c>
      <c r="H1393" s="1">
        <v>0</v>
      </c>
      <c r="I1393" s="1" t="str">
        <f>IF(Table1[[#This Row],[Temperature_F]]&lt;32,"Yes","No")</f>
        <v>No</v>
      </c>
      <c r="J1393" s="1" t="str" cm="1">
        <f t="array" ref="J139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3" s="1" t="str" cm="1">
        <f t="array" ref="K1393">_xlfn.IFS(
H1393=0,"No Rain",
H1393&lt;10,"Light",
H1393&lt;50,"Moderate",
TRUE,"Heavy")</f>
        <v>No Rain</v>
      </c>
      <c r="L1393" s="1" t="str">
        <f>IF(Table1[[#This Row],[Precipitation_mm]]&lt;&gt;0,"Wet","Dry")</f>
        <v>Dry</v>
      </c>
      <c r="M1393" t="b">
        <f>OR(ISBLANK(Table1[[#This Row],[Temperature_F]]),ISERROR(Table1[[#This Row],[Temperature_F]]))</f>
        <v>0</v>
      </c>
    </row>
    <row r="1394" spans="1:13" hidden="1" x14ac:dyDescent="0.25">
      <c r="A1394" s="1" t="s">
        <v>1</v>
      </c>
      <c r="B1394" s="1" t="s">
        <v>2</v>
      </c>
      <c r="C1394" s="1">
        <v>42.360599999999998</v>
      </c>
      <c r="D1394" s="1">
        <v>-71.010599999999997</v>
      </c>
      <c r="E1394" s="5">
        <v>41583</v>
      </c>
      <c r="F1394" s="1" t="str">
        <f t="shared" si="21"/>
        <v>November</v>
      </c>
      <c r="G1394" s="1">
        <v>63</v>
      </c>
      <c r="H1394" s="1">
        <v>0</v>
      </c>
      <c r="I1394" s="1" t="str">
        <f>IF(Table1[[#This Row],[Temperature_F]]&lt;32,"Yes","No")</f>
        <v>No</v>
      </c>
      <c r="J1394" s="1" t="str" cm="1">
        <f t="array" ref="J139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4" s="1" t="str" cm="1">
        <f t="array" ref="K1394">_xlfn.IFS(
H1394=0,"No Rain",
H1394&lt;10,"Light",
H1394&lt;50,"Moderate",
TRUE,"Heavy")</f>
        <v>No Rain</v>
      </c>
      <c r="L1394" s="1" t="str">
        <f>IF(Table1[[#This Row],[Precipitation_mm]]&lt;&gt;0,"Wet","Dry")</f>
        <v>Dry</v>
      </c>
      <c r="M1394" t="b">
        <f>OR(ISBLANK(Table1[[#This Row],[Temperature_F]]),ISERROR(Table1[[#This Row],[Temperature_F]]))</f>
        <v>0</v>
      </c>
    </row>
    <row r="1395" spans="1:13" hidden="1" x14ac:dyDescent="0.25">
      <c r="A1395" s="1" t="s">
        <v>1</v>
      </c>
      <c r="B1395" s="1" t="s">
        <v>2</v>
      </c>
      <c r="C1395" s="1">
        <v>42.360599999999998</v>
      </c>
      <c r="D1395" s="1">
        <v>-71.010599999999997</v>
      </c>
      <c r="E1395" s="5">
        <v>41584</v>
      </c>
      <c r="F1395" s="1" t="str">
        <f t="shared" si="21"/>
        <v>November</v>
      </c>
      <c r="G1395" s="1">
        <v>59</v>
      </c>
      <c r="H1395" s="1">
        <v>0</v>
      </c>
      <c r="I1395" s="1" t="str">
        <f>IF(Table1[[#This Row],[Temperature_F]]&lt;32,"Yes","No")</f>
        <v>No</v>
      </c>
      <c r="J1395" s="1" t="str" cm="1">
        <f t="array" ref="J139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5" s="1" t="str" cm="1">
        <f t="array" ref="K1395">_xlfn.IFS(
H1395=0,"No Rain",
H1395&lt;10,"Light",
H1395&lt;50,"Moderate",
TRUE,"Heavy")</f>
        <v>No Rain</v>
      </c>
      <c r="L1395" s="1" t="str">
        <f>IF(Table1[[#This Row],[Precipitation_mm]]&lt;&gt;0,"Wet","Dry")</f>
        <v>Dry</v>
      </c>
      <c r="M1395" t="b">
        <f>OR(ISBLANK(Table1[[#This Row],[Temperature_F]]),ISERROR(Table1[[#This Row],[Temperature_F]]))</f>
        <v>0</v>
      </c>
    </row>
    <row r="1396" spans="1:13" x14ac:dyDescent="0.25">
      <c r="A1396" s="1" t="s">
        <v>1</v>
      </c>
      <c r="B1396" s="1" t="s">
        <v>2</v>
      </c>
      <c r="C1396" s="1">
        <v>42.360599999999998</v>
      </c>
      <c r="D1396" s="1">
        <v>-71.010599999999997</v>
      </c>
      <c r="E1396" s="5">
        <v>41585</v>
      </c>
      <c r="F1396" s="1" t="str">
        <f t="shared" si="21"/>
        <v>November</v>
      </c>
      <c r="G1396" s="1">
        <v>48</v>
      </c>
      <c r="H1396" s="1">
        <v>56</v>
      </c>
      <c r="I1396" s="1" t="str">
        <f>IF(Table1[[#This Row],[Temperature_F]]&lt;32,"Yes","No")</f>
        <v>No</v>
      </c>
      <c r="J1396" s="1" t="str" cm="1">
        <f t="array" ref="J139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396" s="1" t="str" cm="1">
        <f t="array" ref="K1396">_xlfn.IFS(
H1396=0,"No Rain",
H1396&lt;10,"Light",
H1396&lt;50,"Moderate",
TRUE,"Heavy")</f>
        <v>Heavy</v>
      </c>
      <c r="L1396" s="1" t="str">
        <f>IF(Table1[[#This Row],[Precipitation_mm]]&lt;&gt;0,"Wet","Dry")</f>
        <v>Wet</v>
      </c>
      <c r="M1396" t="b">
        <f>OR(ISBLANK(Table1[[#This Row],[Temperature_F]]),ISERROR(Table1[[#This Row],[Temperature_F]]))</f>
        <v>0</v>
      </c>
    </row>
    <row r="1397" spans="1:13" hidden="1" x14ac:dyDescent="0.25">
      <c r="A1397" s="1" t="s">
        <v>1</v>
      </c>
      <c r="B1397" s="1" t="s">
        <v>2</v>
      </c>
      <c r="C1397" s="1">
        <v>42.360599999999998</v>
      </c>
      <c r="D1397" s="1">
        <v>-71.010599999999997</v>
      </c>
      <c r="E1397" s="5">
        <v>41586</v>
      </c>
      <c r="F1397" s="1" t="str">
        <f t="shared" si="21"/>
        <v>November</v>
      </c>
      <c r="G1397" s="1">
        <v>56</v>
      </c>
      <c r="H1397" s="1">
        <v>0</v>
      </c>
      <c r="I1397" s="1" t="str">
        <f>IF(Table1[[#This Row],[Temperature_F]]&lt;32,"Yes","No")</f>
        <v>No</v>
      </c>
      <c r="J1397" s="1" t="str" cm="1">
        <f t="array" ref="J139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7" s="1" t="str" cm="1">
        <f t="array" ref="K1397">_xlfn.IFS(
H1397=0,"No Rain",
H1397&lt;10,"Light",
H1397&lt;50,"Moderate",
TRUE,"Heavy")</f>
        <v>No Rain</v>
      </c>
      <c r="L1397" s="1" t="str">
        <f>IF(Table1[[#This Row],[Precipitation_mm]]&lt;&gt;0,"Wet","Dry")</f>
        <v>Dry</v>
      </c>
      <c r="M1397" t="b">
        <f>OR(ISBLANK(Table1[[#This Row],[Temperature_F]]),ISERROR(Table1[[#This Row],[Temperature_F]]))</f>
        <v>0</v>
      </c>
    </row>
    <row r="1398" spans="1:13" hidden="1" x14ac:dyDescent="0.25">
      <c r="A1398" s="1" t="s">
        <v>1</v>
      </c>
      <c r="B1398" s="1" t="s">
        <v>2</v>
      </c>
      <c r="C1398" s="1">
        <v>42.360599999999998</v>
      </c>
      <c r="D1398" s="1">
        <v>-71.010599999999997</v>
      </c>
      <c r="E1398" s="5">
        <v>41587</v>
      </c>
      <c r="F1398" s="1" t="str">
        <f t="shared" si="21"/>
        <v>November</v>
      </c>
      <c r="G1398" s="1">
        <v>52</v>
      </c>
      <c r="H1398" s="1">
        <v>0</v>
      </c>
      <c r="I1398" s="1" t="str">
        <f>IF(Table1[[#This Row],[Temperature_F]]&lt;32,"Yes","No")</f>
        <v>No</v>
      </c>
      <c r="J1398" s="1" t="str" cm="1">
        <f t="array" ref="J139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8" s="1" t="str" cm="1">
        <f t="array" ref="K1398">_xlfn.IFS(
H1398=0,"No Rain",
H1398&lt;10,"Light",
H1398&lt;50,"Moderate",
TRUE,"Heavy")</f>
        <v>No Rain</v>
      </c>
      <c r="L1398" s="1" t="str">
        <f>IF(Table1[[#This Row],[Precipitation_mm]]&lt;&gt;0,"Wet","Dry")</f>
        <v>Dry</v>
      </c>
      <c r="M1398" t="b">
        <f>OR(ISBLANK(Table1[[#This Row],[Temperature_F]]),ISERROR(Table1[[#This Row],[Temperature_F]]))</f>
        <v>0</v>
      </c>
    </row>
    <row r="1399" spans="1:13" hidden="1" x14ac:dyDescent="0.25">
      <c r="A1399" s="1" t="s">
        <v>1</v>
      </c>
      <c r="B1399" s="1" t="s">
        <v>2</v>
      </c>
      <c r="C1399" s="1">
        <v>42.360599999999998</v>
      </c>
      <c r="D1399" s="1">
        <v>-71.010599999999997</v>
      </c>
      <c r="E1399" s="5">
        <v>41588</v>
      </c>
      <c r="F1399" s="1" t="str">
        <f t="shared" ref="F1399:F1448" si="22">TEXT(E1399,"mmmm")</f>
        <v>November</v>
      </c>
      <c r="G1399" s="1">
        <v>66</v>
      </c>
      <c r="H1399" s="1">
        <v>8</v>
      </c>
      <c r="I1399" s="1" t="str">
        <f>IF(Table1[[#This Row],[Temperature_F]]&lt;32,"Yes","No")</f>
        <v>No</v>
      </c>
      <c r="J1399" s="1" t="str" cm="1">
        <f t="array" ref="J139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399" s="1" t="str" cm="1">
        <f t="array" ref="K1399">_xlfn.IFS(
H1399=0,"No Rain",
H1399&lt;10,"Light",
H1399&lt;50,"Moderate",
TRUE,"Heavy")</f>
        <v>Light</v>
      </c>
      <c r="L1399" s="1" t="str">
        <f>IF(Table1[[#This Row],[Precipitation_mm]]&lt;&gt;0,"Wet","Dry")</f>
        <v>Wet</v>
      </c>
      <c r="M1399" t="b">
        <f>OR(ISBLANK(Table1[[#This Row],[Temperature_F]]),ISERROR(Table1[[#This Row],[Temperature_F]]))</f>
        <v>0</v>
      </c>
    </row>
    <row r="1400" spans="1:13" x14ac:dyDescent="0.25">
      <c r="A1400" s="1" t="s">
        <v>1</v>
      </c>
      <c r="B1400" s="1" t="s">
        <v>2</v>
      </c>
      <c r="C1400" s="1">
        <v>42.360599999999998</v>
      </c>
      <c r="D1400" s="1">
        <v>-71.010599999999997</v>
      </c>
      <c r="E1400" s="5">
        <v>41589</v>
      </c>
      <c r="F1400" s="1" t="str">
        <f t="shared" si="22"/>
        <v>November</v>
      </c>
      <c r="G1400" s="1">
        <v>46</v>
      </c>
      <c r="H1400" s="1">
        <v>0</v>
      </c>
      <c r="I1400" s="1" t="str">
        <f>IF(Table1[[#This Row],[Temperature_F]]&lt;32,"Yes","No")</f>
        <v>No</v>
      </c>
      <c r="J1400" s="1" t="str" cm="1">
        <f t="array" ref="J140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00" s="1" t="str" cm="1">
        <f t="array" ref="K1400">_xlfn.IFS(
H1400=0,"No Rain",
H1400&lt;10,"Light",
H1400&lt;50,"Moderate",
TRUE,"Heavy")</f>
        <v>No Rain</v>
      </c>
      <c r="L1400" s="1" t="str">
        <f>IF(Table1[[#This Row],[Precipitation_mm]]&lt;&gt;0,"Wet","Dry")</f>
        <v>Dry</v>
      </c>
      <c r="M1400" t="b">
        <f>OR(ISBLANK(Table1[[#This Row],[Temperature_F]]),ISERROR(Table1[[#This Row],[Temperature_F]]))</f>
        <v>0</v>
      </c>
    </row>
    <row r="1401" spans="1:13" hidden="1" x14ac:dyDescent="0.25">
      <c r="A1401" s="1" t="s">
        <v>1</v>
      </c>
      <c r="B1401" s="1" t="s">
        <v>2</v>
      </c>
      <c r="C1401" s="1">
        <v>42.360599999999998</v>
      </c>
      <c r="D1401" s="1">
        <v>-71.010599999999997</v>
      </c>
      <c r="E1401" s="5">
        <v>41590</v>
      </c>
      <c r="F1401" s="1" t="str">
        <f t="shared" si="22"/>
        <v>November</v>
      </c>
      <c r="G1401" s="1">
        <v>53</v>
      </c>
      <c r="H1401" s="1">
        <v>20</v>
      </c>
      <c r="I1401" s="1" t="str">
        <f>IF(Table1[[#This Row],[Temperature_F]]&lt;32,"Yes","No")</f>
        <v>No</v>
      </c>
      <c r="J1401" s="1" t="str" cm="1">
        <f t="array" ref="J140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01" s="1" t="str" cm="1">
        <f t="array" ref="K1401">_xlfn.IFS(
H1401=0,"No Rain",
H1401&lt;10,"Light",
H1401&lt;50,"Moderate",
TRUE,"Heavy")</f>
        <v>Moderate</v>
      </c>
      <c r="L1401" s="1" t="str">
        <f>IF(Table1[[#This Row],[Precipitation_mm]]&lt;&gt;0,"Wet","Dry")</f>
        <v>Wet</v>
      </c>
      <c r="M1401" t="b">
        <f>OR(ISBLANK(Table1[[#This Row],[Temperature_F]]),ISERROR(Table1[[#This Row],[Temperature_F]]))</f>
        <v>0</v>
      </c>
    </row>
    <row r="1402" spans="1:13" x14ac:dyDescent="0.25">
      <c r="A1402" s="1" t="s">
        <v>1</v>
      </c>
      <c r="B1402" s="1" t="s">
        <v>2</v>
      </c>
      <c r="C1402" s="1">
        <v>42.360599999999998</v>
      </c>
      <c r="D1402" s="1">
        <v>-71.010599999999997</v>
      </c>
      <c r="E1402" s="5">
        <v>41591</v>
      </c>
      <c r="F1402" s="1" t="str">
        <f t="shared" si="22"/>
        <v>November</v>
      </c>
      <c r="G1402" s="1">
        <v>42</v>
      </c>
      <c r="H1402" s="1">
        <v>0</v>
      </c>
      <c r="I1402" s="1" t="str">
        <f>IF(Table1[[#This Row],[Temperature_F]]&lt;32,"Yes","No")</f>
        <v>No</v>
      </c>
      <c r="J1402" s="1" t="str" cm="1">
        <f t="array" ref="J140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02" s="1" t="str" cm="1">
        <f t="array" ref="K1402">_xlfn.IFS(
H1402=0,"No Rain",
H1402&lt;10,"Light",
H1402&lt;50,"Moderate",
TRUE,"Heavy")</f>
        <v>No Rain</v>
      </c>
      <c r="L1402" s="1" t="str">
        <f>IF(Table1[[#This Row],[Precipitation_mm]]&lt;&gt;0,"Wet","Dry")</f>
        <v>Dry</v>
      </c>
      <c r="M1402" t="b">
        <f>OR(ISBLANK(Table1[[#This Row],[Temperature_F]]),ISERROR(Table1[[#This Row],[Temperature_F]]))</f>
        <v>0</v>
      </c>
    </row>
    <row r="1403" spans="1:13" hidden="1" x14ac:dyDescent="0.25">
      <c r="A1403" s="1" t="s">
        <v>1</v>
      </c>
      <c r="B1403" s="1" t="s">
        <v>2</v>
      </c>
      <c r="C1403" s="1">
        <v>42.360599999999998</v>
      </c>
      <c r="D1403" s="1">
        <v>-71.010599999999997</v>
      </c>
      <c r="E1403" s="5">
        <v>41592</v>
      </c>
      <c r="F1403" s="1" t="str">
        <f t="shared" si="22"/>
        <v>November</v>
      </c>
      <c r="G1403" s="1">
        <v>70</v>
      </c>
      <c r="H1403" s="1">
        <v>0</v>
      </c>
      <c r="I1403" s="1" t="str">
        <f>IF(Table1[[#This Row],[Temperature_F]]&lt;32,"Yes","No")</f>
        <v>No</v>
      </c>
      <c r="J1403" s="1" t="str" cm="1">
        <f t="array" ref="J140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403" s="1" t="str" cm="1">
        <f t="array" ref="K1403">_xlfn.IFS(
H1403=0,"No Rain",
H1403&lt;10,"Light",
H1403&lt;50,"Moderate",
TRUE,"Heavy")</f>
        <v>No Rain</v>
      </c>
      <c r="L1403" s="1" t="str">
        <f>IF(Table1[[#This Row],[Precipitation_mm]]&lt;&gt;0,"Wet","Dry")</f>
        <v>Dry</v>
      </c>
      <c r="M1403" t="b">
        <f>OR(ISBLANK(Table1[[#This Row],[Temperature_F]]),ISERROR(Table1[[#This Row],[Temperature_F]]))</f>
        <v>0</v>
      </c>
    </row>
    <row r="1404" spans="1:13" x14ac:dyDescent="0.25">
      <c r="A1404" s="1" t="s">
        <v>1</v>
      </c>
      <c r="B1404" s="1" t="s">
        <v>2</v>
      </c>
      <c r="C1404" s="1">
        <v>42.360599999999998</v>
      </c>
      <c r="D1404" s="1">
        <v>-71.010599999999997</v>
      </c>
      <c r="E1404" s="5">
        <v>41593</v>
      </c>
      <c r="F1404" s="1" t="str">
        <f t="shared" si="22"/>
        <v>November</v>
      </c>
      <c r="G1404" s="1">
        <v>49</v>
      </c>
      <c r="H1404" s="1">
        <v>0</v>
      </c>
      <c r="I1404" s="1" t="str">
        <f>IF(Table1[[#This Row],[Temperature_F]]&lt;32,"Yes","No")</f>
        <v>No</v>
      </c>
      <c r="J1404" s="1" t="str" cm="1">
        <f t="array" ref="J140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04" s="1" t="str" cm="1">
        <f t="array" ref="K1404">_xlfn.IFS(
H1404=0,"No Rain",
H1404&lt;10,"Light",
H1404&lt;50,"Moderate",
TRUE,"Heavy")</f>
        <v>No Rain</v>
      </c>
      <c r="L1404" s="1" t="str">
        <f>IF(Table1[[#This Row],[Precipitation_mm]]&lt;&gt;0,"Wet","Dry")</f>
        <v>Dry</v>
      </c>
      <c r="M1404" t="b">
        <f>OR(ISBLANK(Table1[[#This Row],[Temperature_F]]),ISERROR(Table1[[#This Row],[Temperature_F]]))</f>
        <v>0</v>
      </c>
    </row>
    <row r="1405" spans="1:13" x14ac:dyDescent="0.25">
      <c r="A1405" s="1" t="s">
        <v>1</v>
      </c>
      <c r="B1405" s="1" t="s">
        <v>2</v>
      </c>
      <c r="C1405" s="1">
        <v>42.360599999999998</v>
      </c>
      <c r="D1405" s="1">
        <v>-71.010599999999997</v>
      </c>
      <c r="E1405" s="5">
        <v>41594</v>
      </c>
      <c r="F1405" s="1" t="str">
        <f t="shared" si="22"/>
        <v>November</v>
      </c>
      <c r="G1405" s="1">
        <v>43</v>
      </c>
      <c r="H1405" s="1">
        <v>0</v>
      </c>
      <c r="I1405" s="1" t="str">
        <f>IF(Table1[[#This Row],[Temperature_F]]&lt;32,"Yes","No")</f>
        <v>No</v>
      </c>
      <c r="J1405" s="1" t="str" cm="1">
        <f t="array" ref="J140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05" s="1" t="str" cm="1">
        <f t="array" ref="K1405">_xlfn.IFS(
H1405=0,"No Rain",
H1405&lt;10,"Light",
H1405&lt;50,"Moderate",
TRUE,"Heavy")</f>
        <v>No Rain</v>
      </c>
      <c r="L1405" s="1" t="str">
        <f>IF(Table1[[#This Row],[Precipitation_mm]]&lt;&gt;0,"Wet","Dry")</f>
        <v>Dry</v>
      </c>
      <c r="M1405" t="b">
        <f>OR(ISBLANK(Table1[[#This Row],[Temperature_F]]),ISERROR(Table1[[#This Row],[Temperature_F]]))</f>
        <v>0</v>
      </c>
    </row>
    <row r="1406" spans="1:13" hidden="1" x14ac:dyDescent="0.25">
      <c r="A1406" s="1" t="s">
        <v>1</v>
      </c>
      <c r="B1406" s="1" t="s">
        <v>2</v>
      </c>
      <c r="C1406" s="1">
        <v>42.360599999999998</v>
      </c>
      <c r="D1406" s="1">
        <v>-71.010599999999997</v>
      </c>
      <c r="E1406" s="5">
        <v>41595</v>
      </c>
      <c r="F1406" s="1" t="str">
        <f t="shared" si="22"/>
        <v>November</v>
      </c>
      <c r="G1406" s="1">
        <v>63</v>
      </c>
      <c r="H1406" s="1">
        <v>10</v>
      </c>
      <c r="I1406" s="1" t="str">
        <f>IF(Table1[[#This Row],[Temperature_F]]&lt;32,"Yes","No")</f>
        <v>No</v>
      </c>
      <c r="J1406" s="1" t="str" cm="1">
        <f t="array" ref="J140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06" s="1" t="str" cm="1">
        <f t="array" ref="K1406">_xlfn.IFS(
H1406=0,"No Rain",
H1406&lt;10,"Light",
H1406&lt;50,"Moderate",
TRUE,"Heavy")</f>
        <v>Moderate</v>
      </c>
      <c r="L1406" s="1" t="str">
        <f>IF(Table1[[#This Row],[Precipitation_mm]]&lt;&gt;0,"Wet","Dry")</f>
        <v>Wet</v>
      </c>
      <c r="M1406" t="b">
        <f>OR(ISBLANK(Table1[[#This Row],[Temperature_F]]),ISERROR(Table1[[#This Row],[Temperature_F]]))</f>
        <v>0</v>
      </c>
    </row>
    <row r="1407" spans="1:13" hidden="1" x14ac:dyDescent="0.25">
      <c r="A1407" s="1" t="s">
        <v>1</v>
      </c>
      <c r="B1407" s="1" t="s">
        <v>2</v>
      </c>
      <c r="C1407" s="1">
        <v>42.360599999999998</v>
      </c>
      <c r="D1407" s="1">
        <v>-71.010599999999997</v>
      </c>
      <c r="E1407" s="5">
        <v>41596</v>
      </c>
      <c r="F1407" s="1" t="str">
        <f t="shared" si="22"/>
        <v>November</v>
      </c>
      <c r="G1407" s="1">
        <v>70</v>
      </c>
      <c r="H1407" s="1">
        <v>38</v>
      </c>
      <c r="I1407" s="1" t="str">
        <f>IF(Table1[[#This Row],[Temperature_F]]&lt;32,"Yes","No")</f>
        <v>No</v>
      </c>
      <c r="J1407" s="1" t="str" cm="1">
        <f t="array" ref="J140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407" s="1" t="str" cm="1">
        <f t="array" ref="K1407">_xlfn.IFS(
H1407=0,"No Rain",
H1407&lt;10,"Light",
H1407&lt;50,"Moderate",
TRUE,"Heavy")</f>
        <v>Moderate</v>
      </c>
      <c r="L1407" s="1" t="str">
        <f>IF(Table1[[#This Row],[Precipitation_mm]]&lt;&gt;0,"Wet","Dry")</f>
        <v>Wet</v>
      </c>
      <c r="M1407" t="b">
        <f>OR(ISBLANK(Table1[[#This Row],[Temperature_F]]),ISERROR(Table1[[#This Row],[Temperature_F]]))</f>
        <v>0</v>
      </c>
    </row>
    <row r="1408" spans="1:13" x14ac:dyDescent="0.25">
      <c r="A1408" s="1" t="s">
        <v>1</v>
      </c>
      <c r="B1408" s="1" t="s">
        <v>2</v>
      </c>
      <c r="C1408" s="1">
        <v>42.360599999999998</v>
      </c>
      <c r="D1408" s="1">
        <v>-71.010599999999997</v>
      </c>
      <c r="E1408" s="5">
        <v>41597</v>
      </c>
      <c r="F1408" s="1" t="str">
        <f t="shared" si="22"/>
        <v>November</v>
      </c>
      <c r="G1408" s="1">
        <v>46</v>
      </c>
      <c r="H1408" s="1">
        <v>0</v>
      </c>
      <c r="I1408" s="1" t="str">
        <f>IF(Table1[[#This Row],[Temperature_F]]&lt;32,"Yes","No")</f>
        <v>No</v>
      </c>
      <c r="J1408" s="1" t="str" cm="1">
        <f t="array" ref="J140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08" s="1" t="str" cm="1">
        <f t="array" ref="K1408">_xlfn.IFS(
H1408=0,"No Rain",
H1408&lt;10,"Light",
H1408&lt;50,"Moderate",
TRUE,"Heavy")</f>
        <v>No Rain</v>
      </c>
      <c r="L1408" s="1" t="str">
        <f>IF(Table1[[#This Row],[Precipitation_mm]]&lt;&gt;0,"Wet","Dry")</f>
        <v>Dry</v>
      </c>
      <c r="M1408" t="b">
        <f>OR(ISBLANK(Table1[[#This Row],[Temperature_F]]),ISERROR(Table1[[#This Row],[Temperature_F]]))</f>
        <v>0</v>
      </c>
    </row>
    <row r="1409" spans="1:13" hidden="1" x14ac:dyDescent="0.25">
      <c r="A1409" s="1" t="s">
        <v>1</v>
      </c>
      <c r="B1409" s="1" t="s">
        <v>2</v>
      </c>
      <c r="C1409" s="1">
        <v>42.360599999999998</v>
      </c>
      <c r="D1409" s="1">
        <v>-71.010599999999997</v>
      </c>
      <c r="E1409" s="5">
        <v>41598</v>
      </c>
      <c r="F1409" s="1" t="str">
        <f t="shared" si="22"/>
        <v>November</v>
      </c>
      <c r="G1409" s="1">
        <v>63</v>
      </c>
      <c r="H1409" s="1">
        <v>0</v>
      </c>
      <c r="I1409" s="1" t="str">
        <f>IF(Table1[[#This Row],[Temperature_F]]&lt;32,"Yes","No")</f>
        <v>No</v>
      </c>
      <c r="J1409" s="1" t="str" cm="1">
        <f t="array" ref="J140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09" s="1" t="str" cm="1">
        <f t="array" ref="K1409">_xlfn.IFS(
H1409=0,"No Rain",
H1409&lt;10,"Light",
H1409&lt;50,"Moderate",
TRUE,"Heavy")</f>
        <v>No Rain</v>
      </c>
      <c r="L1409" s="1" t="str">
        <f>IF(Table1[[#This Row],[Precipitation_mm]]&lt;&gt;0,"Wet","Dry")</f>
        <v>Dry</v>
      </c>
      <c r="M1409" t="b">
        <f>OR(ISBLANK(Table1[[#This Row],[Temperature_F]]),ISERROR(Table1[[#This Row],[Temperature_F]]))</f>
        <v>0</v>
      </c>
    </row>
    <row r="1410" spans="1:13" x14ac:dyDescent="0.25">
      <c r="A1410" s="1" t="s">
        <v>1</v>
      </c>
      <c r="B1410" s="1" t="s">
        <v>2</v>
      </c>
      <c r="C1410" s="1">
        <v>42.360599999999998</v>
      </c>
      <c r="D1410" s="1">
        <v>-71.010599999999997</v>
      </c>
      <c r="E1410" s="5">
        <v>41599</v>
      </c>
      <c r="F1410" s="1" t="str">
        <f t="shared" si="22"/>
        <v>November</v>
      </c>
      <c r="G1410" s="1">
        <v>48</v>
      </c>
      <c r="H1410" s="1">
        <v>0</v>
      </c>
      <c r="I1410" s="1" t="str">
        <f>IF(Table1[[#This Row],[Temperature_F]]&lt;32,"Yes","No")</f>
        <v>No</v>
      </c>
      <c r="J1410" s="1" t="str" cm="1">
        <f t="array" ref="J141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10" s="1" t="str" cm="1">
        <f t="array" ref="K1410">_xlfn.IFS(
H1410=0,"No Rain",
H1410&lt;10,"Light",
H1410&lt;50,"Moderate",
TRUE,"Heavy")</f>
        <v>No Rain</v>
      </c>
      <c r="L1410" s="1" t="str">
        <f>IF(Table1[[#This Row],[Precipitation_mm]]&lt;&gt;0,"Wet","Dry")</f>
        <v>Dry</v>
      </c>
      <c r="M1410" t="b">
        <f>OR(ISBLANK(Table1[[#This Row],[Temperature_F]]),ISERROR(Table1[[#This Row],[Temperature_F]]))</f>
        <v>0</v>
      </c>
    </row>
    <row r="1411" spans="1:13" hidden="1" x14ac:dyDescent="0.25">
      <c r="A1411" s="1" t="s">
        <v>1</v>
      </c>
      <c r="B1411" s="1" t="s">
        <v>2</v>
      </c>
      <c r="C1411" s="1">
        <v>42.360599999999998</v>
      </c>
      <c r="D1411" s="1">
        <v>-71.010599999999997</v>
      </c>
      <c r="E1411" s="5">
        <v>41600</v>
      </c>
      <c r="F1411" s="1" t="str">
        <f t="shared" si="22"/>
        <v>November</v>
      </c>
      <c r="G1411" s="1">
        <v>54</v>
      </c>
      <c r="H1411" s="1">
        <v>64</v>
      </c>
      <c r="I1411" s="1" t="str">
        <f>IF(Table1[[#This Row],[Temperature_F]]&lt;32,"Yes","No")</f>
        <v>No</v>
      </c>
      <c r="J1411" s="1" t="str" cm="1">
        <f t="array" ref="J141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11" s="1" t="str" cm="1">
        <f t="array" ref="K1411">_xlfn.IFS(
H1411=0,"No Rain",
H1411&lt;10,"Light",
H1411&lt;50,"Moderate",
TRUE,"Heavy")</f>
        <v>Heavy</v>
      </c>
      <c r="L1411" s="1" t="str">
        <f>IF(Table1[[#This Row],[Precipitation_mm]]&lt;&gt;0,"Wet","Dry")</f>
        <v>Wet</v>
      </c>
      <c r="M1411" t="b">
        <f>OR(ISBLANK(Table1[[#This Row],[Temperature_F]]),ISERROR(Table1[[#This Row],[Temperature_F]]))</f>
        <v>0</v>
      </c>
    </row>
    <row r="1412" spans="1:13" x14ac:dyDescent="0.25">
      <c r="A1412" s="1" t="s">
        <v>1</v>
      </c>
      <c r="B1412" s="1" t="s">
        <v>2</v>
      </c>
      <c r="C1412" s="1">
        <v>42.360599999999998</v>
      </c>
      <c r="D1412" s="1">
        <v>-71.010599999999997</v>
      </c>
      <c r="E1412" s="5">
        <v>41601</v>
      </c>
      <c r="F1412" s="1" t="str">
        <f t="shared" si="22"/>
        <v>November</v>
      </c>
      <c r="G1412" s="1">
        <v>41</v>
      </c>
      <c r="H1412" s="1">
        <v>0</v>
      </c>
      <c r="I1412" s="1" t="str">
        <f>IF(Table1[[#This Row],[Temperature_F]]&lt;32,"Yes","No")</f>
        <v>No</v>
      </c>
      <c r="J1412" s="1" t="str" cm="1">
        <f t="array" ref="J141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12" s="1" t="str" cm="1">
        <f t="array" ref="K1412">_xlfn.IFS(
H1412=0,"No Rain",
H1412&lt;10,"Light",
H1412&lt;50,"Moderate",
TRUE,"Heavy")</f>
        <v>No Rain</v>
      </c>
      <c r="L1412" s="1" t="str">
        <f>IF(Table1[[#This Row],[Precipitation_mm]]&lt;&gt;0,"Wet","Dry")</f>
        <v>Dry</v>
      </c>
      <c r="M1412" t="b">
        <f>OR(ISBLANK(Table1[[#This Row],[Temperature_F]]),ISERROR(Table1[[#This Row],[Temperature_F]]))</f>
        <v>0</v>
      </c>
    </row>
    <row r="1413" spans="1:13" x14ac:dyDescent="0.25">
      <c r="A1413" s="1" t="s">
        <v>1</v>
      </c>
      <c r="B1413" s="1" t="s">
        <v>2</v>
      </c>
      <c r="C1413" s="1">
        <v>42.360599999999998</v>
      </c>
      <c r="D1413" s="1">
        <v>-71.010599999999997</v>
      </c>
      <c r="E1413" s="5">
        <v>41602</v>
      </c>
      <c r="F1413" s="1" t="str">
        <f t="shared" si="22"/>
        <v>November</v>
      </c>
      <c r="G1413" s="1">
        <v>44</v>
      </c>
      <c r="H1413" s="1">
        <v>0</v>
      </c>
      <c r="I1413" s="1" t="str">
        <f>IF(Table1[[#This Row],[Temperature_F]]&lt;32,"Yes","No")</f>
        <v>No</v>
      </c>
      <c r="J1413" s="1" t="str" cm="1">
        <f t="array" ref="J141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13" s="1" t="str" cm="1">
        <f t="array" ref="K1413">_xlfn.IFS(
H1413=0,"No Rain",
H1413&lt;10,"Light",
H1413&lt;50,"Moderate",
TRUE,"Heavy")</f>
        <v>No Rain</v>
      </c>
      <c r="L1413" s="1" t="str">
        <f>IF(Table1[[#This Row],[Precipitation_mm]]&lt;&gt;0,"Wet","Dry")</f>
        <v>Dry</v>
      </c>
      <c r="M1413" t="b">
        <f>OR(ISBLANK(Table1[[#This Row],[Temperature_F]]),ISERROR(Table1[[#This Row],[Temperature_F]]))</f>
        <v>0</v>
      </c>
    </row>
    <row r="1414" spans="1:13" x14ac:dyDescent="0.25">
      <c r="A1414" s="1" t="s">
        <v>1</v>
      </c>
      <c r="B1414" s="1" t="s">
        <v>2</v>
      </c>
      <c r="C1414" s="1">
        <v>42.360599999999998</v>
      </c>
      <c r="D1414" s="1">
        <v>-71.010599999999997</v>
      </c>
      <c r="E1414" s="5">
        <v>41603</v>
      </c>
      <c r="F1414" s="1" t="str">
        <f t="shared" si="22"/>
        <v>November</v>
      </c>
      <c r="G1414" s="1">
        <v>50</v>
      </c>
      <c r="H1414" s="1">
        <v>0</v>
      </c>
      <c r="I1414" s="1" t="str">
        <f>IF(Table1[[#This Row],[Temperature_F]]&lt;32,"Yes","No")</f>
        <v>No</v>
      </c>
      <c r="J1414" s="1" t="str" cm="1">
        <f t="array" ref="J141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14" s="1" t="str" cm="1">
        <f t="array" ref="K1414">_xlfn.IFS(
H1414=0,"No Rain",
H1414&lt;10,"Light",
H1414&lt;50,"Moderate",
TRUE,"Heavy")</f>
        <v>No Rain</v>
      </c>
      <c r="L1414" s="1" t="str">
        <f>IF(Table1[[#This Row],[Precipitation_mm]]&lt;&gt;0,"Wet","Dry")</f>
        <v>Dry</v>
      </c>
      <c r="M1414" t="b">
        <f>OR(ISBLANK(Table1[[#This Row],[Temperature_F]]),ISERROR(Table1[[#This Row],[Temperature_F]]))</f>
        <v>0</v>
      </c>
    </row>
    <row r="1415" spans="1:13" x14ac:dyDescent="0.25">
      <c r="A1415" s="1" t="s">
        <v>1</v>
      </c>
      <c r="B1415" s="1" t="s">
        <v>2</v>
      </c>
      <c r="C1415" s="1">
        <v>42.360599999999998</v>
      </c>
      <c r="D1415" s="1">
        <v>-71.010599999999997</v>
      </c>
      <c r="E1415" s="5">
        <v>41604</v>
      </c>
      <c r="F1415" s="1" t="str">
        <f t="shared" si="22"/>
        <v>November</v>
      </c>
      <c r="G1415" s="1">
        <v>50</v>
      </c>
      <c r="H1415" s="1">
        <v>25</v>
      </c>
      <c r="I1415" s="1" t="str">
        <f>IF(Table1[[#This Row],[Temperature_F]]&lt;32,"Yes","No")</f>
        <v>No</v>
      </c>
      <c r="J1415" s="1" t="str" cm="1">
        <f t="array" ref="J141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15" s="1" t="str" cm="1">
        <f t="array" ref="K1415">_xlfn.IFS(
H1415=0,"No Rain",
H1415&lt;10,"Light",
H1415&lt;50,"Moderate",
TRUE,"Heavy")</f>
        <v>Moderate</v>
      </c>
      <c r="L1415" s="1" t="str">
        <f>IF(Table1[[#This Row],[Precipitation_mm]]&lt;&gt;0,"Wet","Dry")</f>
        <v>Wet</v>
      </c>
      <c r="M1415" t="b">
        <f>OR(ISBLANK(Table1[[#This Row],[Temperature_F]]),ISERROR(Table1[[#This Row],[Temperature_F]]))</f>
        <v>0</v>
      </c>
    </row>
    <row r="1416" spans="1:13" hidden="1" x14ac:dyDescent="0.25">
      <c r="A1416" s="1" t="s">
        <v>1</v>
      </c>
      <c r="B1416" s="1" t="s">
        <v>2</v>
      </c>
      <c r="C1416" s="1">
        <v>42.360599999999998</v>
      </c>
      <c r="D1416" s="1">
        <v>-71.010599999999997</v>
      </c>
      <c r="E1416" s="5">
        <v>41605</v>
      </c>
      <c r="F1416" s="1" t="str">
        <f t="shared" si="22"/>
        <v>November</v>
      </c>
      <c r="G1416" s="1">
        <v>54</v>
      </c>
      <c r="H1416" s="1">
        <v>455</v>
      </c>
      <c r="I1416" s="1" t="str">
        <f>IF(Table1[[#This Row],[Temperature_F]]&lt;32,"Yes","No")</f>
        <v>No</v>
      </c>
      <c r="J1416" s="1" t="str" cm="1">
        <f t="array" ref="J141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16" s="1" t="str" cm="1">
        <f t="array" ref="K1416">_xlfn.IFS(
H1416=0,"No Rain",
H1416&lt;10,"Light",
H1416&lt;50,"Moderate",
TRUE,"Heavy")</f>
        <v>Heavy</v>
      </c>
      <c r="L1416" s="1" t="str">
        <f>IF(Table1[[#This Row],[Precipitation_mm]]&lt;&gt;0,"Wet","Dry")</f>
        <v>Wet</v>
      </c>
      <c r="M1416" t="b">
        <f>OR(ISBLANK(Table1[[#This Row],[Temperature_F]]),ISERROR(Table1[[#This Row],[Temperature_F]]))</f>
        <v>0</v>
      </c>
    </row>
    <row r="1417" spans="1:13" hidden="1" x14ac:dyDescent="0.25">
      <c r="A1417" s="1" t="s">
        <v>1</v>
      </c>
      <c r="B1417" s="1" t="s">
        <v>2</v>
      </c>
      <c r="C1417" s="1">
        <v>42.360599999999998</v>
      </c>
      <c r="D1417" s="1">
        <v>-71.010599999999997</v>
      </c>
      <c r="E1417" s="5">
        <v>41606</v>
      </c>
      <c r="F1417" s="1" t="str">
        <f t="shared" si="22"/>
        <v>November</v>
      </c>
      <c r="G1417" s="1">
        <v>70</v>
      </c>
      <c r="H1417" s="1">
        <v>0</v>
      </c>
      <c r="I1417" s="1" t="str">
        <f>IF(Table1[[#This Row],[Temperature_F]]&lt;32,"Yes","No")</f>
        <v>No</v>
      </c>
      <c r="J1417" s="1" t="str" cm="1">
        <f t="array" ref="J141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Warm</v>
      </c>
      <c r="K1417" s="1" t="str" cm="1">
        <f t="array" ref="K1417">_xlfn.IFS(
H1417=0,"No Rain",
H1417&lt;10,"Light",
H1417&lt;50,"Moderate",
TRUE,"Heavy")</f>
        <v>No Rain</v>
      </c>
      <c r="L1417" s="1" t="str">
        <f>IF(Table1[[#This Row],[Precipitation_mm]]&lt;&gt;0,"Wet","Dry")</f>
        <v>Dry</v>
      </c>
      <c r="M1417" t="b">
        <f>OR(ISBLANK(Table1[[#This Row],[Temperature_F]]),ISERROR(Table1[[#This Row],[Temperature_F]]))</f>
        <v>0</v>
      </c>
    </row>
    <row r="1418" spans="1:13" hidden="1" x14ac:dyDescent="0.25">
      <c r="A1418" s="1" t="s">
        <v>1</v>
      </c>
      <c r="B1418" s="1" t="s">
        <v>2</v>
      </c>
      <c r="C1418" s="1">
        <v>42.360599999999998</v>
      </c>
      <c r="D1418" s="1">
        <v>-71.010599999999997</v>
      </c>
      <c r="E1418" s="5">
        <v>41607</v>
      </c>
      <c r="F1418" s="1" t="str">
        <f t="shared" si="22"/>
        <v>November</v>
      </c>
      <c r="G1418" s="1">
        <v>63</v>
      </c>
      <c r="H1418" s="1">
        <v>0</v>
      </c>
      <c r="I1418" s="1" t="str">
        <f>IF(Table1[[#This Row],[Temperature_F]]&lt;32,"Yes","No")</f>
        <v>No</v>
      </c>
      <c r="J1418" s="1" t="str" cm="1">
        <f t="array" ref="J141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18" s="1" t="str" cm="1">
        <f t="array" ref="K1418">_xlfn.IFS(
H1418=0,"No Rain",
H1418&lt;10,"Light",
H1418&lt;50,"Moderate",
TRUE,"Heavy")</f>
        <v>No Rain</v>
      </c>
      <c r="L1418" s="1" t="str">
        <f>IF(Table1[[#This Row],[Precipitation_mm]]&lt;&gt;0,"Wet","Dry")</f>
        <v>Dry</v>
      </c>
      <c r="M1418" t="b">
        <f>OR(ISBLANK(Table1[[#This Row],[Temperature_F]]),ISERROR(Table1[[#This Row],[Temperature_F]]))</f>
        <v>0</v>
      </c>
    </row>
    <row r="1419" spans="1:13" hidden="1" x14ac:dyDescent="0.25">
      <c r="A1419" s="1" t="s">
        <v>1</v>
      </c>
      <c r="B1419" s="1" t="s">
        <v>2</v>
      </c>
      <c r="C1419" s="1">
        <v>42.360599999999998</v>
      </c>
      <c r="D1419" s="1">
        <v>-71.010599999999997</v>
      </c>
      <c r="E1419" s="5">
        <v>41608</v>
      </c>
      <c r="F1419" s="1" t="str">
        <f t="shared" si="22"/>
        <v>November</v>
      </c>
      <c r="G1419" s="1">
        <v>53</v>
      </c>
      <c r="H1419" s="1">
        <v>0</v>
      </c>
      <c r="I1419" s="1" t="str">
        <f>IF(Table1[[#This Row],[Temperature_F]]&lt;32,"Yes","No")</f>
        <v>No</v>
      </c>
      <c r="J1419" s="1" t="str" cm="1">
        <f t="array" ref="J141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Cool</v>
      </c>
      <c r="K1419" s="1" t="str" cm="1">
        <f t="array" ref="K1419">_xlfn.IFS(
H1419=0,"No Rain",
H1419&lt;10,"Light",
H1419&lt;50,"Moderate",
TRUE,"Heavy")</f>
        <v>No Rain</v>
      </c>
      <c r="L1419" s="1" t="str">
        <f>IF(Table1[[#This Row],[Precipitation_mm]]&lt;&gt;0,"Wet","Dry")</f>
        <v>Dry</v>
      </c>
      <c r="M1419" t="b">
        <f>OR(ISBLANK(Table1[[#This Row],[Temperature_F]]),ISERROR(Table1[[#This Row],[Temperature_F]]))</f>
        <v>0</v>
      </c>
    </row>
    <row r="1420" spans="1:13" hidden="1" x14ac:dyDescent="0.25">
      <c r="A1420" s="1" t="s">
        <v>1</v>
      </c>
      <c r="B1420" s="1" t="s">
        <v>2</v>
      </c>
      <c r="C1420" s="1">
        <v>42.360599999999998</v>
      </c>
      <c r="D1420" s="1">
        <v>-71.010599999999997</v>
      </c>
      <c r="E1420" s="5">
        <v>41609</v>
      </c>
      <c r="F1420" s="1" t="str">
        <f t="shared" si="22"/>
        <v>December</v>
      </c>
      <c r="G1420" s="1">
        <v>22</v>
      </c>
      <c r="H1420" s="1">
        <v>69</v>
      </c>
      <c r="I1420" s="1" t="str">
        <f>IF(Table1[[#This Row],[Temperature_F]]&lt;32,"Yes","No")</f>
        <v>Yes</v>
      </c>
      <c r="J1420" s="1" t="str" cm="1">
        <f t="array" ref="J142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0" s="1" t="str" cm="1">
        <f t="array" ref="K1420">_xlfn.IFS(
H1420=0,"No Rain",
H1420&lt;10,"Light",
H1420&lt;50,"Moderate",
TRUE,"Heavy")</f>
        <v>Heavy</v>
      </c>
      <c r="L1420" s="1" t="str">
        <f>IF(Table1[[#This Row],[Precipitation_mm]]&lt;&gt;0,"Wet","Dry")</f>
        <v>Wet</v>
      </c>
      <c r="M1420" t="b">
        <f>OR(ISBLANK(Table1[[#This Row],[Temperature_F]]),ISERROR(Table1[[#This Row],[Temperature_F]]))</f>
        <v>0</v>
      </c>
    </row>
    <row r="1421" spans="1:13" hidden="1" x14ac:dyDescent="0.25">
      <c r="A1421" s="1" t="s">
        <v>1</v>
      </c>
      <c r="B1421" s="1" t="s">
        <v>2</v>
      </c>
      <c r="C1421" s="1">
        <v>42.360599999999998</v>
      </c>
      <c r="D1421" s="1">
        <v>-71.010599999999997</v>
      </c>
      <c r="E1421" s="5">
        <v>41610</v>
      </c>
      <c r="F1421" s="1" t="str">
        <f t="shared" si="22"/>
        <v>December</v>
      </c>
      <c r="G1421" s="1">
        <v>20</v>
      </c>
      <c r="H1421" s="1">
        <v>0</v>
      </c>
      <c r="I1421" s="1" t="str">
        <f>IF(Table1[[#This Row],[Temperature_F]]&lt;32,"Yes","No")</f>
        <v>Yes</v>
      </c>
      <c r="J1421" s="1" t="str" cm="1">
        <f t="array" ref="J142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1" s="1" t="str" cm="1">
        <f t="array" ref="K1421">_xlfn.IFS(
H1421=0,"No Rain",
H1421&lt;10,"Light",
H1421&lt;50,"Moderate",
TRUE,"Heavy")</f>
        <v>No Rain</v>
      </c>
      <c r="L1421" s="1" t="str">
        <f>IF(Table1[[#This Row],[Precipitation_mm]]&lt;&gt;0,"Wet","Dry")</f>
        <v>Dry</v>
      </c>
      <c r="M1421" t="b">
        <f>OR(ISBLANK(Table1[[#This Row],[Temperature_F]]),ISERROR(Table1[[#This Row],[Temperature_F]]))</f>
        <v>0</v>
      </c>
    </row>
    <row r="1422" spans="1:13" hidden="1" x14ac:dyDescent="0.25">
      <c r="A1422" s="1" t="s">
        <v>1</v>
      </c>
      <c r="B1422" s="1" t="s">
        <v>2</v>
      </c>
      <c r="C1422" s="1">
        <v>42.360599999999998</v>
      </c>
      <c r="D1422" s="1">
        <v>-71.010599999999997</v>
      </c>
      <c r="E1422" s="5">
        <v>41611</v>
      </c>
      <c r="F1422" s="1" t="str">
        <f t="shared" si="22"/>
        <v>December</v>
      </c>
      <c r="G1422" s="1">
        <v>11</v>
      </c>
      <c r="H1422" s="1">
        <v>0</v>
      </c>
      <c r="I1422" s="1" t="str">
        <f>IF(Table1[[#This Row],[Temperature_F]]&lt;32,"Yes","No")</f>
        <v>Yes</v>
      </c>
      <c r="J1422" s="1" t="str" cm="1">
        <f t="array" ref="J142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2" s="1" t="str" cm="1">
        <f t="array" ref="K1422">_xlfn.IFS(
H1422=0,"No Rain",
H1422&lt;10,"Light",
H1422&lt;50,"Moderate",
TRUE,"Heavy")</f>
        <v>No Rain</v>
      </c>
      <c r="L1422" s="1" t="str">
        <f>IF(Table1[[#This Row],[Precipitation_mm]]&lt;&gt;0,"Wet","Dry")</f>
        <v>Dry</v>
      </c>
      <c r="M1422" t="b">
        <f>OR(ISBLANK(Table1[[#This Row],[Temperature_F]]),ISERROR(Table1[[#This Row],[Temperature_F]]))</f>
        <v>0</v>
      </c>
    </row>
    <row r="1423" spans="1:13" hidden="1" x14ac:dyDescent="0.25">
      <c r="A1423" s="1" t="s">
        <v>1</v>
      </c>
      <c r="B1423" s="1" t="s">
        <v>2</v>
      </c>
      <c r="C1423" s="1">
        <v>42.360599999999998</v>
      </c>
      <c r="D1423" s="1">
        <v>-71.010599999999997</v>
      </c>
      <c r="E1423" s="5">
        <v>41612</v>
      </c>
      <c r="F1423" s="1" t="str">
        <f t="shared" si="22"/>
        <v>December</v>
      </c>
      <c r="G1423" s="1">
        <v>23</v>
      </c>
      <c r="H1423" s="1">
        <v>0</v>
      </c>
      <c r="I1423" s="1" t="str">
        <f>IF(Table1[[#This Row],[Temperature_F]]&lt;32,"Yes","No")</f>
        <v>Yes</v>
      </c>
      <c r="J1423" s="1" t="str" cm="1">
        <f t="array" ref="J142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3" s="1" t="str" cm="1">
        <f t="array" ref="K1423">_xlfn.IFS(
H1423=0,"No Rain",
H1423&lt;10,"Light",
H1423&lt;50,"Moderate",
TRUE,"Heavy")</f>
        <v>No Rain</v>
      </c>
      <c r="L1423" s="1" t="str">
        <f>IF(Table1[[#This Row],[Precipitation_mm]]&lt;&gt;0,"Wet","Dry")</f>
        <v>Dry</v>
      </c>
      <c r="M1423" t="b">
        <f>OR(ISBLANK(Table1[[#This Row],[Temperature_F]]),ISERROR(Table1[[#This Row],[Temperature_F]]))</f>
        <v>0</v>
      </c>
    </row>
    <row r="1424" spans="1:13" hidden="1" x14ac:dyDescent="0.25">
      <c r="A1424" s="1" t="s">
        <v>1</v>
      </c>
      <c r="B1424" s="1" t="s">
        <v>2</v>
      </c>
      <c r="C1424" s="1">
        <v>42.360599999999998</v>
      </c>
      <c r="D1424" s="1">
        <v>-71.010599999999997</v>
      </c>
      <c r="E1424" s="5">
        <v>41613</v>
      </c>
      <c r="F1424" s="1" t="str">
        <f t="shared" si="22"/>
        <v>December</v>
      </c>
      <c r="G1424" s="1">
        <v>15</v>
      </c>
      <c r="H1424" s="1">
        <v>3</v>
      </c>
      <c r="I1424" s="1" t="str">
        <f>IF(Table1[[#This Row],[Temperature_F]]&lt;32,"Yes","No")</f>
        <v>Yes</v>
      </c>
      <c r="J1424" s="1" t="str" cm="1">
        <f t="array" ref="J142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4" s="1" t="str" cm="1">
        <f t="array" ref="K1424">_xlfn.IFS(
H1424=0,"No Rain",
H1424&lt;10,"Light",
H1424&lt;50,"Moderate",
TRUE,"Heavy")</f>
        <v>Light</v>
      </c>
      <c r="L1424" s="1" t="str">
        <f>IF(Table1[[#This Row],[Precipitation_mm]]&lt;&gt;0,"Wet","Dry")</f>
        <v>Wet</v>
      </c>
      <c r="M1424" t="b">
        <f>OR(ISBLANK(Table1[[#This Row],[Temperature_F]]),ISERROR(Table1[[#This Row],[Temperature_F]]))</f>
        <v>0</v>
      </c>
    </row>
    <row r="1425" spans="1:13" x14ac:dyDescent="0.25">
      <c r="A1425" s="1" t="s">
        <v>1</v>
      </c>
      <c r="B1425" s="1" t="s">
        <v>2</v>
      </c>
      <c r="C1425" s="1">
        <v>42.360599999999998</v>
      </c>
      <c r="D1425" s="1">
        <v>-71.010599999999997</v>
      </c>
      <c r="E1425" s="5">
        <v>41614</v>
      </c>
      <c r="F1425" s="1" t="str">
        <f t="shared" si="22"/>
        <v>December</v>
      </c>
      <c r="G1425" s="1">
        <v>42</v>
      </c>
      <c r="H1425" s="1">
        <v>76</v>
      </c>
      <c r="I1425" s="1" t="str">
        <f>IF(Table1[[#This Row],[Temperature_F]]&lt;32,"Yes","No")</f>
        <v>No</v>
      </c>
      <c r="J1425" s="1" t="str" cm="1">
        <f t="array" ref="J142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25" s="1" t="str" cm="1">
        <f t="array" ref="K1425">_xlfn.IFS(
H1425=0,"No Rain",
H1425&lt;10,"Light",
H1425&lt;50,"Moderate",
TRUE,"Heavy")</f>
        <v>Heavy</v>
      </c>
      <c r="L1425" s="1" t="str">
        <f>IF(Table1[[#This Row],[Precipitation_mm]]&lt;&gt;0,"Wet","Dry")</f>
        <v>Wet</v>
      </c>
      <c r="M1425" t="b">
        <f>OR(ISBLANK(Table1[[#This Row],[Temperature_F]]),ISERROR(Table1[[#This Row],[Temperature_F]]))</f>
        <v>0</v>
      </c>
    </row>
    <row r="1426" spans="1:13" x14ac:dyDescent="0.25">
      <c r="A1426" s="1" t="s">
        <v>1</v>
      </c>
      <c r="B1426" s="1" t="s">
        <v>2</v>
      </c>
      <c r="C1426" s="1">
        <v>42.360599999999998</v>
      </c>
      <c r="D1426" s="1">
        <v>-71.010599999999997</v>
      </c>
      <c r="E1426" s="5">
        <v>41615</v>
      </c>
      <c r="F1426" s="1" t="str">
        <f t="shared" si="22"/>
        <v>December</v>
      </c>
      <c r="G1426" s="1">
        <v>33</v>
      </c>
      <c r="H1426" s="1">
        <v>23</v>
      </c>
      <c r="I1426" s="1" t="str">
        <f>IF(Table1[[#This Row],[Temperature_F]]&lt;32,"Yes","No")</f>
        <v>No</v>
      </c>
      <c r="J1426" s="1" t="str" cm="1">
        <f t="array" ref="J142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26" s="1" t="str" cm="1">
        <f t="array" ref="K1426">_xlfn.IFS(
H1426=0,"No Rain",
H1426&lt;10,"Light",
H1426&lt;50,"Moderate",
TRUE,"Heavy")</f>
        <v>Moderate</v>
      </c>
      <c r="L1426" s="1" t="str">
        <f>IF(Table1[[#This Row],[Precipitation_mm]]&lt;&gt;0,"Wet","Dry")</f>
        <v>Wet</v>
      </c>
      <c r="M1426" t="b">
        <f>OR(ISBLANK(Table1[[#This Row],[Temperature_F]]),ISERROR(Table1[[#This Row],[Temperature_F]]))</f>
        <v>0</v>
      </c>
    </row>
    <row r="1427" spans="1:13" hidden="1" x14ac:dyDescent="0.25">
      <c r="A1427" s="1" t="s">
        <v>1</v>
      </c>
      <c r="B1427" s="1" t="s">
        <v>2</v>
      </c>
      <c r="C1427" s="1">
        <v>42.360599999999998</v>
      </c>
      <c r="D1427" s="1">
        <v>-71.010599999999997</v>
      </c>
      <c r="E1427" s="5">
        <v>41616</v>
      </c>
      <c r="F1427" s="1" t="str">
        <f t="shared" si="22"/>
        <v>December</v>
      </c>
      <c r="G1427" s="1">
        <v>31</v>
      </c>
      <c r="H1427" s="1">
        <v>0</v>
      </c>
      <c r="I1427" s="1" t="str">
        <f>IF(Table1[[#This Row],[Temperature_F]]&lt;32,"Yes","No")</f>
        <v>Yes</v>
      </c>
      <c r="J1427" s="1" t="str" cm="1">
        <f t="array" ref="J142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7" s="1" t="str" cm="1">
        <f t="array" ref="K1427">_xlfn.IFS(
H1427=0,"No Rain",
H1427&lt;10,"Light",
H1427&lt;50,"Moderate",
TRUE,"Heavy")</f>
        <v>No Rain</v>
      </c>
      <c r="L1427" s="1" t="str">
        <f>IF(Table1[[#This Row],[Precipitation_mm]]&lt;&gt;0,"Wet","Dry")</f>
        <v>Dry</v>
      </c>
      <c r="M1427" t="b">
        <f>OR(ISBLANK(Table1[[#This Row],[Temperature_F]]),ISERROR(Table1[[#This Row],[Temperature_F]]))</f>
        <v>0</v>
      </c>
    </row>
    <row r="1428" spans="1:13" hidden="1" x14ac:dyDescent="0.25">
      <c r="A1428" s="1" t="s">
        <v>1</v>
      </c>
      <c r="B1428" s="1" t="s">
        <v>2</v>
      </c>
      <c r="C1428" s="1">
        <v>42.360599999999998</v>
      </c>
      <c r="D1428" s="1">
        <v>-71.010599999999997</v>
      </c>
      <c r="E1428" s="5">
        <v>41617</v>
      </c>
      <c r="F1428" s="1" t="str">
        <f t="shared" si="22"/>
        <v>December</v>
      </c>
      <c r="G1428" s="1">
        <v>31</v>
      </c>
      <c r="H1428" s="1">
        <v>109</v>
      </c>
      <c r="I1428" s="1" t="str">
        <f>IF(Table1[[#This Row],[Temperature_F]]&lt;32,"Yes","No")</f>
        <v>Yes</v>
      </c>
      <c r="J1428" s="1" t="str" cm="1">
        <f t="array" ref="J142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8" s="1" t="str" cm="1">
        <f t="array" ref="K1428">_xlfn.IFS(
H1428=0,"No Rain",
H1428&lt;10,"Light",
H1428&lt;50,"Moderate",
TRUE,"Heavy")</f>
        <v>Heavy</v>
      </c>
      <c r="L1428" s="1" t="str">
        <f>IF(Table1[[#This Row],[Precipitation_mm]]&lt;&gt;0,"Wet","Dry")</f>
        <v>Wet</v>
      </c>
      <c r="M1428" t="b">
        <f>OR(ISBLANK(Table1[[#This Row],[Temperature_F]]),ISERROR(Table1[[#This Row],[Temperature_F]]))</f>
        <v>0</v>
      </c>
    </row>
    <row r="1429" spans="1:13" hidden="1" x14ac:dyDescent="0.25">
      <c r="A1429" s="1" t="s">
        <v>1</v>
      </c>
      <c r="B1429" s="1" t="s">
        <v>2</v>
      </c>
      <c r="C1429" s="1">
        <v>42.360599999999998</v>
      </c>
      <c r="D1429" s="1">
        <v>-71.010599999999997</v>
      </c>
      <c r="E1429" s="5">
        <v>41618</v>
      </c>
      <c r="F1429" s="1" t="str">
        <f t="shared" si="22"/>
        <v>December</v>
      </c>
      <c r="G1429" s="1">
        <v>22</v>
      </c>
      <c r="H1429" s="1">
        <v>18</v>
      </c>
      <c r="I1429" s="1" t="str">
        <f>IF(Table1[[#This Row],[Temperature_F]]&lt;32,"Yes","No")</f>
        <v>Yes</v>
      </c>
      <c r="J1429" s="1" t="str" cm="1">
        <f t="array" ref="J142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29" s="1" t="str" cm="1">
        <f t="array" ref="K1429">_xlfn.IFS(
H1429=0,"No Rain",
H1429&lt;10,"Light",
H1429&lt;50,"Moderate",
TRUE,"Heavy")</f>
        <v>Moderate</v>
      </c>
      <c r="L1429" s="1" t="str">
        <f>IF(Table1[[#This Row],[Precipitation_mm]]&lt;&gt;0,"Wet","Dry")</f>
        <v>Wet</v>
      </c>
      <c r="M1429" t="b">
        <f>OR(ISBLANK(Table1[[#This Row],[Temperature_F]]),ISERROR(Table1[[#This Row],[Temperature_F]]))</f>
        <v>0</v>
      </c>
    </row>
    <row r="1430" spans="1:13" x14ac:dyDescent="0.25">
      <c r="A1430" s="1" t="s">
        <v>1</v>
      </c>
      <c r="B1430" s="1" t="s">
        <v>2</v>
      </c>
      <c r="C1430" s="1">
        <v>42.360599999999998</v>
      </c>
      <c r="D1430" s="1">
        <v>-71.010599999999997</v>
      </c>
      <c r="E1430" s="5">
        <v>41619</v>
      </c>
      <c r="F1430" s="1" t="str">
        <f t="shared" si="22"/>
        <v>December</v>
      </c>
      <c r="G1430" s="1">
        <v>42</v>
      </c>
      <c r="H1430" s="1">
        <v>0</v>
      </c>
      <c r="I1430" s="1" t="str">
        <f>IF(Table1[[#This Row],[Temperature_F]]&lt;32,"Yes","No")</f>
        <v>No</v>
      </c>
      <c r="J1430" s="1" t="str" cm="1">
        <f t="array" ref="J143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30" s="1" t="str" cm="1">
        <f t="array" ref="K1430">_xlfn.IFS(
H1430=0,"No Rain",
H1430&lt;10,"Light",
H1430&lt;50,"Moderate",
TRUE,"Heavy")</f>
        <v>No Rain</v>
      </c>
      <c r="L1430" s="1" t="str">
        <f>IF(Table1[[#This Row],[Precipitation_mm]]&lt;&gt;0,"Wet","Dry")</f>
        <v>Dry</v>
      </c>
      <c r="M1430" t="b">
        <f>OR(ISBLANK(Table1[[#This Row],[Temperature_F]]),ISERROR(Table1[[#This Row],[Temperature_F]]))</f>
        <v>0</v>
      </c>
    </row>
    <row r="1431" spans="1:13" x14ac:dyDescent="0.25">
      <c r="A1431" s="1" t="s">
        <v>1</v>
      </c>
      <c r="B1431" s="1" t="s">
        <v>2</v>
      </c>
      <c r="C1431" s="1">
        <v>42.360599999999998</v>
      </c>
      <c r="D1431" s="1">
        <v>-71.010599999999997</v>
      </c>
      <c r="E1431" s="5">
        <v>41620</v>
      </c>
      <c r="F1431" s="1" t="str">
        <f t="shared" si="22"/>
        <v>December</v>
      </c>
      <c r="G1431" s="1">
        <v>38</v>
      </c>
      <c r="H1431" s="1">
        <v>0</v>
      </c>
      <c r="I1431" s="1" t="str">
        <f>IF(Table1[[#This Row],[Temperature_F]]&lt;32,"Yes","No")</f>
        <v>No</v>
      </c>
      <c r="J1431" s="1" t="str" cm="1">
        <f t="array" ref="J143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31" s="1" t="str" cm="1">
        <f t="array" ref="K1431">_xlfn.IFS(
H1431=0,"No Rain",
H1431&lt;10,"Light",
H1431&lt;50,"Moderate",
TRUE,"Heavy")</f>
        <v>No Rain</v>
      </c>
      <c r="L1431" s="1" t="str">
        <f>IF(Table1[[#This Row],[Precipitation_mm]]&lt;&gt;0,"Wet","Dry")</f>
        <v>Dry</v>
      </c>
      <c r="M1431" t="b">
        <f>OR(ISBLANK(Table1[[#This Row],[Temperature_F]]),ISERROR(Table1[[#This Row],[Temperature_F]]))</f>
        <v>0</v>
      </c>
    </row>
    <row r="1432" spans="1:13" hidden="1" x14ac:dyDescent="0.25">
      <c r="A1432" s="1" t="s">
        <v>1</v>
      </c>
      <c r="B1432" s="1" t="s">
        <v>2</v>
      </c>
      <c r="C1432" s="1">
        <v>42.360599999999998</v>
      </c>
      <c r="D1432" s="1">
        <v>-71.010599999999997</v>
      </c>
      <c r="E1432" s="5">
        <v>41621</v>
      </c>
      <c r="F1432" s="1" t="str">
        <f t="shared" si="22"/>
        <v>December</v>
      </c>
      <c r="G1432" s="1">
        <v>19</v>
      </c>
      <c r="H1432" s="1">
        <v>0</v>
      </c>
      <c r="I1432" s="1" t="str">
        <f>IF(Table1[[#This Row],[Temperature_F]]&lt;32,"Yes","No")</f>
        <v>Yes</v>
      </c>
      <c r="J1432" s="1" t="str" cm="1">
        <f t="array" ref="J143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32" s="1" t="str" cm="1">
        <f t="array" ref="K1432">_xlfn.IFS(
H1432=0,"No Rain",
H1432&lt;10,"Light",
H1432&lt;50,"Moderate",
TRUE,"Heavy")</f>
        <v>No Rain</v>
      </c>
      <c r="L1432" s="1" t="str">
        <f>IF(Table1[[#This Row],[Precipitation_mm]]&lt;&gt;0,"Wet","Dry")</f>
        <v>Dry</v>
      </c>
      <c r="M1432" t="b">
        <f>OR(ISBLANK(Table1[[#This Row],[Temperature_F]]),ISERROR(Table1[[#This Row],[Temperature_F]]))</f>
        <v>0</v>
      </c>
    </row>
    <row r="1433" spans="1:13" hidden="1" x14ac:dyDescent="0.25">
      <c r="A1433" s="1" t="s">
        <v>1</v>
      </c>
      <c r="B1433" s="1" t="s">
        <v>2</v>
      </c>
      <c r="C1433" s="1">
        <v>42.360599999999998</v>
      </c>
      <c r="D1433" s="1">
        <v>-71.010599999999997</v>
      </c>
      <c r="E1433" s="5">
        <v>41622</v>
      </c>
      <c r="F1433" s="1" t="str">
        <f t="shared" si="22"/>
        <v>December</v>
      </c>
      <c r="G1433" s="1">
        <v>14</v>
      </c>
      <c r="H1433" s="1">
        <v>56</v>
      </c>
      <c r="I1433" s="1" t="str">
        <f>IF(Table1[[#This Row],[Temperature_F]]&lt;32,"Yes","No")</f>
        <v>Yes</v>
      </c>
      <c r="J1433" s="1" t="str" cm="1">
        <f t="array" ref="J143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33" s="1" t="str" cm="1">
        <f t="array" ref="K1433">_xlfn.IFS(
H1433=0,"No Rain",
H1433&lt;10,"Light",
H1433&lt;50,"Moderate",
TRUE,"Heavy")</f>
        <v>Heavy</v>
      </c>
      <c r="L1433" s="1" t="str">
        <f>IF(Table1[[#This Row],[Precipitation_mm]]&lt;&gt;0,"Wet","Dry")</f>
        <v>Wet</v>
      </c>
      <c r="M1433" t="b">
        <f>OR(ISBLANK(Table1[[#This Row],[Temperature_F]]),ISERROR(Table1[[#This Row],[Temperature_F]]))</f>
        <v>0</v>
      </c>
    </row>
    <row r="1434" spans="1:13" x14ac:dyDescent="0.25">
      <c r="A1434" s="1" t="s">
        <v>1</v>
      </c>
      <c r="B1434" s="1" t="s">
        <v>2</v>
      </c>
      <c r="C1434" s="1">
        <v>42.360599999999998</v>
      </c>
      <c r="D1434" s="1">
        <v>-71.010599999999997</v>
      </c>
      <c r="E1434" s="5">
        <v>41623</v>
      </c>
      <c r="F1434" s="1" t="str">
        <f t="shared" si="22"/>
        <v>December</v>
      </c>
      <c r="G1434" s="1">
        <v>44</v>
      </c>
      <c r="H1434" s="1">
        <v>163</v>
      </c>
      <c r="I1434" s="1" t="str">
        <f>IF(Table1[[#This Row],[Temperature_F]]&lt;32,"Yes","No")</f>
        <v>No</v>
      </c>
      <c r="J1434" s="1" t="str" cm="1">
        <f t="array" ref="J143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34" s="1" t="str" cm="1">
        <f t="array" ref="K1434">_xlfn.IFS(
H1434=0,"No Rain",
H1434&lt;10,"Light",
H1434&lt;50,"Moderate",
TRUE,"Heavy")</f>
        <v>Heavy</v>
      </c>
      <c r="L1434" s="1" t="str">
        <f>IF(Table1[[#This Row],[Precipitation_mm]]&lt;&gt;0,"Wet","Dry")</f>
        <v>Wet</v>
      </c>
      <c r="M1434" t="b">
        <f>OR(ISBLANK(Table1[[#This Row],[Temperature_F]]),ISERROR(Table1[[#This Row],[Temperature_F]]))</f>
        <v>0</v>
      </c>
    </row>
    <row r="1435" spans="1:13" hidden="1" x14ac:dyDescent="0.25">
      <c r="A1435" s="1" t="s">
        <v>1</v>
      </c>
      <c r="B1435" s="1" t="s">
        <v>2</v>
      </c>
      <c r="C1435" s="1">
        <v>42.360599999999998</v>
      </c>
      <c r="D1435" s="1">
        <v>-71.010599999999997</v>
      </c>
      <c r="E1435" s="5">
        <v>41624</v>
      </c>
      <c r="F1435" s="1" t="str">
        <f t="shared" si="22"/>
        <v>December</v>
      </c>
      <c r="G1435" s="1">
        <v>27</v>
      </c>
      <c r="H1435" s="1">
        <v>0</v>
      </c>
      <c r="I1435" s="1" t="str">
        <f>IF(Table1[[#This Row],[Temperature_F]]&lt;32,"Yes","No")</f>
        <v>Yes</v>
      </c>
      <c r="J1435" s="1" t="str" cm="1">
        <f t="array" ref="J143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35" s="1" t="str" cm="1">
        <f t="array" ref="K1435">_xlfn.IFS(
H1435=0,"No Rain",
H1435&lt;10,"Light",
H1435&lt;50,"Moderate",
TRUE,"Heavy")</f>
        <v>No Rain</v>
      </c>
      <c r="L1435" s="1" t="str">
        <f>IF(Table1[[#This Row],[Precipitation_mm]]&lt;&gt;0,"Wet","Dry")</f>
        <v>Dry</v>
      </c>
      <c r="M1435" t="b">
        <f>OR(ISBLANK(Table1[[#This Row],[Temperature_F]]),ISERROR(Table1[[#This Row],[Temperature_F]]))</f>
        <v>0</v>
      </c>
    </row>
    <row r="1436" spans="1:13" x14ac:dyDescent="0.25">
      <c r="A1436" s="1" t="s">
        <v>1</v>
      </c>
      <c r="B1436" s="1" t="s">
        <v>2</v>
      </c>
      <c r="C1436" s="1">
        <v>42.360599999999998</v>
      </c>
      <c r="D1436" s="1">
        <v>-71.010599999999997</v>
      </c>
      <c r="E1436" s="5">
        <v>41625</v>
      </c>
      <c r="F1436" s="1" t="str">
        <f t="shared" si="22"/>
        <v>December</v>
      </c>
      <c r="G1436" s="1">
        <v>33</v>
      </c>
      <c r="H1436" s="1">
        <v>135</v>
      </c>
      <c r="I1436" s="1" t="str">
        <f>IF(Table1[[#This Row],[Temperature_F]]&lt;32,"Yes","No")</f>
        <v>No</v>
      </c>
      <c r="J1436" s="1" t="str" cm="1">
        <f t="array" ref="J143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36" s="1" t="str" cm="1">
        <f t="array" ref="K1436">_xlfn.IFS(
H1436=0,"No Rain",
H1436&lt;10,"Light",
H1436&lt;50,"Moderate",
TRUE,"Heavy")</f>
        <v>Heavy</v>
      </c>
      <c r="L1436" s="1" t="str">
        <f>IF(Table1[[#This Row],[Precipitation_mm]]&lt;&gt;0,"Wet","Dry")</f>
        <v>Wet</v>
      </c>
      <c r="M1436" t="b">
        <f>OR(ISBLANK(Table1[[#This Row],[Temperature_F]]),ISERROR(Table1[[#This Row],[Temperature_F]]))</f>
        <v>0</v>
      </c>
    </row>
    <row r="1437" spans="1:13" hidden="1" x14ac:dyDescent="0.25">
      <c r="A1437" s="1" t="s">
        <v>1</v>
      </c>
      <c r="B1437" s="1" t="s">
        <v>2</v>
      </c>
      <c r="C1437" s="1">
        <v>42.360599999999998</v>
      </c>
      <c r="D1437" s="1">
        <v>-71.010599999999997</v>
      </c>
      <c r="E1437" s="5">
        <v>41626</v>
      </c>
      <c r="F1437" s="1" t="str">
        <f t="shared" si="22"/>
        <v>December</v>
      </c>
      <c r="G1437" s="1">
        <v>11</v>
      </c>
      <c r="H1437" s="1">
        <v>0</v>
      </c>
      <c r="I1437" s="1" t="str">
        <f>IF(Table1[[#This Row],[Temperature_F]]&lt;32,"Yes","No")</f>
        <v>Yes</v>
      </c>
      <c r="J1437" s="1" t="str" cm="1">
        <f t="array" ref="J143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37" s="1" t="str" cm="1">
        <f t="array" ref="K1437">_xlfn.IFS(
H1437=0,"No Rain",
H1437&lt;10,"Light",
H1437&lt;50,"Moderate",
TRUE,"Heavy")</f>
        <v>No Rain</v>
      </c>
      <c r="L1437" s="1" t="str">
        <f>IF(Table1[[#This Row],[Precipitation_mm]]&lt;&gt;0,"Wet","Dry")</f>
        <v>Dry</v>
      </c>
      <c r="M1437" t="b">
        <f>OR(ISBLANK(Table1[[#This Row],[Temperature_F]]),ISERROR(Table1[[#This Row],[Temperature_F]]))</f>
        <v>0</v>
      </c>
    </row>
    <row r="1438" spans="1:13" hidden="1" x14ac:dyDescent="0.25">
      <c r="A1438" s="1" t="s">
        <v>1</v>
      </c>
      <c r="B1438" s="1" t="s">
        <v>2</v>
      </c>
      <c r="C1438" s="1">
        <v>42.360599999999998</v>
      </c>
      <c r="D1438" s="1">
        <v>-71.010599999999997</v>
      </c>
      <c r="E1438" s="5">
        <v>41627</v>
      </c>
      <c r="F1438" s="1" t="str">
        <f t="shared" si="22"/>
        <v>December</v>
      </c>
      <c r="G1438" s="1">
        <v>22</v>
      </c>
      <c r="H1438" s="1">
        <v>0</v>
      </c>
      <c r="I1438" s="1" t="str">
        <f>IF(Table1[[#This Row],[Temperature_F]]&lt;32,"Yes","No")</f>
        <v>Yes</v>
      </c>
      <c r="J1438" s="1" t="str" cm="1">
        <f t="array" ref="J143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38" s="1" t="str" cm="1">
        <f t="array" ref="K1438">_xlfn.IFS(
H1438=0,"No Rain",
H1438&lt;10,"Light",
H1438&lt;50,"Moderate",
TRUE,"Heavy")</f>
        <v>No Rain</v>
      </c>
      <c r="L1438" s="1" t="str">
        <f>IF(Table1[[#This Row],[Precipitation_mm]]&lt;&gt;0,"Wet","Dry")</f>
        <v>Dry</v>
      </c>
      <c r="M1438" t="b">
        <f>OR(ISBLANK(Table1[[#This Row],[Temperature_F]]),ISERROR(Table1[[#This Row],[Temperature_F]]))</f>
        <v>0</v>
      </c>
    </row>
    <row r="1439" spans="1:13" hidden="1" x14ac:dyDescent="0.25">
      <c r="A1439" s="1" t="s">
        <v>1</v>
      </c>
      <c r="B1439" s="1" t="s">
        <v>2</v>
      </c>
      <c r="C1439" s="1">
        <v>42.360599999999998</v>
      </c>
      <c r="D1439" s="1">
        <v>-71.010599999999997</v>
      </c>
      <c r="E1439" s="5">
        <v>41628</v>
      </c>
      <c r="F1439" s="1" t="str">
        <f t="shared" si="22"/>
        <v>December</v>
      </c>
      <c r="G1439" s="1">
        <v>25</v>
      </c>
      <c r="H1439" s="1">
        <v>0</v>
      </c>
      <c r="I1439" s="1" t="str">
        <f>IF(Table1[[#This Row],[Temperature_F]]&lt;32,"Yes","No")</f>
        <v>Yes</v>
      </c>
      <c r="J1439" s="1" t="str" cm="1">
        <f t="array" ref="J1439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39" s="1" t="str" cm="1">
        <f t="array" ref="K1439">_xlfn.IFS(
H1439=0,"No Rain",
H1439&lt;10,"Light",
H1439&lt;50,"Moderate",
TRUE,"Heavy")</f>
        <v>No Rain</v>
      </c>
      <c r="L1439" s="1" t="str">
        <f>IF(Table1[[#This Row],[Precipitation_mm]]&lt;&gt;0,"Wet","Dry")</f>
        <v>Dry</v>
      </c>
      <c r="M1439" t="b">
        <f>OR(ISBLANK(Table1[[#This Row],[Temperature_F]]),ISERROR(Table1[[#This Row],[Temperature_F]]))</f>
        <v>0</v>
      </c>
    </row>
    <row r="1440" spans="1:13" hidden="1" x14ac:dyDescent="0.25">
      <c r="A1440" s="1" t="s">
        <v>1</v>
      </c>
      <c r="B1440" s="1" t="s">
        <v>2</v>
      </c>
      <c r="C1440" s="1">
        <v>42.360599999999998</v>
      </c>
      <c r="D1440" s="1">
        <v>-71.010599999999997</v>
      </c>
      <c r="E1440" s="5">
        <v>41630</v>
      </c>
      <c r="F1440" s="1" t="str">
        <f t="shared" si="22"/>
        <v>December</v>
      </c>
      <c r="G1440" s="1">
        <v>30</v>
      </c>
      <c r="H1440" s="1">
        <v>3</v>
      </c>
      <c r="I1440" s="1" t="str">
        <f>IF(Table1[[#This Row],[Temperature_F]]&lt;32,"Yes","No")</f>
        <v>Yes</v>
      </c>
      <c r="J1440" s="1" t="str" cm="1">
        <f t="array" ref="J1440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40" s="1" t="str" cm="1">
        <f t="array" ref="K1440">_xlfn.IFS(
H1440=0,"No Rain",
H1440&lt;10,"Light",
H1440&lt;50,"Moderate",
TRUE,"Heavy")</f>
        <v>Light</v>
      </c>
      <c r="L1440" s="1" t="str">
        <f>IF(Table1[[#This Row],[Precipitation_mm]]&lt;&gt;0,"Wet","Dry")</f>
        <v>Wet</v>
      </c>
      <c r="M1440" t="b">
        <f>OR(ISBLANK(Table1[[#This Row],[Temperature_F]]),ISERROR(Table1[[#This Row],[Temperature_F]]))</f>
        <v>0</v>
      </c>
    </row>
    <row r="1441" spans="1:13" x14ac:dyDescent="0.25">
      <c r="A1441" s="1" t="s">
        <v>1</v>
      </c>
      <c r="B1441" s="1" t="s">
        <v>2</v>
      </c>
      <c r="C1441" s="1">
        <v>42.360599999999998</v>
      </c>
      <c r="D1441" s="1">
        <v>-71.010599999999997</v>
      </c>
      <c r="E1441" s="5">
        <v>41631</v>
      </c>
      <c r="F1441" s="1" t="str">
        <f t="shared" si="22"/>
        <v>December</v>
      </c>
      <c r="G1441" s="1">
        <v>36</v>
      </c>
      <c r="H1441" s="1">
        <v>173</v>
      </c>
      <c r="I1441" s="1" t="str">
        <f>IF(Table1[[#This Row],[Temperature_F]]&lt;32,"Yes","No")</f>
        <v>No</v>
      </c>
      <c r="J1441" s="1" t="str" cm="1">
        <f t="array" ref="J1441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41" s="1" t="str" cm="1">
        <f t="array" ref="K1441">_xlfn.IFS(
H1441=0,"No Rain",
H1441&lt;10,"Light",
H1441&lt;50,"Moderate",
TRUE,"Heavy")</f>
        <v>Heavy</v>
      </c>
      <c r="L1441" s="1" t="str">
        <f>IF(Table1[[#This Row],[Precipitation_mm]]&lt;&gt;0,"Wet","Dry")</f>
        <v>Wet</v>
      </c>
      <c r="M1441" t="b">
        <f>OR(ISBLANK(Table1[[#This Row],[Temperature_F]]),ISERROR(Table1[[#This Row],[Temperature_F]]))</f>
        <v>0</v>
      </c>
    </row>
    <row r="1442" spans="1:13" hidden="1" x14ac:dyDescent="0.25">
      <c r="A1442" s="1" t="s">
        <v>1</v>
      </c>
      <c r="B1442" s="1" t="s">
        <v>2</v>
      </c>
      <c r="C1442" s="1">
        <v>42.360599999999998</v>
      </c>
      <c r="D1442" s="1">
        <v>-71.010599999999997</v>
      </c>
      <c r="E1442" s="5">
        <v>41632</v>
      </c>
      <c r="F1442" s="1" t="str">
        <f t="shared" si="22"/>
        <v>December</v>
      </c>
      <c r="G1442" s="1">
        <v>30</v>
      </c>
      <c r="H1442" s="1">
        <v>0</v>
      </c>
      <c r="I1442" s="1" t="str">
        <f>IF(Table1[[#This Row],[Temperature_F]]&lt;32,"Yes","No")</f>
        <v>Yes</v>
      </c>
      <c r="J1442" s="1" t="str" cm="1">
        <f t="array" ref="J1442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42" s="1" t="str" cm="1">
        <f t="array" ref="K1442">_xlfn.IFS(
H1442=0,"No Rain",
H1442&lt;10,"Light",
H1442&lt;50,"Moderate",
TRUE,"Heavy")</f>
        <v>No Rain</v>
      </c>
      <c r="L1442" s="1" t="str">
        <f>IF(Table1[[#This Row],[Precipitation_mm]]&lt;&gt;0,"Wet","Dry")</f>
        <v>Dry</v>
      </c>
      <c r="M1442" t="b">
        <f>OR(ISBLANK(Table1[[#This Row],[Temperature_F]]),ISERROR(Table1[[#This Row],[Temperature_F]]))</f>
        <v>0</v>
      </c>
    </row>
    <row r="1443" spans="1:13" hidden="1" x14ac:dyDescent="0.25">
      <c r="A1443" s="1" t="s">
        <v>1</v>
      </c>
      <c r="B1443" s="1" t="s">
        <v>2</v>
      </c>
      <c r="C1443" s="1">
        <v>42.360599999999998</v>
      </c>
      <c r="D1443" s="1">
        <v>-71.010599999999997</v>
      </c>
      <c r="E1443" s="5">
        <v>41633</v>
      </c>
      <c r="F1443" s="1" t="str">
        <f t="shared" si="22"/>
        <v>December</v>
      </c>
      <c r="G1443" s="1">
        <v>15</v>
      </c>
      <c r="H1443" s="1">
        <v>0</v>
      </c>
      <c r="I1443" s="1" t="str">
        <f>IF(Table1[[#This Row],[Temperature_F]]&lt;32,"Yes","No")</f>
        <v>Yes</v>
      </c>
      <c r="J1443" s="1" t="str" cm="1">
        <f t="array" ref="J1443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43" s="1" t="str" cm="1">
        <f t="array" ref="K1443">_xlfn.IFS(
H1443=0,"No Rain",
H1443&lt;10,"Light",
H1443&lt;50,"Moderate",
TRUE,"Heavy")</f>
        <v>No Rain</v>
      </c>
      <c r="L1443" s="1" t="str">
        <f>IF(Table1[[#This Row],[Precipitation_mm]]&lt;&gt;0,"Wet","Dry")</f>
        <v>Dry</v>
      </c>
      <c r="M1443" t="b">
        <f>OR(ISBLANK(Table1[[#This Row],[Temperature_F]]),ISERROR(Table1[[#This Row],[Temperature_F]]))</f>
        <v>0</v>
      </c>
    </row>
    <row r="1444" spans="1:13" x14ac:dyDescent="0.25">
      <c r="A1444" s="1" t="s">
        <v>1</v>
      </c>
      <c r="B1444" s="1" t="s">
        <v>2</v>
      </c>
      <c r="C1444" s="1">
        <v>42.360599999999998</v>
      </c>
      <c r="D1444" s="1">
        <v>-71.010599999999997</v>
      </c>
      <c r="E1444" s="5">
        <v>41634</v>
      </c>
      <c r="F1444" s="1" t="str">
        <f t="shared" si="22"/>
        <v>December</v>
      </c>
      <c r="G1444" s="1">
        <v>43</v>
      </c>
      <c r="H1444" s="1">
        <v>13</v>
      </c>
      <c r="I1444" s="1" t="str">
        <f>IF(Table1[[#This Row],[Temperature_F]]&lt;32,"Yes","No")</f>
        <v>No</v>
      </c>
      <c r="J1444" s="1" t="str" cm="1">
        <f t="array" ref="J1444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44" s="1" t="str" cm="1">
        <f t="array" ref="K1444">_xlfn.IFS(
H1444=0,"No Rain",
H1444&lt;10,"Light",
H1444&lt;50,"Moderate",
TRUE,"Heavy")</f>
        <v>Moderate</v>
      </c>
      <c r="L1444" s="1" t="str">
        <f>IF(Table1[[#This Row],[Precipitation_mm]]&lt;&gt;0,"Wet","Dry")</f>
        <v>Wet</v>
      </c>
      <c r="M1444" t="b">
        <f>OR(ISBLANK(Table1[[#This Row],[Temperature_F]]),ISERROR(Table1[[#This Row],[Temperature_F]]))</f>
        <v>0</v>
      </c>
    </row>
    <row r="1445" spans="1:13" x14ac:dyDescent="0.25">
      <c r="A1445" s="1" t="s">
        <v>1</v>
      </c>
      <c r="B1445" s="1" t="s">
        <v>2</v>
      </c>
      <c r="C1445" s="1">
        <v>42.360599999999998</v>
      </c>
      <c r="D1445" s="1">
        <v>-71.010599999999997</v>
      </c>
      <c r="E1445" s="5">
        <v>41636</v>
      </c>
      <c r="F1445" s="1" t="str">
        <f t="shared" si="22"/>
        <v>December</v>
      </c>
      <c r="G1445" s="1">
        <v>45</v>
      </c>
      <c r="H1445" s="1">
        <v>0</v>
      </c>
      <c r="I1445" s="1" t="str">
        <f>IF(Table1[[#This Row],[Temperature_F]]&lt;32,"Yes","No")</f>
        <v>No</v>
      </c>
      <c r="J1445" s="1" t="str" cm="1">
        <f t="array" ref="J1445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45" s="1" t="str" cm="1">
        <f t="array" ref="K1445">_xlfn.IFS(
H1445=0,"No Rain",
H1445&lt;10,"Light",
H1445&lt;50,"Moderate",
TRUE,"Heavy")</f>
        <v>No Rain</v>
      </c>
      <c r="L1445" s="1" t="str">
        <f>IF(Table1[[#This Row],[Precipitation_mm]]&lt;&gt;0,"Wet","Dry")</f>
        <v>Dry</v>
      </c>
      <c r="M1445" t="b">
        <f>OR(ISBLANK(Table1[[#This Row],[Temperature_F]]),ISERROR(Table1[[#This Row],[Temperature_F]]))</f>
        <v>0</v>
      </c>
    </row>
    <row r="1446" spans="1:13" x14ac:dyDescent="0.25">
      <c r="A1446" s="1" t="s">
        <v>1</v>
      </c>
      <c r="B1446" s="1" t="s">
        <v>2</v>
      </c>
      <c r="C1446" s="1">
        <v>42.360599999999998</v>
      </c>
      <c r="D1446" s="1">
        <v>-71.010599999999997</v>
      </c>
      <c r="E1446" s="5">
        <v>41637</v>
      </c>
      <c r="F1446" s="1" t="str">
        <f t="shared" si="22"/>
        <v>December</v>
      </c>
      <c r="G1446" s="1">
        <v>34</v>
      </c>
      <c r="H1446" s="1">
        <v>335</v>
      </c>
      <c r="I1446" s="1" t="str">
        <f>IF(Table1[[#This Row],[Temperature_F]]&lt;32,"Yes","No")</f>
        <v>No</v>
      </c>
      <c r="J1446" s="1" t="str" cm="1">
        <f t="array" ref="J1446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Cold</v>
      </c>
      <c r="K1446" s="1" t="str" cm="1">
        <f t="array" ref="K1446">_xlfn.IFS(
H1446=0,"No Rain",
H1446&lt;10,"Light",
H1446&lt;50,"Moderate",
TRUE,"Heavy")</f>
        <v>Heavy</v>
      </c>
      <c r="L1446" s="1" t="str">
        <f>IF(Table1[[#This Row],[Precipitation_mm]]&lt;&gt;0,"Wet","Dry")</f>
        <v>Wet</v>
      </c>
      <c r="M1446" t="b">
        <f>OR(ISBLANK(Table1[[#This Row],[Temperature_F]]),ISERROR(Table1[[#This Row],[Temperature_F]]))</f>
        <v>0</v>
      </c>
    </row>
    <row r="1447" spans="1:13" hidden="1" x14ac:dyDescent="0.25">
      <c r="A1447" s="1" t="s">
        <v>1</v>
      </c>
      <c r="B1447" s="1" t="s">
        <v>2</v>
      </c>
      <c r="C1447" s="1">
        <v>42.360599999999998</v>
      </c>
      <c r="D1447" s="1">
        <v>-71.010599999999997</v>
      </c>
      <c r="E1447" s="5">
        <v>41638</v>
      </c>
      <c r="F1447" s="1" t="str">
        <f t="shared" si="22"/>
        <v>December</v>
      </c>
      <c r="G1447" s="1">
        <v>29</v>
      </c>
      <c r="H1447" s="1">
        <v>0</v>
      </c>
      <c r="I1447" s="1" t="str">
        <f>IF(Table1[[#This Row],[Temperature_F]]&lt;32,"Yes","No")</f>
        <v>Yes</v>
      </c>
      <c r="J1447" s="1" t="str" cm="1">
        <f t="array" ref="J1447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47" s="1" t="str" cm="1">
        <f t="array" ref="K1447">_xlfn.IFS(
H1447=0,"No Rain",
H1447&lt;10,"Light",
H1447&lt;50,"Moderate",
TRUE,"Heavy")</f>
        <v>No Rain</v>
      </c>
      <c r="L1447" s="1" t="str">
        <f>IF(Table1[[#This Row],[Precipitation_mm]]&lt;&gt;0,"Wet","Dry")</f>
        <v>Dry</v>
      </c>
      <c r="M1447" t="b">
        <f>OR(ISBLANK(Table1[[#This Row],[Temperature_F]]),ISERROR(Table1[[#This Row],[Temperature_F]]))</f>
        <v>0</v>
      </c>
    </row>
    <row r="1448" spans="1:13" hidden="1" x14ac:dyDescent="0.25">
      <c r="A1448" s="1" t="s">
        <v>1</v>
      </c>
      <c r="B1448" s="1" t="s">
        <v>2</v>
      </c>
      <c r="C1448" s="1">
        <v>42.360599999999998</v>
      </c>
      <c r="D1448" s="1">
        <v>-71.010599999999997</v>
      </c>
      <c r="E1448" s="5">
        <v>41639</v>
      </c>
      <c r="F1448" s="1" t="str">
        <f t="shared" si="22"/>
        <v>December</v>
      </c>
      <c r="G1448" s="1">
        <v>19</v>
      </c>
      <c r="H1448" s="1">
        <v>0</v>
      </c>
      <c r="I1448" s="1" t="str">
        <f>IF(Table1[[#This Row],[Temperature_F]]&lt;32,"Yes","No")</f>
        <v>Yes</v>
      </c>
      <c r="J1448" s="1" t="str" cm="1">
        <f t="array" ref="J1448">_xlfn.IFS(Table1[[#This Row],[Temperature_F]]&lt;=32,"Freezing",
          Table1[[#This Row],[Temperature_F]]&lt;=50,"Cold",
          Table1[[#This Row],[Temperature_F]]&lt;=68,"Cool",
          Table1[[#This Row],[Temperature_F]]&lt;=86,"Warm",
          TRUE,"Hot")</f>
        <v>Freezing</v>
      </c>
      <c r="K1448" s="1" t="str" cm="1">
        <f t="array" ref="K1448">_xlfn.IFS(
H1448=0,"No Rain",
H1448&lt;10,"Light",
H1448&lt;50,"Moderate",
TRUE,"Heavy")</f>
        <v>No Rain</v>
      </c>
      <c r="L1448" s="1" t="str">
        <f>IF(Table1[[#This Row],[Precipitation_mm]]&lt;&gt;0,"Wet","Dry")</f>
        <v>Dry</v>
      </c>
      <c r="M1448" t="b">
        <f>OR(ISBLANK(Table1[[#This Row],[Temperature_F]]),ISERROR(Table1[[#This Row],[Temperature_F]]))</f>
        <v>0</v>
      </c>
    </row>
  </sheetData>
  <dataConsolidate/>
  <mergeCells count="1">
    <mergeCell ref="E1:M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D8AB-945D-4DA9-A2B8-C3785145115E}">
  <dimension ref="A1:I4"/>
  <sheetViews>
    <sheetView workbookViewId="0">
      <selection activeCell="D28" sqref="D28"/>
    </sheetView>
  </sheetViews>
  <sheetFormatPr defaultRowHeight="15" x14ac:dyDescent="0.25"/>
  <cols>
    <col min="1" max="1" width="9.28515625" bestFit="1" customWidth="1"/>
    <col min="2" max="2" width="9.85546875" customWidth="1"/>
    <col min="3" max="3" width="18" customWidth="1"/>
    <col min="4" max="4" width="20.7109375" customWidth="1"/>
    <col min="5" max="5" width="9.28515625" customWidth="1"/>
    <col min="6" max="6" width="10.42578125" customWidth="1"/>
    <col min="7" max="7" width="21.140625" customWidth="1"/>
    <col min="8" max="8" width="13.5703125" customWidth="1"/>
    <col min="9" max="9" width="16.5703125" customWidth="1"/>
  </cols>
  <sheetData>
    <row r="1" spans="1:9" s="2" customFormat="1" ht="15.75" x14ac:dyDescent="0.25">
      <c r="A1" s="4" t="s">
        <v>10</v>
      </c>
      <c r="B1" s="3" t="s">
        <v>11</v>
      </c>
      <c r="C1" s="3" t="s">
        <v>12</v>
      </c>
      <c r="D1" s="3" t="s">
        <v>13</v>
      </c>
      <c r="E1" s="2" t="s">
        <v>3</v>
      </c>
      <c r="F1" s="2" t="s">
        <v>4</v>
      </c>
      <c r="G1" s="2" t="s">
        <v>14</v>
      </c>
      <c r="H1" s="2" t="s">
        <v>0</v>
      </c>
      <c r="I1" s="2" t="s">
        <v>5</v>
      </c>
    </row>
    <row r="2" spans="1:9" x14ac:dyDescent="0.25">
      <c r="A2" s="5">
        <v>40180</v>
      </c>
      <c r="B2" s="1" t="s">
        <v>15</v>
      </c>
      <c r="C2" s="1">
        <v>12</v>
      </c>
      <c r="D2" s="1">
        <v>109</v>
      </c>
      <c r="E2" s="1" t="str">
        <f>IF(Table2[[#This Row],[Temperature_F]]&lt;32,"Yes","No")</f>
        <v>Yes</v>
      </c>
      <c r="F2" s="1" t="str" cm="1">
        <f t="array" ref="F2">_xlfn.IFS(Table2[[#This Row],[Temperature_F]]&lt;=32,"Freezing",
          Table2[[#This Row],[Temperature_F]]&lt;=50,"Cold",
          Table2[[#This Row],[Temperature_F]]&lt;=68,"Cool",
          Table2[[#This Row],[Temperature_F]]&lt;=86,"Warm",
          TRUE,"Hot")</f>
        <v>Freezing</v>
      </c>
      <c r="G2" s="1" t="str" cm="1">
        <f t="array" ref="G2">_xlfn.IFS(
Table2[[#This Row],[Precipitation_mm]]=0,"No Rain",
Table2[[#This Row],[Precipitation_mm]]&lt;10,"Light",
Table2[[#This Row],[Precipitation_mm]]&lt;50,"Moderate",
TRUE,"Heavy"
)</f>
        <v>Heavy</v>
      </c>
      <c r="H2" s="1" t="s">
        <v>16</v>
      </c>
      <c r="I2" t="b">
        <v>0</v>
      </c>
    </row>
    <row r="3" spans="1:9" x14ac:dyDescent="0.25">
      <c r="A3" s="5">
        <v>40179</v>
      </c>
      <c r="B3" s="1" t="str">
        <f>TEXT(A3,"mmmm")</f>
        <v>January</v>
      </c>
      <c r="C3" s="1">
        <v>37</v>
      </c>
      <c r="D3" s="1">
        <v>0</v>
      </c>
      <c r="E3" s="1" t="str">
        <f>IF(Table2[[#This Row],[Temperature_F]]&lt;32,"Yes","No")</f>
        <v>No</v>
      </c>
      <c r="F3" s="1" t="str" cm="1">
        <f t="array" ref="F3">_xlfn.IFS(Table2[[#This Row],[Temperature_F]]&lt;=32,"Freezing",
          Table2[[#This Row],[Temperature_F]]&lt;=50,"Cold",
          Table2[[#This Row],[Temperature_F]]&lt;=68,"Cool",
          Table2[[#This Row],[Temperature_F]]&lt;=86,"Warm",
          TRUE,"Hot")</f>
        <v>Cold</v>
      </c>
      <c r="G3" s="1" t="str" cm="1">
        <f t="array" ref="G3">_xlfn.IFS(
Table2[[#This Row],[Precipitation_mm]]=0,"No Rain",
Table2[[#This Row],[Precipitation_mm]]&lt;10,"Light",
Table2[[#This Row],[Precipitation_mm]]&lt;50,"Moderate",
TRUE,"Heavy"
)</f>
        <v>No Rain</v>
      </c>
      <c r="H3" s="1" t="e">
        <f>IF(Table1[[#This Row],[Precipitation_mm]]&lt;&gt;0,"Wet","Dry")</f>
        <v>#VALUE!</v>
      </c>
      <c r="I3" t="b">
        <f>OR(ISBLANK(Table1[[#This Row],[Temperature_F]]),ISERROR(Table1[[#This Row],[Temperature_F]]))</f>
        <v>1</v>
      </c>
    </row>
    <row r="4" spans="1:9" x14ac:dyDescent="0.25">
      <c r="A4" s="5">
        <v>40199</v>
      </c>
      <c r="B4" s="1" t="s">
        <v>15</v>
      </c>
      <c r="C4" s="1">
        <v>41</v>
      </c>
      <c r="D4" s="1">
        <v>0</v>
      </c>
      <c r="E4" s="1" t="s">
        <v>17</v>
      </c>
      <c r="F4" s="1" t="s">
        <v>18</v>
      </c>
      <c r="G4" s="1" t="s">
        <v>19</v>
      </c>
      <c r="H4" s="1" t="s">
        <v>20</v>
      </c>
      <c r="I4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Weather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CDutton</dc:creator>
  <cp:lastModifiedBy>sabbir hossain</cp:lastModifiedBy>
  <dcterms:created xsi:type="dcterms:W3CDTF">2015-08-04T23:33:23Z</dcterms:created>
  <dcterms:modified xsi:type="dcterms:W3CDTF">2026-07-22T06:50:42Z</dcterms:modified>
</cp:coreProperties>
</file>