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1a2133a404dad2f5/Desktop/Data Analist/Excel/FORMULAS ^0 FUNCTIONS/Assignment/"/>
    </mc:Choice>
  </mc:AlternateContent>
  <xr:revisionPtr revIDLastSave="18" documentId="13_ncr:1_{F9CD5552-FF96-4ACC-A599-559ACD647041}" xr6:coauthVersionLast="47" xr6:coauthVersionMax="47" xr10:uidLastSave="{EB2BE540-4F11-479B-A187-7FF723B174B0}"/>
  <bookViews>
    <workbookView xWindow="-120" yWindow="-120" windowWidth="19440" windowHeight="15000" tabRatio="703" xr2:uid="{00000000-000D-0000-FFFF-FFFF00000000}"/>
  </bookViews>
  <sheets>
    <sheet name="ScrollChart" sheetId="9" r:id="rId1"/>
  </sheets>
  <definedNames>
    <definedName name="Clicks" localSheetId="0">INDEX(ScrollChart!$E$3:$E$14,MIN(ScrollChart!$E$21,COUNT(ScrollChart!$D$3:$D$14)-MIN(ScrollChart!$E$22,COUNT(ScrollChart!$D$3:$D$14))+1)):INDEX(ScrollChart!$E$3:$E$14,MIN(ScrollChart!$E$21,COUNT(ScrollChart!$D$3:$D$14)-MIN(ScrollChart!$E$22,COUNT(ScrollChart!$D$3:$D$14))+1)+MIN(ScrollChart!$E$22,COUNT(ScrollChart!$D$3:$D$14))-1)</definedName>
    <definedName name="Impressions" localSheetId="0">INDEX(ScrollChart!$D$3:$D$14,MIN(ScrollChart!$E$21,COUNT(ScrollChart!$D$3:$D$14)-MIN(ScrollChart!$E$22,COUNT(ScrollChart!$D$3:$D$14))+1)):INDEX(ScrollChart!$D$3:$D$14,MIN(ScrollChart!$E$21,COUNT(ScrollChart!$D$3:$D$14)-MIN(ScrollChart!$E$22,COUNT(ScrollChart!$D$3:$D$14))+1)+MIN(ScrollChart!$E$22,COUNT(ScrollChart!$D$3:$D$14))-1)</definedName>
    <definedName name="Month" localSheetId="0">INDEX(ScrollChart!$C$3:$C$14,MIN(ScrollChart!$E$21,COUNT(ScrollChart!$D$3:$D$14)-MIN(ScrollChart!$E$22,COUNT(ScrollChart!$D$3:$D$14))+1)):INDEX(ScrollChart!$C$3:$C$14,MIN(ScrollChart!$E$21,COUNT(ScrollChart!$D$3:$D$14)-MIN(ScrollChart!$E$22,COUNT(ScrollChart!$D$3:$D$14))+1)+MIN(ScrollChart!$E$22,COUNT(ScrollChart!$D$3:$D$14))-1)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4" i="9" l="1" a="1"/>
  <c r="J5" i="9" a="1"/>
  <c r="J6" i="9" a="1"/>
  <c r="J7" i="9" a="1"/>
  <c r="J8" i="9" a="1"/>
  <c r="J9" i="9" a="1"/>
  <c r="J10" i="9" a="1"/>
  <c r="J11" i="9" a="1"/>
  <c r="J12" i="9" a="1"/>
  <c r="J13" i="9" a="1"/>
  <c r="J14" i="9" a="1"/>
  <c r="J3" i="9" a="1"/>
  <c r="I4" i="9" a="1"/>
  <c r="I5" i="9" a="1"/>
  <c r="I6" i="9" a="1"/>
  <c r="I7" i="9" a="1"/>
  <c r="I8" i="9" a="1"/>
  <c r="I9" i="9" a="1"/>
  <c r="I10" i="9" a="1"/>
  <c r="I11" i="9" a="1"/>
  <c r="I12" i="9" a="1"/>
  <c r="I13" i="9" a="1"/>
  <c r="I14" i="9" a="1"/>
  <c r="H4" i="9" a="1"/>
  <c r="H5" i="9" a="1"/>
  <c r="H6" i="9" a="1"/>
  <c r="H7" i="9" a="1"/>
  <c r="H8" i="9" a="1"/>
  <c r="H9" i="9" a="1"/>
  <c r="H10" i="9" a="1"/>
  <c r="H11" i="9" a="1"/>
  <c r="H12" i="9" a="1"/>
  <c r="H13" i="9" a="1"/>
  <c r="H14" i="9" a="1"/>
  <c r="H3" i="9" a="1"/>
  <c r="I3" i="9" a="1"/>
  <c r="J18" i="9" a="1"/>
  <c r="I18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<sst xmlns="http://schemas.openxmlformats.org/spreadsheetml/2006/main" count="22" uniqueCount="19">
  <si>
    <t>Month</t>
  </si>
  <si>
    <t>Impressions</t>
  </si>
  <si>
    <t>Clicks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</si>
  <si>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</si>
  <si>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</si>
  <si>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</si>
  <si>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</si>
  <si>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</si>
  <si>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</si>
  <si>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</si>
  <si>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</si>
  <si>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</si>
  <si>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</si>
  <si>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</si>
  <si>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</si>
  <si>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Scroll:</t>
  </si>
  <si>
    <t>Scroll index:</t>
  </si>
  <si>
    <t>Zoom index:</t>
  </si>
  <si>
    <t>Zoom: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</si>
</sst>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2"/>
      <color indexed="8"/>
      <name val="Calibri"/>
      <family val="2"/>
    </font>
    <font>
      <sz val="10"/>
      <name val="Arial"/>
      <family val="2"/>
    </font>
    <font>
      <b/>
      <i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 Unicode MS"/>
    </font>
  </fonts>
  <fills count="3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8">
    <xf numFmtId="0" fontId="0" fillId="0" borderId="0"/>
    <xf numFmtId="0" fontId="2" fillId="0" borderId="0"/>
    <xf numFmtId="0" fontId="4" fillId="0" borderId="0"/>
    <xf numFmtId="43" fontId="7" fillId="0" borderId="0" applyFont="0" applyFill="0" applyBorder="0" applyAlignment="0" applyProtection="0"/>
    <xf numFmtId="0" fontId="1" fillId="0" borderId="0"/>
    <xf numFmtId="0" fontId="10" fillId="0" borderId="0" applyNumberFormat="0" applyFill="0" applyBorder="0" applyAlignment="0" applyProtection="0"/>
    <xf numFmtId="0" fontId="11" fillId="0" borderId="6" applyNumberFormat="0" applyFill="0" applyAlignment="0" applyProtection="0"/>
    <xf numFmtId="0" fontId="12" fillId="0" borderId="7" applyNumberFormat="0" applyFill="0" applyAlignment="0" applyProtection="0"/>
    <xf numFmtId="0" fontId="13" fillId="0" borderId="8" applyNumberFormat="0" applyFill="0" applyAlignment="0" applyProtection="0"/>
    <xf numFmtId="0" fontId="13" fillId="0" borderId="0" applyNumberFormat="0" applyFill="0" applyBorder="0" applyAlignment="0" applyProtection="0"/>
    <xf numFmtId="0" fontId="15" fillId="0" borderId="0"/>
    <xf numFmtId="0" fontId="16" fillId="5" borderId="0" applyNumberFormat="0" applyBorder="0" applyAlignment="0" applyProtection="0"/>
    <xf numFmtId="0" fontId="17" fillId="6" borderId="0" applyNumberFormat="0" applyBorder="0" applyAlignment="0" applyProtection="0"/>
    <xf numFmtId="0" fontId="18" fillId="7" borderId="0" applyNumberFormat="0" applyBorder="0" applyAlignment="0" applyProtection="0"/>
    <xf numFmtId="0" fontId="19" fillId="8" borderId="9" applyNumberFormat="0" applyAlignment="0" applyProtection="0"/>
    <xf numFmtId="0" fontId="20" fillId="9" borderId="10" applyNumberFormat="0" applyAlignment="0" applyProtection="0"/>
    <xf numFmtId="0" fontId="21" fillId="9" borderId="9" applyNumberFormat="0" applyAlignment="0" applyProtection="0"/>
    <xf numFmtId="0" fontId="22" fillId="0" borderId="11" applyNumberFormat="0" applyFill="0" applyAlignment="0" applyProtection="0"/>
    <xf numFmtId="0" fontId="23" fillId="10" borderId="12" applyNumberFormat="0" applyAlignment="0" applyProtection="0"/>
    <xf numFmtId="0" fontId="24" fillId="0" borderId="0" applyNumberFormat="0" applyFill="0" applyBorder="0" applyAlignment="0" applyProtection="0"/>
    <xf numFmtId="0" fontId="15" fillId="11" borderId="13" applyNumberFormat="0" applyFont="0" applyAlignment="0" applyProtection="0"/>
    <xf numFmtId="0" fontId="25" fillId="0" borderId="0" applyNumberFormat="0" applyFill="0" applyBorder="0" applyAlignment="0" applyProtection="0"/>
    <xf numFmtId="0" fontId="14" fillId="0" borderId="14" applyNumberFormat="0" applyFill="0" applyAlignment="0" applyProtection="0"/>
    <xf numFmtId="0" fontId="26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26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26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26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26" fillId="28" borderId="0" applyNumberFormat="0" applyBorder="0" applyAlignment="0" applyProtection="0"/>
    <xf numFmtId="0" fontId="15" fillId="29" borderId="0" applyNumberFormat="0" applyBorder="0" applyAlignment="0" applyProtection="0"/>
    <xf numFmtId="0" fontId="15" fillId="30" borderId="0" applyNumberFormat="0" applyBorder="0" applyAlignment="0" applyProtection="0"/>
    <xf numFmtId="0" fontId="15" fillId="31" borderId="0" applyNumberFormat="0" applyBorder="0" applyAlignment="0" applyProtection="0"/>
    <xf numFmtId="0" fontId="26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4" borderId="0" applyNumberFormat="0" applyBorder="0" applyAlignment="0" applyProtection="0"/>
    <xf numFmtId="0" fontId="15" fillId="35" borderId="0" applyNumberFormat="0" applyBorder="0" applyAlignment="0" applyProtection="0"/>
    <xf numFmtId="0" fontId="27" fillId="0" borderId="0"/>
  </cellStyleXfs>
  <cellXfs count="15">
    <xf numFmtId="0" fontId="0" fillId="0" borderId="0" xfId="0"/>
    <xf numFmtId="0" fontId="2" fillId="0" borderId="0" xfId="1"/>
    <xf numFmtId="0" fontId="3" fillId="0" borderId="0" xfId="1" applyFont="1" applyAlignment="1">
      <alignment horizontal="right"/>
    </xf>
    <xf numFmtId="0" fontId="4" fillId="0" borderId="0" xfId="2"/>
    <xf numFmtId="0" fontId="5" fillId="4" borderId="3" xfId="2" applyFont="1" applyFill="1" applyBorder="1" applyAlignment="1">
      <alignment horizontal="center"/>
    </xf>
    <xf numFmtId="0" fontId="5" fillId="4" borderId="4" xfId="2" applyFont="1" applyFill="1" applyBorder="1" applyAlignment="1">
      <alignment horizontal="center"/>
    </xf>
    <xf numFmtId="0" fontId="5" fillId="4" borderId="5" xfId="2" applyFont="1" applyFill="1" applyBorder="1" applyAlignment="1">
      <alignment horizontal="center"/>
    </xf>
    <xf numFmtId="0" fontId="4" fillId="2" borderId="2" xfId="2" applyFill="1" applyBorder="1" applyAlignment="1">
      <alignment horizontal="center"/>
    </xf>
    <xf numFmtId="164" fontId="4" fillId="2" borderId="1" xfId="3" applyNumberFormat="1" applyFont="1" applyFill="1" applyBorder="1" applyAlignment="1">
      <alignment horizontal="center"/>
    </xf>
    <xf numFmtId="0" fontId="4" fillId="0" borderId="3" xfId="2" applyBorder="1"/>
    <xf numFmtId="0" fontId="8" fillId="3" borderId="1" xfId="2" applyFont="1" applyFill="1" applyBorder="1" applyAlignment="1">
      <alignment horizontal="center"/>
    </xf>
    <xf numFmtId="1" fontId="6" fillId="2" borderId="1" xfId="2" applyNumberFormat="1" applyFont="1" applyFill="1" applyBorder="1" applyAlignment="1">
      <alignment horizontal="center"/>
    </xf>
    <xf numFmtId="1" fontId="2" fillId="0" borderId="0" xfId="1" applyNumberFormat="1"/>
    <xf numFmtId="0" fontId="9" fillId="0" borderId="0" xfId="1" applyFont="1" applyAlignment="1">
      <alignment horizontal="right"/>
    </xf>
    <xf numFmtId="0" fontId="28" fillId="0" borderId="0" xfId="0" applyFont="1"/>
  </cellXfs>
  <cellStyles count="48">
    <cellStyle name="20% - Accent1 2" xfId="24" xr:uid="{882A8792-F2C6-430D-88B3-724C320CB32B}"/>
    <cellStyle name="20% - Accent2 2" xfId="28" xr:uid="{2A81B5CD-2504-40F8-A4A6-7F3AE247F08B}"/>
    <cellStyle name="20% - Accent3 2" xfId="32" xr:uid="{C83D67FC-69F5-4E17-B7D4-97ABF1D3B990}"/>
    <cellStyle name="20% - Accent4 2" xfId="36" xr:uid="{133439A3-926F-48FA-8493-C45B6BC8DA93}"/>
    <cellStyle name="20% - Accent5 2" xfId="40" xr:uid="{5AE3C2AA-31BC-4104-9A7E-F447A914F6D0}"/>
    <cellStyle name="20% - Accent6 2" xfId="44" xr:uid="{7C731281-BABB-457C-8732-BDBD10CDCC6D}"/>
    <cellStyle name="40% - Accent1 2" xfId="25" xr:uid="{E7C99E4C-FAA3-4B7E-B4F2-66DFAAB82107}"/>
    <cellStyle name="40% - Accent2 2" xfId="29" xr:uid="{E2BC79EB-49CE-4D38-9575-6BEBFBFC0C9E}"/>
    <cellStyle name="40% - Accent3 2" xfId="33" xr:uid="{946024AC-7AEE-4EEC-9279-F3313DDE69D7}"/>
    <cellStyle name="40% - Accent4 2" xfId="37" xr:uid="{A4BE2324-642B-4D60-944D-2E7A58FDCCF6}"/>
    <cellStyle name="40% - Accent5 2" xfId="41" xr:uid="{934ADA0B-583A-4F24-B3BA-4CD83274CBAF}"/>
    <cellStyle name="40% - Accent6 2" xfId="45" xr:uid="{AD0734AD-72D2-4487-AB8A-F3FE8466A0F4}"/>
    <cellStyle name="60% - Accent1 2" xfId="26" xr:uid="{B72CB7D0-2A23-4ED4-B287-DE9C69193871}"/>
    <cellStyle name="60% - Accent2 2" xfId="30" xr:uid="{7F42A10C-3170-42D6-A21C-6F62D9D717A4}"/>
    <cellStyle name="60% - Accent3 2" xfId="34" xr:uid="{8A12F80F-5AA4-40E7-8E67-E51E96C5B369}"/>
    <cellStyle name="60% - Accent4 2" xfId="38" xr:uid="{511E2484-9E81-4947-99C5-4DA6F78846D9}"/>
    <cellStyle name="60% - Accent5 2" xfId="42" xr:uid="{F09CC7D6-F18B-4524-92BD-798D299C0BD2}"/>
    <cellStyle name="60% - Accent6 2" xfId="46" xr:uid="{E8F78889-DCF7-447B-8C26-1466D7191201}"/>
    <cellStyle name="Accent1 2" xfId="23" xr:uid="{37F97C98-C26D-411C-9067-98B4C47355C2}"/>
    <cellStyle name="Accent2 2" xfId="27" xr:uid="{A22D264E-BF1F-4A48-BEAC-8FDD158CEB8C}"/>
    <cellStyle name="Accent3 2" xfId="31" xr:uid="{98C4CA87-16D2-427E-9707-98C006685B7A}"/>
    <cellStyle name="Accent4 2" xfId="35" xr:uid="{A122CF22-CE7E-47E6-AC2E-32548FDB2D8D}"/>
    <cellStyle name="Accent5 2" xfId="39" xr:uid="{7854E139-4883-4691-B381-009EF866D773}"/>
    <cellStyle name="Accent6 2" xfId="43" xr:uid="{FF85C58E-B126-42E7-9AD9-44301A014177}"/>
    <cellStyle name="Bad 2" xfId="12" xr:uid="{9384331C-9432-4CC8-BB22-DF8F2E9E9092}"/>
    <cellStyle name="Calculation 2" xfId="16" xr:uid="{6C6C8BB5-3686-4658-8A70-BB5AE63FD28E}"/>
    <cellStyle name="Check Cell 2" xfId="18" xr:uid="{33CADEC1-85B1-4F1C-AA3D-1FD2FE5229CA}"/>
    <cellStyle name="Comma" xfId="3" builtinId="3"/>
    <cellStyle name="Explanatory Text 2" xfId="21" xr:uid="{FE5663BA-F4C1-435E-8AF7-E796A586D051}"/>
    <cellStyle name="Good 2" xfId="11" xr:uid="{06AF3748-DA2C-4036-B773-A424F02C94BF}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Input 2" xfId="14" xr:uid="{D10243ED-B7F9-4E7D-AF28-3428F1C3F7C1}"/>
    <cellStyle name="Linked Cell 2" xfId="17" xr:uid="{711EB41F-7425-4B13-830C-22D2DB31BC55}"/>
    <cellStyle name="Neutral 2" xfId="13" xr:uid="{0194B931-A1D8-43BA-A498-7AC7904C61A1}"/>
    <cellStyle name="Normal" xfId="0" builtinId="0"/>
    <cellStyle name="Normal 2" xfId="1" xr:uid="{00000000-0005-0000-0000-000002000000}"/>
    <cellStyle name="Normal 2 2" xfId="47" xr:uid="{752C9C08-663F-4F1E-A63A-43FFD79C6DBD}"/>
    <cellStyle name="Normal 3" xfId="4" xr:uid="{00000000-0005-0000-0000-000003000000}"/>
    <cellStyle name="Normal 4" xfId="10" xr:uid="{DD0FB6C8-5C05-4036-AC8E-664D8BC7902E}"/>
    <cellStyle name="Normal_Sheet1" xfId="2" xr:uid="{00000000-0005-0000-0000-000004000000}"/>
    <cellStyle name="Note 2" xfId="20" xr:uid="{00309D23-11BC-4E65-91C9-5295046CDF69}"/>
    <cellStyle name="Output 2" xfId="15" xr:uid="{9EA78019-23BA-4720-A453-99EA6047B460}"/>
    <cellStyle name="Title" xfId="5" builtinId="15" customBuiltin="1"/>
    <cellStyle name="Total 2" xfId="22" xr:uid="{5F0C9C5D-638C-439F-BC12-FA62B430C82C}"/>
    <cellStyle name="Warning Text 2" xfId="19" xr:uid="{0C9FFE86-E664-420B-B9B9-0C62EF3A21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Impressions</a:t>
            </a:r>
          </a:p>
        </c:rich>
      </c:tx>
      <c:overlay val="0"/>
      <c:spPr>
        <a:solidFill>
          <a:srgbClr val="00206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ScrollChart!$I$2</c:f>
              <c:strCache>
                <c:ptCount val="1"/>
                <c:pt idx="0">
                  <c:v>Impressions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ScrollChart!Month</c:f>
              <c:strCache>
                <c:ptCount val="6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</c:strCache>
            </c:strRef>
          </c:cat>
          <c:val>
            <c:numRef>
              <c:f>ScrollChart!Impressions</c:f>
              <c:numCache>
                <c:formatCode>_(* #,##0_);_(* \(#,##0\);_(* "-"??_);_(@_)</c:formatCode>
                <c:ptCount val="6"/>
                <c:pt idx="0">
                  <c:v>584486</c:v>
                </c:pt>
                <c:pt idx="1">
                  <c:v>2157640</c:v>
                </c:pt>
                <c:pt idx="2">
                  <c:v>4236023</c:v>
                </c:pt>
                <c:pt idx="3">
                  <c:v>140198</c:v>
                </c:pt>
                <c:pt idx="4">
                  <c:v>299678</c:v>
                </c:pt>
                <c:pt idx="5">
                  <c:v>2707191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44D-42A1-8762-9221FE86C2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5781599"/>
        <c:axId val="1039162447"/>
      </c:lineChart>
      <c:catAx>
        <c:axId val="14357815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162447"/>
        <c:crosses val="autoZero"/>
        <c:auto val="1"/>
        <c:lblAlgn val="ctr"/>
        <c:lblOffset val="100"/>
        <c:noMultiLvlLbl val="0"/>
      </c:catAx>
      <c:valAx>
        <c:axId val="1039162447"/>
        <c:scaling>
          <c:orientation val="minMax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781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croll" dx="22" fmlaLink="$E$21" horiz="1" max="12" min="1" page="0" val="3"/>
</file>

<file path=xl/ctrlProps/ctrlProp2.xml><?xml version="1.0" encoding="utf-8"?>
<formControlPr xmlns="http://schemas.microsoft.com/office/spreadsheetml/2009/9/main" objectType="Scroll" dx="22" fmlaLink="$E$22" horiz="1" max="12" min="1" page="0" val="6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133350</xdr:colOff>
          <xdr:row>17</xdr:row>
          <xdr:rowOff>9525</xdr:rowOff>
        </xdr:from>
        <xdr:to>
          <xdr:col>12</xdr:col>
          <xdr:colOff>504825</xdr:colOff>
          <xdr:row>18</xdr:row>
          <xdr:rowOff>95250</xdr:rowOff>
        </xdr:to>
        <xdr:sp macro="" textlink="">
          <xdr:nvSpPr>
            <xdr:cNvPr id="1032" name="Scroll Bar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1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21</xdr:row>
          <xdr:rowOff>9525</xdr:rowOff>
        </xdr:from>
        <xdr:to>
          <xdr:col>12</xdr:col>
          <xdr:colOff>485775</xdr:colOff>
          <xdr:row>22</xdr:row>
          <xdr:rowOff>57150</xdr:rowOff>
        </xdr:to>
        <xdr:sp macro="" textlink="">
          <xdr:nvSpPr>
            <xdr:cNvPr id="1033" name="Scroll Bar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1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142875</xdr:colOff>
      <xdr:row>0</xdr:row>
      <xdr:rowOff>85726</xdr:rowOff>
    </xdr:from>
    <xdr:to>
      <xdr:col>6</xdr:col>
      <xdr:colOff>123825</xdr:colOff>
      <xdr:row>19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3C15726-FC6A-C390-67FF-3B04CDB0ED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tabColor theme="8" tint="0.59999389629810485"/>
  </sheetPr>
  <dimension ref="C2:N24"/>
  <sheetViews>
    <sheetView showGridLines="0" tabSelected="1" workbookViewId="0">
      <selection activeCell="I27" sqref="I27"/>
    </sheetView>
  </sheetViews>
  <sheetFormatPr defaultColWidth="9.140625" defaultRowHeight="15"/>
  <cols>
    <col min="1" max="2" width="9.140625" style="1"/>
    <col min="3" max="3" width="14.42578125" style="1" customWidth="1"/>
    <col min="4" max="4" width="13.140625" style="1" customWidth="1"/>
    <col min="5" max="5" width="13" style="1" customWidth="1"/>
    <col min="6" max="6" width="9.140625" style="1" customWidth="1"/>
    <col min="7" max="7" width="9.140625" style="1"/>
    <col min="8" max="8" width="10.140625" style="1" customWidth="1"/>
    <col min="9" max="9" width="11.7109375" style="1" customWidth="1"/>
    <col min="10" max="10" width="10.42578125" style="1" customWidth="1"/>
    <col min="11" max="16384" width="9.140625" style="1"/>
  </cols>
  <sheetData>
    <row r="2" spans="3:14" ht="15.75" thickBot="1">
      <c r="C2" s="5" t="s">
        <v>0</v>
      </c>
      <c r="D2" s="6" t="s">
        <v>1</v>
      </c>
      <c r="E2" s="4" t="s">
        <v>2</v>
      </c>
      <c r="H2" s="5" t="s">
        <v>0</v>
      </c>
      <c r="I2" s="6" t="s">
        <v>1</v>
      </c>
      <c r="J2" s="4" t="s">
        <v>2</v>
      </c>
    </row>
    <row r="3" spans="3:14" ht="16.5" thickTop="1" thickBot="1">
      <c r="C3" s="7" t="s">
        <v>3</v>
      </c>
      <c r="D3" s="8">
        <v>1696583</v>
      </c>
      <c r="E3" s="8">
        <v>26183</v>
      </c>
      <c r="H3" s="1" t="str" cm="1">
        <f t="array" ref="H3">IFERROR(
IF(ROWS($H$3:H3)&lt;=$E$22,
INDEX($C$3:$C$14,$E$21+ROWS($H$3:H3)-1),
""),
"")</f>
        <v>Mar</v>
      </c>
      <c r="I3" s="1" cm="1">
        <f t="array" ref="I3">IFERROR(
IF(ROWS($I$3:I3)&lt;=$E$22,
INDEX($D$3:$D$14,$E$21+ROWS($I$3:I3)-1),
""),
"")</f>
        <v>584486</v>
      </c>
      <c r="J3" s="1" cm="1">
        <f t="array" ref="J3">IFERROR(
IF(ROWS($J$3:J3)&lt;=$E$22,
INDEX($E$3:$E$14,$E$21+ROWS($J$3:J3)-1),
""),
"")</f>
        <v>20564</v>
      </c>
      <c r="L3" s="12"/>
    </row>
    <row r="4" spans="3:14" ht="16.5" thickTop="1" thickBot="1">
      <c r="C4" s="7" t="s">
        <v>4</v>
      </c>
      <c r="D4" s="8">
        <v>1585079</v>
      </c>
      <c r="E4" s="8">
        <v>20024</v>
      </c>
      <c r="H4" s="1" t="str" cm="1">
        <f t="array" ref="H4">IFERROR(
IF(ROWS($H$3:H4)&lt;=$E$22,
INDEX($C$3:$C$14,$E$21+ROWS($H$3:H4)-1),
""),
"")</f>
        <v>Apr</v>
      </c>
      <c r="I4" s="1" cm="1">
        <f t="array" ref="I4">IFERROR(
IF(ROWS($I$3:I4)&lt;=$E$22,
INDEX($D$3:$D$14,$E$21+ROWS($I$3:I4)-1),
""),
"")</f>
        <v>2157640</v>
      </c>
      <c r="J4" s="1" cm="1">
        <f t="array" ref="J4">IFERROR(
IF(ROWS($J$3:J4)&lt;=$E$22,
INDEX($E$3:$E$14,$E$21+ROWS($J$3:J4)-1),
""),
"")</f>
        <v>192000</v>
      </c>
      <c r="N4" s="14"/>
    </row>
    <row r="5" spans="3:14" ht="16.5" thickTop="1" thickBot="1">
      <c r="C5" s="7" t="s">
        <v>5</v>
      </c>
      <c r="D5" s="8">
        <v>584486</v>
      </c>
      <c r="E5" s="8">
        <v>20564</v>
      </c>
      <c r="H5" s="1" t="str" cm="1">
        <f t="array" ref="H5">IFERROR(
IF(ROWS($H$3:H5)&lt;=$E$22,
INDEX($C$3:$C$14,$E$21+ROWS($H$3:H5)-1),
""),
"")</f>
        <v>May</v>
      </c>
      <c r="I5" s="1" cm="1">
        <f t="array" ref="I5">IFERROR(
IF(ROWS($I$3:I5)&lt;=$E$22,
INDEX($D$3:$D$14,$E$21+ROWS($I$3:I5)-1),
""),
"")</f>
        <v>4236023</v>
      </c>
      <c r="J5" s="1" cm="1">
        <f t="array" ref="J5">IFERROR(
IF(ROWS($J$3:J5)&lt;=$E$22,
INDEX($E$3:$E$14,$E$21+ROWS($J$3:J5)-1),
""),
"")</f>
        <v>40629</v>
      </c>
    </row>
    <row r="6" spans="3:14" ht="16.5" thickTop="1" thickBot="1">
      <c r="C6" s="7" t="s">
        <v>6</v>
      </c>
      <c r="D6" s="8">
        <v>2157640</v>
      </c>
      <c r="E6" s="8">
        <v>192000</v>
      </c>
      <c r="H6" s="1" t="str" cm="1">
        <f t="array" ref="H6">IFERROR(
IF(ROWS($H$3:H6)&lt;=$E$22,
INDEX($C$3:$C$14,$E$21+ROWS($H$3:H6)-1),
""),
"")</f>
        <v>Jun</v>
      </c>
      <c r="I6" s="1" cm="1">
        <f t="array" ref="I6">IFERROR(
IF(ROWS($I$3:I6)&lt;=$E$22,
INDEX($D$3:$D$14,$E$21+ROWS($I$3:I6)-1),
""),
"")</f>
        <v>140198</v>
      </c>
      <c r="J6" s="1" cm="1">
        <f t="array" ref="J6">IFERROR(
IF(ROWS($J$3:J6)&lt;=$E$22,
INDEX($E$3:$E$14,$E$21+ROWS($J$3:J6)-1),
""),
"")</f>
        <v>9872</v>
      </c>
    </row>
    <row r="7" spans="3:14" ht="16.5" thickTop="1" thickBot="1">
      <c r="C7" s="7" t="s">
        <v>7</v>
      </c>
      <c r="D7" s="8">
        <v>4236023</v>
      </c>
      <c r="E7" s="8">
        <v>40629</v>
      </c>
      <c r="H7" s="1" t="str" cm="1">
        <f t="array" ref="H7">IFERROR(
IF(ROWS($H$3:H7)&lt;=$E$22,
INDEX($C$3:$C$14,$E$21+ROWS($H$3:H7)-1),
""),
"")</f>
        <v>Jul</v>
      </c>
      <c r="I7" s="1" cm="1">
        <f t="array" ref="I7">IFERROR(
IF(ROWS($I$3:I7)&lt;=$E$22,
INDEX($D$3:$D$14,$E$21+ROWS($I$3:I7)-1),
""),
"")</f>
        <v>299678</v>
      </c>
      <c r="J7" s="1" cm="1">
        <f t="array" ref="J7">IFERROR(
IF(ROWS($J$3:J7)&lt;=$E$22,
INDEX($E$3:$E$14,$E$21+ROWS($J$3:J7)-1),
""),
"")</f>
        <v>8006</v>
      </c>
    </row>
    <row r="8" spans="3:14" ht="16.5" thickTop="1" thickBot="1">
      <c r="C8" s="7" t="s">
        <v>8</v>
      </c>
      <c r="D8" s="8">
        <v>140198</v>
      </c>
      <c r="E8" s="8">
        <v>9872</v>
      </c>
      <c r="H8" s="1" t="str" cm="1">
        <f t="array" ref="H8">IFERROR(
IF(ROWS($H$3:H8)&lt;=$E$22,
INDEX($C$3:$C$14,$E$21+ROWS($H$3:H8)-1),
""),
"")</f>
        <v>Aug</v>
      </c>
      <c r="I8" s="1" cm="1">
        <f t="array" ref="I8">IFERROR(
IF(ROWS($I$3:I8)&lt;=$E$22,
INDEX($D$3:$D$14,$E$21+ROWS($I$3:I8)-1),
""),
"")</f>
        <v>2707191</v>
      </c>
      <c r="J8" s="1" cm="1">
        <f t="array" ref="J8">IFERROR(
IF(ROWS($J$3:J8)&lt;=$E$22,
INDEX($E$3:$E$14,$E$21+ROWS($J$3:J8)-1),
""),
"")</f>
        <v>70705</v>
      </c>
    </row>
    <row r="9" spans="3:14" ht="16.5" thickTop="1" thickBot="1">
      <c r="C9" s="7" t="s">
        <v>9</v>
      </c>
      <c r="D9" s="8">
        <v>299678</v>
      </c>
      <c r="E9" s="8">
        <v>8006</v>
      </c>
      <c r="H9" s="1" t="str" cm="1">
        <f t="array" ref="H9">IFERROR(
IF(ROWS($H$3:H9)&lt;=$E$22,
INDEX($C$3:$C$14,$E$21+ROWS($H$3:H9)-1),
""),
"")</f>
        <v/>
      </c>
      <c r="I9" s="1" t="str" cm="1">
        <f t="array" ref="I9">IFERROR(
IF(ROWS($I$3:I9)&lt;=$E$22,
INDEX($D$3:$D$14,$E$21+ROWS($I$3:I9)-1),
""),
"")</f>
        <v/>
      </c>
      <c r="J9" s="1" t="str" cm="1">
        <f t="array" ref="J9">IFERROR(
IF(ROWS($J$3:J9)&lt;=$E$22,
INDEX($E$3:$E$14,$E$21+ROWS($J$3:J9)-1),
""),
"")</f>
        <v/>
      </c>
    </row>
    <row r="10" spans="3:14" ht="16.5" thickTop="1" thickBot="1">
      <c r="C10" s="7" t="s">
        <v>10</v>
      </c>
      <c r="D10" s="8">
        <v>2707191</v>
      </c>
      <c r="E10" s="8">
        <v>70705</v>
      </c>
      <c r="H10" s="1" t="str" cm="1">
        <f t="array" ref="H10">IFERROR(
IF(ROWS($H$3:H10)&lt;=$E$22,
INDEX($C$3:$C$14,$E$21+ROWS($H$3:H10)-1),
""),
"")</f>
        <v/>
      </c>
      <c r="I10" s="1" t="str" cm="1">
        <f t="array" ref="I10">IFERROR(
IF(ROWS($I$3:I10)&lt;=$E$22,
INDEX($D$3:$D$14,$E$21+ROWS($I$3:I10)-1),
""),
"")</f>
        <v/>
      </c>
      <c r="J10" s="1" t="str" cm="1">
        <f t="array" ref="J10">IFERROR(
IF(ROWS($J$3:J10)&lt;=$E$22,
INDEX($E$3:$E$14,$E$21+ROWS($J$3:J10)-1),
""),
"")</f>
        <v/>
      </c>
    </row>
    <row r="11" spans="3:14" ht="16.5" thickTop="1" thickBot="1">
      <c r="C11" s="7" t="s">
        <v>11</v>
      </c>
      <c r="D11" s="8">
        <v>6891138</v>
      </c>
      <c r="E11" s="8">
        <v>22617</v>
      </c>
      <c r="H11" s="1" t="str" cm="1">
        <f t="array" ref="H11">IFERROR(
IF(ROWS($H$3:H11)&lt;=$E$22,
INDEX($C$3:$C$14,$E$21+ROWS($H$3:H11)-1),
""),
"")</f>
        <v/>
      </c>
      <c r="I11" s="1" t="str" cm="1">
        <f t="array" ref="I11">IFERROR(
IF(ROWS($I$3:I11)&lt;=$E$22,
INDEX($D$3:$D$14,$E$21+ROWS($I$3:I11)-1),
""),
"")</f>
        <v/>
      </c>
      <c r="J11" s="1" t="str" cm="1">
        <f t="array" ref="J11">IFERROR(
IF(ROWS($J$3:J11)&lt;=$E$22,
INDEX($E$3:$E$14,$E$21+ROWS($J$3:J11)-1),
""),
"")</f>
        <v/>
      </c>
    </row>
    <row r="12" spans="3:14" ht="16.5" thickTop="1" thickBot="1">
      <c r="C12" s="7" t="s">
        <v>12</v>
      </c>
      <c r="D12" s="8">
        <v>3454456</v>
      </c>
      <c r="E12" s="8">
        <v>22334</v>
      </c>
      <c r="H12" s="1" t="str" cm="1">
        <f t="array" ref="H12">IFERROR(
IF(ROWS($H$3:H12)&lt;=$E$22,
INDEX($C$3:$C$14,$E$21+ROWS($H$3:H12)-1),
""),
"")</f>
        <v/>
      </c>
      <c r="I12" s="1" t="str" cm="1">
        <f t="array" ref="I12">IFERROR(
IF(ROWS($I$3:I12)&lt;=$E$22,
INDEX($D$3:$D$14,$E$21+ROWS($I$3:I12)-1),
""),
"")</f>
        <v/>
      </c>
      <c r="J12" s="1" t="str" cm="1">
        <f t="array" ref="J12">IFERROR(
IF(ROWS($J$3:J12)&lt;=$E$22,
INDEX($E$3:$E$14,$E$21+ROWS($J$3:J12)-1),
""),
"")</f>
        <v/>
      </c>
    </row>
    <row r="13" spans="3:14" ht="16.5" thickTop="1" thickBot="1">
      <c r="C13" s="7" t="s">
        <v>13</v>
      </c>
      <c r="D13" s="8">
        <v>3345678</v>
      </c>
      <c r="E13" s="8">
        <v>35771</v>
      </c>
      <c r="H13" s="1" t="str" cm="1">
        <f t="array" ref="H13">IFERROR(
IF(ROWS($H$3:H13)&lt;=$E$22,
INDEX($C$3:$C$14,$E$21+ROWS($H$3:H13)-1),
""),
"")</f>
        <v/>
      </c>
      <c r="I13" s="1" t="str" cm="1">
        <f t="array" ref="I13">IFERROR(
IF(ROWS($I$3:I13)&lt;=$E$22,
INDEX($D$3:$D$14,$E$21+ROWS($I$3:I13)-1),
""),
"")</f>
        <v/>
      </c>
      <c r="J13" s="1" t="str" cm="1">
        <f t="array" ref="J13">IFERROR(
IF(ROWS($J$3:J13)&lt;=$E$22,
INDEX($E$3:$E$14,$E$21+ROWS($J$3:J13)-1),
""),
"")</f>
        <v/>
      </c>
    </row>
    <row r="14" spans="3:14" ht="16.5" thickTop="1" thickBot="1">
      <c r="C14" s="7" t="s">
        <v>14</v>
      </c>
      <c r="D14" s="8">
        <v>763124</v>
      </c>
      <c r="E14" s="8">
        <v>11245</v>
      </c>
      <c r="H14" s="1" t="str" cm="1">
        <f t="array" ref="H14">IFERROR(
IF(ROWS($H$3:H14)&lt;=$E$22,
INDEX($C$3:$C$14,$E$21+ROWS($H$3:H14)-1),
""),
"")</f>
        <v/>
      </c>
      <c r="I14" s="1" t="str" cm="1">
        <f t="array" ref="I14">IFERROR(
IF(ROWS($I$3:I14)&lt;=$E$22,
INDEX($D$3:$D$14,$E$21+ROWS($I$3:I14)-1),
""),
"")</f>
        <v/>
      </c>
      <c r="J14" s="1" t="str" cm="1">
        <f t="array" ref="J14">IFERROR(
IF(ROWS($J$3:J14)&lt;=$E$22,
INDEX($E$3:$E$14,$E$21+ROWS($J$3:J14)-1),
""),
"")</f>
        <v/>
      </c>
    </row>
    <row r="15" spans="3:14" ht="15.75" thickTop="1">
      <c r="C15"/>
      <c r="D15"/>
      <c r="E15"/>
    </row>
    <row r="16" spans="3:14">
      <c r="C16"/>
      <c r="D16"/>
      <c r="E16"/>
    </row>
    <row r="17" spans="3:10">
      <c r="C17"/>
      <c r="D17"/>
      <c r="E17"/>
    </row>
    <row r="18" spans="3:10">
      <c r="C18" s="3"/>
      <c r="D18" s="3"/>
      <c r="E18" s="3"/>
      <c r="H18" s="13" t="s">
        <v>15</v>
      </c>
      <c r="I18" s="1">
        <f>$E$21</f>
        <v>3</v>
      </c>
      <c r="J18" s="1" t="str" cm="1">
        <f t="array" ref="J18">IFERROR(INDEX($E$3:$E$14,$E$21+ROWS($J$3:J18)-1),"")</f>
        <v/>
      </c>
    </row>
    <row r="19" spans="3:10">
      <c r="C19" s="3"/>
      <c r="D19" s="3"/>
      <c r="E19" s="3"/>
      <c r="H19" s="13"/>
    </row>
    <row r="20" spans="3:10" ht="15.75" thickBot="1">
      <c r="C20" s="3"/>
      <c r="D20" s="3"/>
      <c r="E20" s="3"/>
      <c r="H20" s="13"/>
    </row>
    <row r="21" spans="3:10" ht="17.25" thickTop="1" thickBot="1">
      <c r="C21" s="9"/>
      <c r="D21" s="10" t="s">
        <v>16</v>
      </c>
      <c r="E21" s="11">
        <v>3</v>
      </c>
    </row>
    <row r="22" spans="3:10" ht="17.25" thickTop="1" thickBot="1">
      <c r="D22" s="10" t="s">
        <v>17</v>
      </c>
      <c r="E22" s="11">
        <v>6</v>
      </c>
      <c r="H22" s="2" t="s">
        <v>18</v>
      </c>
    </row>
    <row r="23" spans="3:10" ht="15.75" thickTop="1"/>
    <row r="24" spans="3:10">
      <c r="H24" s="2"/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2" r:id="rId4" name="Scroll Bar 8">
              <controlPr defaultSize="0" autoPict="0">
                <anchor moveWithCells="1">
                  <from>
                    <xdr:col>8</xdr:col>
                    <xdr:colOff>133350</xdr:colOff>
                    <xdr:row>17</xdr:row>
                    <xdr:rowOff>9525</xdr:rowOff>
                  </from>
                  <to>
                    <xdr:col>12</xdr:col>
                    <xdr:colOff>504825</xdr:colOff>
                    <xdr:row>18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5" name="Scroll Bar 9">
              <controlPr defaultSize="0" autoPict="0">
                <anchor moveWithCells="1">
                  <from>
                    <xdr:col>8</xdr:col>
                    <xdr:colOff>114300</xdr:colOff>
                    <xdr:row>21</xdr:row>
                    <xdr:rowOff>9525</xdr:rowOff>
                  </from>
                  <to>
                    <xdr:col>12</xdr:col>
                    <xdr:colOff>485775</xdr:colOff>
                    <xdr:row>22</xdr:row>
                    <xdr:rowOff>57150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152B36-8DCE-41B8-BA2F-08A8D28094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ScrollChart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pdaley</dc:creator>
  <cp:lastModifiedBy>sabbir hossain</cp:lastModifiedBy>
  <dcterms:created xsi:type="dcterms:W3CDTF">2005-01-06T20:29:10Z</dcterms:created>
  <dcterms:modified xsi:type="dcterms:W3CDTF">2026-07-24T06:34:15Z</dcterms:modified>
</cp:coreProperties>
</file>