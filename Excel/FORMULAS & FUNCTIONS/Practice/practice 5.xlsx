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FORMULAS ^0 FUNCTIONS/Practice/"/>
    </mc:Choice>
  </mc:AlternateContent>
  <xr:revisionPtr revIDLastSave="2" documentId="11_F25DC773A252ABDACC1048A9195D48BE5ADE58E5" xr6:coauthVersionLast="47" xr6:coauthVersionMax="47" xr10:uidLastSave="{FDCD75E6-F38D-4758-BEB7-D4FF7441D78C}"/>
  <bookViews>
    <workbookView xWindow="-120" yWindow="-120" windowWidth="19440" windowHeight="15000" firstSheet="10" activeTab="12" xr2:uid="{00000000-000D-0000-FFFF-FFFF00000000}"/>
  </bookViews>
  <sheets>
    <sheet name="SORT" sheetId="1" r:id="rId1"/>
    <sheet name="SORTBY" sheetId="2" r:id="rId2"/>
    <sheet name="FILTER" sheetId="3" r:id="rId3"/>
    <sheet name="UNIQUE" sheetId="4" r:id="rId4"/>
    <sheet name="Combining SORT, FILTER &amp; UNIQUE" sheetId="5" r:id="rId5"/>
    <sheet name="SEQUENCE" sheetId="6" r:id="rId6"/>
    <sheet name="RANDARRAY" sheetId="7" r:id="rId7"/>
    <sheet name="FREQUENCY" sheetId="8" r:id="rId8"/>
    <sheet name="TRANSPOSE" sheetId="9" r:id="rId9"/>
    <sheet name="JOINING ARRAYS WITH CHOOSE" sheetId="11" r:id="rId10"/>
    <sheet name=" LET FUNCTION" sheetId="10" r:id="rId11"/>
    <sheet name="I N D I R E C T" sheetId="12" r:id="rId12"/>
    <sheet name="H Y P E R L I N K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/>
  <c r="B3" i="13"/>
  <c r="B2" i="13"/>
  <c r="G2" i="12"/>
  <c r="E2" i="12" a="1"/>
  <c r="C2" i="12" a="1"/>
  <c r="E2" i="10" a="1"/>
  <c r="H2" i="11" a="1"/>
  <c r="F2" i="11" a="1"/>
  <c r="E2" i="11" a="1"/>
  <c r="F1" i="9" a="1"/>
  <c r="G2" i="8" a="1"/>
  <c r="A1" i="7" a="1"/>
  <c r="A2" i="6" a="1"/>
  <c r="F12" i="5" a="1"/>
  <c r="F3" i="5" a="1"/>
  <c r="E2" i="4" a="1"/>
  <c r="E22" i="3" a="1"/>
  <c r="E13" i="3" a="1"/>
  <c r="E4" i="3" a="1"/>
  <c r="F2" i="2" a="1"/>
  <c r="D2" i="2" a="1"/>
  <c r="F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<sst xmlns="http://schemas.openxmlformats.org/spreadsheetml/2006/main" count="220" uniqueCount="52">
  <si>
    <t>Product</t>
  </si>
  <si>
    <t>Sales</t>
  </si>
  <si>
    <t>Margin</t>
  </si>
  <si>
    <t>Profit</t>
  </si>
  <si>
    <t>Baseball Bat</t>
  </si>
  <si>
    <t>Vinyl Records</t>
  </si>
  <si>
    <t>Leather Jacket</t>
  </si>
  <si>
    <t>Cowboy Boots</t>
  </si>
  <si>
    <t>Smart Speaker</t>
  </si>
  <si>
    <t>Sunglasses</t>
  </si>
  <si>
    <t>Lego Bricks</t>
  </si>
  <si>
    <t>Tennis Racket</t>
  </si>
  <si>
    <t>Blu-Ray Player</t>
  </si>
  <si>
    <t>Category</t>
  </si>
  <si>
    <t>Electronics</t>
  </si>
  <si>
    <t>Sports</t>
  </si>
  <si>
    <t>Clothing</t>
  </si>
  <si>
    <t>Music</t>
  </si>
  <si>
    <t>Games</t>
  </si>
  <si>
    <t>Category:</t>
  </si>
  <si>
    <t>To create an AND condition 
multiple logical tests</t>
  </si>
  <si>
    <t>To create an OR condition</t>
  </si>
  <si>
    <t>combining SORT and UNIQUE</t>
  </si>
  <si>
    <t xml:space="preserve"> combining SORT and  FILTER </t>
  </si>
  <si>
    <t>A</t>
  </si>
  <si>
    <t>B</t>
  </si>
  <si>
    <t>C</t>
  </si>
  <si>
    <t>D</t>
  </si>
  <si>
    <t>E</t>
  </si>
  <si>
    <t>A (Product)</t>
  </si>
  <si>
    <t>B (Category)</t>
  </si>
  <si>
    <t>C (Sales)</t>
  </si>
  <si>
    <t>E (Bin)</t>
  </si>
  <si>
    <t>F (Upper Limit)</t>
  </si>
  <si>
    <t>&lt;=3000</t>
  </si>
  <si>
    <t>3001-6000</t>
  </si>
  <si>
    <t>6001-9000</t>
  </si>
  <si>
    <t>9001-12000</t>
  </si>
  <si>
    <t>12001-15000</t>
  </si>
  <si>
    <t>FREQUENCY</t>
  </si>
  <si>
    <t>&gt;=15000</t>
  </si>
  <si>
    <t>category</t>
  </si>
  <si>
    <t>Average Sales</t>
  </si>
  <si>
    <t>B2</t>
  </si>
  <si>
    <t>B3</t>
  </si>
  <si>
    <t>A (Reference)</t>
  </si>
  <si>
    <t>B (Value)</t>
  </si>
  <si>
    <t>B4</t>
  </si>
  <si>
    <t>B5</t>
  </si>
  <si>
    <t>Find Value</t>
  </si>
  <si>
    <t>B2:B5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</si>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</sst>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9" fontId="0" fillId="0" borderId="0" xfId="0" applyNumberFormat="1"/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right" vertical="center" wrapText="1"/>
    </xf>
    <xf numFmtId="173" fontId="0" fillId="0" borderId="0" xfId="0" applyNumberFormat="1" applyAlignment="1">
      <alignment horizontal="right" vertical="center" wrapText="1"/>
    </xf>
    <xf numFmtId="0" fontId="2" fillId="5" borderId="0" xfId="0" applyFont="1" applyFill="1" applyAlignment="1">
      <alignment horizontal="center" vertical="center" wrapText="1"/>
    </xf>
    <xf numFmtId="173" fontId="0" fillId="0" borderId="0" xfId="0" applyNumberFormat="1"/>
    <xf numFmtId="0" fontId="2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73" fontId="2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top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7" borderId="0" xfId="0" applyFont="1" applyFill="1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/>
  </sheetViews>
  <sheetFormatPr defaultRowHeight="15" x14ac:dyDescent="0.25"/>
  <cols>
    <col min="1" max="1" width="13.42578125" customWidth="1"/>
    <col min="2" max="2" width="11" customWidth="1"/>
    <col min="6" max="6" width="13.28515625" customWidth="1"/>
  </cols>
  <sheetData>
    <row r="1" spans="1:9" x14ac:dyDescent="0.25">
      <c r="A1" s="5" t="s">
        <v>0</v>
      </c>
      <c r="B1" s="6" t="s">
        <v>1</v>
      </c>
      <c r="C1" s="6" t="s">
        <v>2</v>
      </c>
      <c r="D1" s="6" t="s">
        <v>3</v>
      </c>
      <c r="F1" s="7" t="s">
        <v>0</v>
      </c>
      <c r="G1" s="8" t="s">
        <v>1</v>
      </c>
      <c r="H1" s="8" t="s">
        <v>2</v>
      </c>
      <c r="I1" s="8" t="s">
        <v>3</v>
      </c>
    </row>
    <row r="2" spans="1:9" x14ac:dyDescent="0.25">
      <c r="A2" s="4" t="s">
        <v>4</v>
      </c>
      <c r="B2" s="2">
        <v>900</v>
      </c>
      <c r="C2" s="9">
        <v>0.05</v>
      </c>
      <c r="D2" s="2">
        <v>45</v>
      </c>
      <c r="F2" t="str" cm="1">
        <f t="array" ref="F2:I10">_xlfn._xlws.SORT(A2:D10,2,)</f>
        <v>Tennis Racket</v>
      </c>
      <c r="G2">
        <v>700</v>
      </c>
      <c r="H2" s="10">
        <v>0.25</v>
      </c>
      <c r="I2">
        <v>175</v>
      </c>
    </row>
    <row r="3" spans="1:9" x14ac:dyDescent="0.25">
      <c r="A3" s="4" t="s">
        <v>5</v>
      </c>
      <c r="B3" s="2">
        <v>1500</v>
      </c>
      <c r="C3" s="9">
        <v>0.1</v>
      </c>
      <c r="D3" s="2">
        <v>150</v>
      </c>
      <c r="F3" t="str">
        <v>Baseball Bat</v>
      </c>
      <c r="G3">
        <v>900</v>
      </c>
      <c r="H3" s="10">
        <v>0.05</v>
      </c>
      <c r="I3">
        <v>45</v>
      </c>
    </row>
    <row r="4" spans="1:9" ht="30" x14ac:dyDescent="0.25">
      <c r="A4" s="4" t="s">
        <v>6</v>
      </c>
      <c r="B4" s="2">
        <v>8000</v>
      </c>
      <c r="C4" s="9">
        <v>0.15</v>
      </c>
      <c r="D4" s="2">
        <v>1200</v>
      </c>
      <c r="F4" t="str">
        <v>Vinyl Records</v>
      </c>
      <c r="G4">
        <v>1500</v>
      </c>
      <c r="H4" s="10">
        <v>0.1</v>
      </c>
      <c r="I4">
        <v>150</v>
      </c>
    </row>
    <row r="5" spans="1:9" ht="30" x14ac:dyDescent="0.25">
      <c r="A5" s="4" t="s">
        <v>7</v>
      </c>
      <c r="B5" s="2">
        <v>2200</v>
      </c>
      <c r="C5" s="9">
        <v>0.15</v>
      </c>
      <c r="D5" s="2">
        <v>330</v>
      </c>
      <c r="F5" t="str">
        <v>Cowboy Boots</v>
      </c>
      <c r="G5">
        <v>2200</v>
      </c>
      <c r="H5" s="10">
        <v>0.15</v>
      </c>
      <c r="I5">
        <v>330</v>
      </c>
    </row>
    <row r="6" spans="1:9" ht="30" x14ac:dyDescent="0.25">
      <c r="A6" s="4" t="s">
        <v>8</v>
      </c>
      <c r="B6" s="2">
        <v>19000</v>
      </c>
      <c r="C6" s="9">
        <v>0.2</v>
      </c>
      <c r="D6" s="2">
        <v>3800</v>
      </c>
      <c r="F6" t="str">
        <v>Lego Bricks</v>
      </c>
      <c r="G6">
        <v>5000</v>
      </c>
      <c r="H6" s="10">
        <v>0.2</v>
      </c>
      <c r="I6">
        <v>1000</v>
      </c>
    </row>
    <row r="7" spans="1:9" x14ac:dyDescent="0.25">
      <c r="A7" s="4" t="s">
        <v>9</v>
      </c>
      <c r="B7" s="2">
        <v>6200</v>
      </c>
      <c r="C7" s="9">
        <v>0.2</v>
      </c>
      <c r="D7" s="2">
        <v>1240</v>
      </c>
      <c r="F7" t="str">
        <v>Sunglasses</v>
      </c>
      <c r="G7">
        <v>6200</v>
      </c>
      <c r="H7" s="10">
        <v>0.2</v>
      </c>
      <c r="I7">
        <v>1240</v>
      </c>
    </row>
    <row r="8" spans="1:9" x14ac:dyDescent="0.25">
      <c r="A8" s="4" t="s">
        <v>10</v>
      </c>
      <c r="B8" s="2">
        <v>5000</v>
      </c>
      <c r="C8" s="9">
        <v>0.2</v>
      </c>
      <c r="D8" s="2">
        <v>1000</v>
      </c>
      <c r="F8" t="str">
        <v>Leather Jacket</v>
      </c>
      <c r="G8">
        <v>8000</v>
      </c>
      <c r="H8" s="10">
        <v>0.15</v>
      </c>
      <c r="I8">
        <v>1200</v>
      </c>
    </row>
    <row r="9" spans="1:9" x14ac:dyDescent="0.25">
      <c r="A9" s="4" t="s">
        <v>11</v>
      </c>
      <c r="B9" s="2">
        <v>700</v>
      </c>
      <c r="C9" s="9">
        <v>0.25</v>
      </c>
      <c r="D9" s="2">
        <v>175</v>
      </c>
      <c r="F9" t="str">
        <v>Blu-Ray Player</v>
      </c>
      <c r="G9">
        <v>10000</v>
      </c>
      <c r="H9" s="10">
        <v>0.35</v>
      </c>
      <c r="I9">
        <v>3500</v>
      </c>
    </row>
    <row r="10" spans="1:9" ht="30" x14ac:dyDescent="0.25">
      <c r="A10" s="4" t="s">
        <v>12</v>
      </c>
      <c r="B10" s="2">
        <v>10000</v>
      </c>
      <c r="C10" s="9">
        <v>0.35</v>
      </c>
      <c r="D10" s="2">
        <v>3500</v>
      </c>
      <c r="F10" t="str">
        <v>Smart Speaker</v>
      </c>
      <c r="G10">
        <v>19000</v>
      </c>
      <c r="H10" s="10">
        <v>0.2</v>
      </c>
      <c r="I10">
        <v>3800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C601-DC60-4ECB-BFF2-674581E5E000}">
  <dimension ref="A1:G10"/>
  <sheetViews>
    <sheetView workbookViewId="0">
      <selection sqref="A1:C10"/>
    </sheetView>
  </sheetViews>
  <sheetFormatPr defaultRowHeight="15" x14ac:dyDescent="0.25"/>
  <cols>
    <col min="1" max="1" width="14.7109375" customWidth="1"/>
    <col min="4" max="4" width="11.140625" customWidth="1"/>
    <col min="6" max="6" width="13.85546875" bestFit="1" customWidth="1"/>
    <col min="7" max="7" width="6" bestFit="1" customWidth="1"/>
  </cols>
  <sheetData>
    <row r="1" spans="1:7" x14ac:dyDescent="0.25">
      <c r="A1" s="5" t="s">
        <v>0</v>
      </c>
      <c r="B1" s="6" t="s">
        <v>1</v>
      </c>
      <c r="C1" s="6" t="s">
        <v>2</v>
      </c>
      <c r="D1" s="6" t="s">
        <v>3</v>
      </c>
    </row>
    <row r="2" spans="1:7" x14ac:dyDescent="0.25">
      <c r="A2" s="4" t="s">
        <v>4</v>
      </c>
      <c r="B2" s="2">
        <v>900</v>
      </c>
      <c r="C2" s="9">
        <v>0.05</v>
      </c>
      <c r="D2" s="2" cm="1">
        <f t="array" ref="D2:D10">B2:B10*C2:C10</f>
        <v>45</v>
      </c>
      <c r="F2" t="str" cm="1">
        <f t="array" ref="F2:G10">_xlfn.SORTBY(A2:B10,_xlfn.ANCHORARRAY(D2),-1)</f>
        <v>Smart Speaker</v>
      </c>
      <c r="G2">
        <v>19000</v>
      </c>
    </row>
    <row r="3" spans="1:7" x14ac:dyDescent="0.25">
      <c r="A3" s="4" t="s">
        <v>5</v>
      </c>
      <c r="B3" s="2">
        <v>1500</v>
      </c>
      <c r="C3" s="9">
        <v>0.1</v>
      </c>
      <c r="D3" s="2">
        <v>150</v>
      </c>
      <c r="F3" t="str">
        <v>Blu-Ray Player</v>
      </c>
      <c r="G3">
        <v>10000</v>
      </c>
    </row>
    <row r="4" spans="1:7" x14ac:dyDescent="0.25">
      <c r="A4" s="4" t="s">
        <v>6</v>
      </c>
      <c r="B4" s="2">
        <v>8000</v>
      </c>
      <c r="C4" s="9">
        <v>0.15</v>
      </c>
      <c r="D4" s="2">
        <v>1200</v>
      </c>
      <c r="F4" t="str">
        <v>Sunglasses</v>
      </c>
      <c r="G4">
        <v>6200</v>
      </c>
    </row>
    <row r="5" spans="1:7" x14ac:dyDescent="0.25">
      <c r="A5" s="4" t="s">
        <v>7</v>
      </c>
      <c r="B5" s="2">
        <v>2200</v>
      </c>
      <c r="C5" s="9">
        <v>0.15</v>
      </c>
      <c r="D5" s="2">
        <v>330</v>
      </c>
      <c r="F5" t="str">
        <v>Leather Jacket</v>
      </c>
      <c r="G5">
        <v>8000</v>
      </c>
    </row>
    <row r="6" spans="1:7" x14ac:dyDescent="0.25">
      <c r="A6" s="4" t="s">
        <v>8</v>
      </c>
      <c r="B6" s="2">
        <v>19000</v>
      </c>
      <c r="C6" s="9">
        <v>0.2</v>
      </c>
      <c r="D6" s="2">
        <v>3800</v>
      </c>
      <c r="F6" t="str">
        <v>Lego Bricks</v>
      </c>
      <c r="G6">
        <v>5000</v>
      </c>
    </row>
    <row r="7" spans="1:7" x14ac:dyDescent="0.25">
      <c r="A7" s="4" t="s">
        <v>9</v>
      </c>
      <c r="B7" s="2">
        <v>6200</v>
      </c>
      <c r="C7" s="9">
        <v>0.2</v>
      </c>
      <c r="D7" s="2">
        <v>1240</v>
      </c>
      <c r="F7" t="str">
        <v>Cowboy Boots</v>
      </c>
      <c r="G7">
        <v>2200</v>
      </c>
    </row>
    <row r="8" spans="1:7" x14ac:dyDescent="0.25">
      <c r="A8" s="4" t="s">
        <v>10</v>
      </c>
      <c r="B8" s="2">
        <v>5000</v>
      </c>
      <c r="C8" s="9">
        <v>0.2</v>
      </c>
      <c r="D8" s="2">
        <v>1000</v>
      </c>
      <c r="F8" t="str">
        <v>Tennis Racket</v>
      </c>
      <c r="G8">
        <v>700</v>
      </c>
    </row>
    <row r="9" spans="1:7" x14ac:dyDescent="0.25">
      <c r="A9" s="4" t="s">
        <v>11</v>
      </c>
      <c r="B9" s="2">
        <v>700</v>
      </c>
      <c r="C9" s="9">
        <v>0.25</v>
      </c>
      <c r="D9" s="2">
        <v>175</v>
      </c>
      <c r="F9" t="str">
        <v>Vinyl Records</v>
      </c>
      <c r="G9">
        <v>1500</v>
      </c>
    </row>
    <row r="10" spans="1:7" x14ac:dyDescent="0.25">
      <c r="A10" s="4" t="s">
        <v>12</v>
      </c>
      <c r="B10" s="2">
        <v>10000</v>
      </c>
      <c r="C10" s="9">
        <v>0.35</v>
      </c>
      <c r="D10" s="2">
        <v>3500</v>
      </c>
      <c r="F10" t="str">
        <v>Baseball Bat</v>
      </c>
      <c r="G10">
        <v>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BF45-3012-487F-8E8F-98C2A7CB2313}">
  <dimension ref="A1:G26"/>
  <sheetViews>
    <sheetView workbookViewId="0">
      <selection sqref="A1:C10"/>
    </sheetView>
  </sheetViews>
  <sheetFormatPr defaultRowHeight="15" x14ac:dyDescent="0.25"/>
  <cols>
    <col min="1" max="1" width="18.140625" customWidth="1"/>
    <col min="2" max="2" width="15.7109375" customWidth="1"/>
    <col min="3" max="3" width="13.5703125" customWidth="1"/>
    <col min="5" max="5" width="15.28515625" customWidth="1"/>
    <col min="6" max="6" width="13.28515625" customWidth="1"/>
    <col min="7" max="7" width="9.140625" style="15"/>
  </cols>
  <sheetData>
    <row r="1" spans="1:7" x14ac:dyDescent="0.25">
      <c r="A1" s="11" t="s">
        <v>0</v>
      </c>
      <c r="B1" s="11" t="s">
        <v>13</v>
      </c>
      <c r="C1" s="12" t="s">
        <v>1</v>
      </c>
      <c r="E1" s="18" t="s">
        <v>19</v>
      </c>
      <c r="F1" s="18" t="s">
        <v>17</v>
      </c>
    </row>
    <row r="2" spans="1:7" x14ac:dyDescent="0.25">
      <c r="A2" s="4" t="s">
        <v>8</v>
      </c>
      <c r="B2" s="4" t="s">
        <v>14</v>
      </c>
      <c r="C2" s="13">
        <v>19000</v>
      </c>
      <c r="E2" s="18" t="s">
        <v>1</v>
      </c>
      <c r="F2" s="19">
        <v>5000</v>
      </c>
    </row>
    <row r="3" spans="1:7" x14ac:dyDescent="0.25">
      <c r="A3" s="4" t="s">
        <v>4</v>
      </c>
      <c r="B3" s="4" t="s">
        <v>15</v>
      </c>
      <c r="C3" s="13">
        <v>900</v>
      </c>
      <c r="E3" s="14" t="s">
        <v>0</v>
      </c>
      <c r="F3" s="14" t="s">
        <v>13</v>
      </c>
      <c r="G3" s="14" t="s">
        <v>1</v>
      </c>
    </row>
    <row r="4" spans="1:7" x14ac:dyDescent="0.25">
      <c r="A4" s="4" t="s">
        <v>7</v>
      </c>
      <c r="B4" s="4" t="s">
        <v>16</v>
      </c>
      <c r="C4" s="13">
        <v>2200</v>
      </c>
      <c r="E4" t="str" cm="1">
        <f t="array" ref="E4:G4">_xlfn._xlws.FILTER(A2:C10,B2:B10=F1,"Not Found")</f>
        <v>Vinyl Records</v>
      </c>
      <c r="F4" t="str">
        <v>Music</v>
      </c>
      <c r="G4" s="15">
        <v>1500</v>
      </c>
    </row>
    <row r="5" spans="1:7" x14ac:dyDescent="0.25">
      <c r="A5" s="4" t="s">
        <v>5</v>
      </c>
      <c r="B5" s="4" t="s">
        <v>17</v>
      </c>
      <c r="C5" s="13">
        <v>1500</v>
      </c>
    </row>
    <row r="6" spans="1:7" x14ac:dyDescent="0.25">
      <c r="A6" s="4" t="s">
        <v>10</v>
      </c>
      <c r="B6" s="4" t="s">
        <v>18</v>
      </c>
      <c r="C6" s="13">
        <v>5000</v>
      </c>
    </row>
    <row r="7" spans="1:7" x14ac:dyDescent="0.25">
      <c r="A7" s="4" t="s">
        <v>9</v>
      </c>
      <c r="B7" s="4" t="s">
        <v>16</v>
      </c>
      <c r="C7" s="13">
        <v>6200</v>
      </c>
    </row>
    <row r="8" spans="1:7" x14ac:dyDescent="0.25">
      <c r="A8" s="4" t="s">
        <v>12</v>
      </c>
      <c r="B8" s="4" t="s">
        <v>14</v>
      </c>
      <c r="C8" s="13">
        <v>10000</v>
      </c>
    </row>
    <row r="9" spans="1:7" x14ac:dyDescent="0.25">
      <c r="A9" s="4" t="s">
        <v>11</v>
      </c>
      <c r="B9" s="4" t="s">
        <v>15</v>
      </c>
      <c r="C9" s="13">
        <v>700</v>
      </c>
    </row>
    <row r="10" spans="1:7" x14ac:dyDescent="0.25">
      <c r="A10" s="4" t="s">
        <v>6</v>
      </c>
      <c r="B10" s="4" t="s">
        <v>16</v>
      </c>
      <c r="C10" s="13">
        <v>8000</v>
      </c>
    </row>
    <row r="11" spans="1:7" x14ac:dyDescent="0.25">
      <c r="E11" s="16" t="s">
        <v>20</v>
      </c>
      <c r="F11" s="17"/>
      <c r="G11" s="17"/>
    </row>
    <row r="12" spans="1:7" x14ac:dyDescent="0.25">
      <c r="E12" s="14" t="s">
        <v>0</v>
      </c>
      <c r="F12" s="14" t="s">
        <v>13</v>
      </c>
      <c r="G12" s="14" t="s">
        <v>1</v>
      </c>
    </row>
    <row r="13" spans="1:7" x14ac:dyDescent="0.25">
      <c r="E13" t="str" cm="1">
        <f t="array" ref="E13">_xlfn._xlws.FILTER(A2:C10,(B2:B10=F1)*(C2:C10&gt;F2),"Not Found")</f>
        <v>Not Found</v>
      </c>
    </row>
    <row r="20" spans="5:7" x14ac:dyDescent="0.25">
      <c r="E20" s="16" t="s">
        <v>21</v>
      </c>
      <c r="F20" s="17"/>
      <c r="G20" s="17"/>
    </row>
    <row r="21" spans="5:7" x14ac:dyDescent="0.25">
      <c r="E21" s="14" t="s">
        <v>0</v>
      </c>
      <c r="F21" s="14" t="s">
        <v>13</v>
      </c>
      <c r="G21" s="14" t="s">
        <v>1</v>
      </c>
    </row>
    <row r="22" spans="5:7" x14ac:dyDescent="0.25">
      <c r="E22" t="str" cm="1">
        <f t="array" ref="E22:G26">_xlfn._xlws.FILTER(A2:C10,(B2:B10=F1)+(C2:C10&gt;F2),"Not Found")</f>
        <v>Smart Speaker</v>
      </c>
      <c r="F22" t="str">
        <v>Electronics</v>
      </c>
      <c r="G22" s="15">
        <v>19000</v>
      </c>
    </row>
    <row r="23" spans="5:7" x14ac:dyDescent="0.25">
      <c r="E23" t="str">
        <v>Vinyl Records</v>
      </c>
      <c r="F23" t="str">
        <v>Music</v>
      </c>
      <c r="G23" s="15">
        <v>1500</v>
      </c>
    </row>
    <row r="24" spans="5:7" x14ac:dyDescent="0.25">
      <c r="E24" t="str">
        <v>Sunglasses</v>
      </c>
      <c r="F24" t="str">
        <v>Clothing</v>
      </c>
      <c r="G24" s="15">
        <v>6200</v>
      </c>
    </row>
    <row r="25" spans="5:7" x14ac:dyDescent="0.25">
      <c r="E25" t="str">
        <v>Blu-Ray Player</v>
      </c>
      <c r="F25" t="str">
        <v>Electronics</v>
      </c>
      <c r="G25" s="15">
        <v>10000</v>
      </c>
    </row>
    <row r="26" spans="5:7" x14ac:dyDescent="0.25">
      <c r="E26" t="str">
        <v>Leather Jacket</v>
      </c>
      <c r="F26" t="str">
        <v>Clothing</v>
      </c>
      <c r="G26" s="15">
        <v>8000</v>
      </c>
    </row>
  </sheetData>
  <mergeCells count="2">
    <mergeCell ref="E11:G11"/>
    <mergeCell ref="E20:G20"/>
  </mergeCells>
  <dataValidations count="1">
    <dataValidation type="list" allowBlank="1" showInputMessage="1" showErrorMessage="1" sqref="F1" xr:uid="{EA2B0206-FA95-4BCB-8AA8-AC6CB0232034}">
      <formula1>$B$2:$B$10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E00D3-4903-41F7-9BE1-E6AABAA7A813}">
  <dimension ref="A1:E10"/>
  <sheetViews>
    <sheetView workbookViewId="0">
      <selection sqref="A1:C10"/>
    </sheetView>
  </sheetViews>
  <sheetFormatPr defaultRowHeight="15" x14ac:dyDescent="0.25"/>
  <cols>
    <col min="1" max="1" width="20.7109375" customWidth="1"/>
    <col min="2" max="2" width="16.7109375" customWidth="1"/>
  </cols>
  <sheetData>
    <row r="1" spans="1:5" x14ac:dyDescent="0.25">
      <c r="A1" s="11" t="s">
        <v>0</v>
      </c>
      <c r="B1" s="11" t="s">
        <v>13</v>
      </c>
      <c r="C1" s="12" t="s">
        <v>1</v>
      </c>
    </row>
    <row r="2" spans="1:5" ht="30" x14ac:dyDescent="0.25">
      <c r="A2" s="4" t="s">
        <v>8</v>
      </c>
      <c r="B2" s="4" t="s">
        <v>14</v>
      </c>
      <c r="C2" s="13">
        <v>19000</v>
      </c>
      <c r="E2" t="str" cm="1">
        <f t="array" ref="E2:E6">_xlfn.UNIQUE(B2:B10,FALSE)</f>
        <v>Electronics</v>
      </c>
    </row>
    <row r="3" spans="1:5" ht="30" x14ac:dyDescent="0.25">
      <c r="A3" s="4" t="s">
        <v>4</v>
      </c>
      <c r="B3" s="4" t="s">
        <v>15</v>
      </c>
      <c r="C3" s="13">
        <v>900</v>
      </c>
      <c r="E3" t="str">
        <v>Sports</v>
      </c>
    </row>
    <row r="4" spans="1:5" ht="30" x14ac:dyDescent="0.25">
      <c r="A4" s="4" t="s">
        <v>7</v>
      </c>
      <c r="B4" s="4" t="s">
        <v>16</v>
      </c>
      <c r="C4" s="13">
        <v>2200</v>
      </c>
      <c r="E4" t="str">
        <v>Clothing</v>
      </c>
    </row>
    <row r="5" spans="1:5" ht="30" x14ac:dyDescent="0.25">
      <c r="A5" s="4" t="s">
        <v>5</v>
      </c>
      <c r="B5" s="4" t="s">
        <v>17</v>
      </c>
      <c r="C5" s="13">
        <v>1500</v>
      </c>
      <c r="E5" t="str">
        <v>Music</v>
      </c>
    </row>
    <row r="6" spans="1:5" ht="30" x14ac:dyDescent="0.25">
      <c r="A6" s="4" t="s">
        <v>10</v>
      </c>
      <c r="B6" s="4" t="s">
        <v>18</v>
      </c>
      <c r="C6" s="13">
        <v>5000</v>
      </c>
      <c r="E6" t="str">
        <v>Games</v>
      </c>
    </row>
    <row r="7" spans="1:5" ht="30" x14ac:dyDescent="0.25">
      <c r="A7" s="4" t="s">
        <v>9</v>
      </c>
      <c r="B7" s="4" t="s">
        <v>16</v>
      </c>
      <c r="C7" s="13">
        <v>6200</v>
      </c>
    </row>
    <row r="8" spans="1:5" ht="30" x14ac:dyDescent="0.25">
      <c r="A8" s="4" t="s">
        <v>12</v>
      </c>
      <c r="B8" s="4" t="s">
        <v>14</v>
      </c>
      <c r="C8" s="13">
        <v>10000</v>
      </c>
    </row>
    <row r="9" spans="1:5" ht="30" x14ac:dyDescent="0.25">
      <c r="A9" s="4" t="s">
        <v>11</v>
      </c>
      <c r="B9" s="4" t="s">
        <v>15</v>
      </c>
      <c r="C9" s="13">
        <v>700</v>
      </c>
    </row>
    <row r="10" spans="1:5" ht="30" x14ac:dyDescent="0.25">
      <c r="A10" s="4" t="s">
        <v>6</v>
      </c>
      <c r="B10" s="4" t="s">
        <v>16</v>
      </c>
      <c r="C10" s="13">
        <v>8000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F3B2-545E-42D0-977F-C690CB49B296}">
  <dimension ref="A1:H13"/>
  <sheetViews>
    <sheetView workbookViewId="0">
      <selection activeCell="K12" sqref="K12"/>
    </sheetView>
  </sheetViews>
  <sheetFormatPr defaultRowHeight="15" x14ac:dyDescent="0.25"/>
  <cols>
    <col min="1" max="1" width="18.140625" customWidth="1"/>
    <col min="2" max="2" width="12.85546875" customWidth="1"/>
    <col min="3" max="3" width="13.5703125" customWidth="1"/>
    <col min="6" max="6" width="17" customWidth="1"/>
    <col min="7" max="7" width="12" customWidth="1"/>
  </cols>
  <sheetData>
    <row r="1" spans="1:8" x14ac:dyDescent="0.25">
      <c r="A1" s="11" t="s">
        <v>0</v>
      </c>
      <c r="B1" s="11" t="s">
        <v>13</v>
      </c>
      <c r="C1" s="12" t="s">
        <v>1</v>
      </c>
      <c r="F1" s="20" t="s">
        <v>22</v>
      </c>
      <c r="G1" s="20"/>
      <c r="H1" s="20"/>
    </row>
    <row r="2" spans="1:8" x14ac:dyDescent="0.25">
      <c r="A2" s="4" t="s">
        <v>8</v>
      </c>
      <c r="B2" s="4" t="s">
        <v>14</v>
      </c>
      <c r="C2" s="13">
        <v>19000</v>
      </c>
      <c r="F2" s="11" t="s">
        <v>0</v>
      </c>
      <c r="G2" s="11" t="s">
        <v>13</v>
      </c>
      <c r="H2" s="12" t="s">
        <v>1</v>
      </c>
    </row>
    <row r="3" spans="1:8" ht="30" x14ac:dyDescent="0.25">
      <c r="A3" s="4" t="s">
        <v>4</v>
      </c>
      <c r="B3" s="4" t="s">
        <v>15</v>
      </c>
      <c r="C3" s="13">
        <v>900</v>
      </c>
      <c r="F3" t="str" cm="1">
        <f t="array" ref="F3:F7">_xlfn._xlws.SORT(_xlfn.UNIQUE(B2:B10))</f>
        <v>Clothing</v>
      </c>
    </row>
    <row r="4" spans="1:8" ht="30" x14ac:dyDescent="0.25">
      <c r="A4" s="4" t="s">
        <v>7</v>
      </c>
      <c r="B4" s="4" t="s">
        <v>16</v>
      </c>
      <c r="C4" s="13">
        <v>2200</v>
      </c>
      <c r="F4" t="str">
        <v>Electronics</v>
      </c>
    </row>
    <row r="5" spans="1:8" ht="30" x14ac:dyDescent="0.25">
      <c r="A5" s="4" t="s">
        <v>5</v>
      </c>
      <c r="B5" s="4" t="s">
        <v>17</v>
      </c>
      <c r="C5" s="13">
        <v>1500</v>
      </c>
      <c r="F5" t="str">
        <v>Games</v>
      </c>
    </row>
    <row r="6" spans="1:8" ht="30" x14ac:dyDescent="0.25">
      <c r="A6" s="4" t="s">
        <v>10</v>
      </c>
      <c r="B6" s="4" t="s">
        <v>18</v>
      </c>
      <c r="C6" s="13">
        <v>5000</v>
      </c>
      <c r="F6" t="str">
        <v>Music</v>
      </c>
    </row>
    <row r="7" spans="1:8" ht="30" x14ac:dyDescent="0.25">
      <c r="A7" s="4" t="s">
        <v>9</v>
      </c>
      <c r="B7" s="4" t="s">
        <v>16</v>
      </c>
      <c r="C7" s="13">
        <v>6200</v>
      </c>
      <c r="F7" t="str">
        <v>Sports</v>
      </c>
    </row>
    <row r="8" spans="1:8" ht="30" x14ac:dyDescent="0.25">
      <c r="A8" s="4" t="s">
        <v>12</v>
      </c>
      <c r="B8" s="4" t="s">
        <v>14</v>
      </c>
      <c r="C8" s="13">
        <v>10000</v>
      </c>
    </row>
    <row r="9" spans="1:8" x14ac:dyDescent="0.25">
      <c r="A9" s="4" t="s">
        <v>11</v>
      </c>
      <c r="B9" s="4" t="s">
        <v>15</v>
      </c>
      <c r="C9" s="13">
        <v>700</v>
      </c>
      <c r="F9" s="11" t="s">
        <v>13</v>
      </c>
      <c r="G9" s="25" t="s">
        <v>14</v>
      </c>
    </row>
    <row r="10" spans="1:8" x14ac:dyDescent="0.25">
      <c r="A10" s="4" t="s">
        <v>6</v>
      </c>
      <c r="B10" s="4" t="s">
        <v>16</v>
      </c>
      <c r="C10" s="13">
        <v>8000</v>
      </c>
      <c r="F10" s="21" t="s">
        <v>23</v>
      </c>
      <c r="G10" s="22"/>
      <c r="H10" s="22"/>
    </row>
    <row r="11" spans="1:8" x14ac:dyDescent="0.25">
      <c r="F11" s="11" t="s">
        <v>0</v>
      </c>
      <c r="G11" s="11" t="s">
        <v>13</v>
      </c>
      <c r="H11" s="12" t="s">
        <v>1</v>
      </c>
    </row>
    <row r="12" spans="1:8" x14ac:dyDescent="0.25">
      <c r="F12" t="str" cm="1">
        <f t="array" ref="F12:H13">_xlfn._xlws.SORT(_xlfn._xlws.FILTER(A2:C10,B2:B10=G9,-1))</f>
        <v>Blu-Ray Player</v>
      </c>
      <c r="G12" t="str">
        <v>Electronics</v>
      </c>
      <c r="H12">
        <v>10000</v>
      </c>
    </row>
    <row r="13" spans="1:8" x14ac:dyDescent="0.25">
      <c r="F13" t="str">
        <v>Smart Speaker</v>
      </c>
      <c r="G13" t="str">
        <v>Electronics</v>
      </c>
      <c r="H13">
        <v>19000</v>
      </c>
    </row>
  </sheetData>
  <mergeCells count="2">
    <mergeCell ref="F1:H1"/>
    <mergeCell ref="F10:H10"/>
  </mergeCells>
  <dataValidations count="1">
    <dataValidation type="list" allowBlank="1" showInputMessage="1" showErrorMessage="1" sqref="G9" xr:uid="{64A7BBBB-B286-4BEC-97A5-EF4C3F809364}">
      <formula1>$B$2:$B$10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B931-DCE3-4AEA-AD95-8326B6C47A99}">
  <dimension ref="A1:E11"/>
  <sheetViews>
    <sheetView workbookViewId="0">
      <selection activeCell="I5" sqref="I5"/>
    </sheetView>
  </sheetViews>
  <sheetFormatPr defaultRowHeight="15" x14ac:dyDescent="0.25"/>
  <sheetData>
    <row r="1" spans="1:5" x14ac:dyDescent="0.25">
      <c r="A1" s="24" t="s">
        <v>24</v>
      </c>
      <c r="B1" s="24" t="s">
        <v>25</v>
      </c>
      <c r="C1" s="24" t="s">
        <v>26</v>
      </c>
      <c r="D1" s="24" t="s">
        <v>27</v>
      </c>
      <c r="E1" s="24" t="s">
        <v>28</v>
      </c>
    </row>
    <row r="2" spans="1:5" x14ac:dyDescent="0.25">
      <c r="A2" cm="1">
        <f t="array" ref="A2:E11">_xlfn.SEQUENCE(10,5,10,10)</f>
        <v>10</v>
      </c>
      <c r="B2">
        <v>20</v>
      </c>
      <c r="C2">
        <v>30</v>
      </c>
      <c r="D2">
        <v>40</v>
      </c>
      <c r="E2">
        <v>50</v>
      </c>
    </row>
    <row r="3" spans="1:5" x14ac:dyDescent="0.25">
      <c r="A3">
        <v>60</v>
      </c>
      <c r="B3">
        <v>70</v>
      </c>
      <c r="C3">
        <v>80</v>
      </c>
      <c r="D3">
        <v>90</v>
      </c>
      <c r="E3">
        <v>100</v>
      </c>
    </row>
    <row r="4" spans="1:5" x14ac:dyDescent="0.25">
      <c r="A4">
        <v>110</v>
      </c>
      <c r="B4">
        <v>120</v>
      </c>
      <c r="C4">
        <v>130</v>
      </c>
      <c r="D4">
        <v>140</v>
      </c>
      <c r="E4">
        <v>150</v>
      </c>
    </row>
    <row r="5" spans="1:5" x14ac:dyDescent="0.25">
      <c r="A5">
        <v>160</v>
      </c>
      <c r="B5">
        <v>170</v>
      </c>
      <c r="C5">
        <v>180</v>
      </c>
      <c r="D5">
        <v>190</v>
      </c>
      <c r="E5">
        <v>200</v>
      </c>
    </row>
    <row r="6" spans="1:5" x14ac:dyDescent="0.25">
      <c r="A6">
        <v>210</v>
      </c>
      <c r="B6">
        <v>220</v>
      </c>
      <c r="C6">
        <v>230</v>
      </c>
      <c r="D6">
        <v>240</v>
      </c>
      <c r="E6">
        <v>250</v>
      </c>
    </row>
    <row r="7" spans="1:5" x14ac:dyDescent="0.25">
      <c r="A7">
        <v>260</v>
      </c>
      <c r="B7">
        <v>270</v>
      </c>
      <c r="C7">
        <v>280</v>
      </c>
      <c r="D7">
        <v>290</v>
      </c>
      <c r="E7">
        <v>300</v>
      </c>
    </row>
    <row r="8" spans="1:5" x14ac:dyDescent="0.25">
      <c r="A8">
        <v>310</v>
      </c>
      <c r="B8">
        <v>320</v>
      </c>
      <c r="C8">
        <v>330</v>
      </c>
      <c r="D8">
        <v>340</v>
      </c>
      <c r="E8">
        <v>350</v>
      </c>
    </row>
    <row r="9" spans="1:5" x14ac:dyDescent="0.25">
      <c r="A9">
        <v>360</v>
      </c>
      <c r="B9">
        <v>370</v>
      </c>
      <c r="C9">
        <v>380</v>
      </c>
      <c r="D9">
        <v>390</v>
      </c>
      <c r="E9">
        <v>400</v>
      </c>
    </row>
    <row r="10" spans="1:5" x14ac:dyDescent="0.25">
      <c r="A10">
        <v>410</v>
      </c>
      <c r="B10">
        <v>420</v>
      </c>
      <c r="C10">
        <v>430</v>
      </c>
      <c r="D10">
        <v>440</v>
      </c>
      <c r="E10">
        <v>450</v>
      </c>
    </row>
    <row r="11" spans="1:5" x14ac:dyDescent="0.25">
      <c r="A11">
        <v>460</v>
      </c>
      <c r="B11">
        <v>470</v>
      </c>
      <c r="C11">
        <v>480</v>
      </c>
      <c r="D11">
        <v>490</v>
      </c>
      <c r="E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0B34-9E3A-42D5-9760-7DFC2A514C80}">
  <dimension ref="A1:E10"/>
  <sheetViews>
    <sheetView workbookViewId="0">
      <selection activeCell="A2" sqref="A2"/>
    </sheetView>
  </sheetViews>
  <sheetFormatPr defaultRowHeight="15" x14ac:dyDescent="0.25"/>
  <sheetData>
    <row r="1" spans="1:5" x14ac:dyDescent="0.25">
      <c r="A1" cm="1">
        <f t="array" aca="1" ref="A1:E10" ca="1">_xlfn.RANDARRAY(10,5,0,10,TRUE)</f>
        <v>7</v>
      </c>
      <c r="B1">
        <f ca="1"/>
        <v>1</v>
      </c>
      <c r="C1">
        <f ca="1"/>
        <v>4</v>
      </c>
      <c r="D1">
        <f ca="1"/>
        <v>4</v>
      </c>
      <c r="E1">
        <f ca="1"/>
        <v>4</v>
      </c>
    </row>
    <row r="2" spans="1:5" x14ac:dyDescent="0.25">
      <c r="A2">
        <f ca="1"/>
        <v>1</v>
      </c>
      <c r="B2">
        <f ca="1"/>
        <v>7</v>
      </c>
      <c r="C2">
        <f ca="1"/>
        <v>4</v>
      </c>
      <c r="D2">
        <f ca="1"/>
        <v>7</v>
      </c>
      <c r="E2">
        <f ca="1"/>
        <v>7</v>
      </c>
    </row>
    <row r="3" spans="1:5" x14ac:dyDescent="0.25">
      <c r="A3">
        <f ca="1"/>
        <v>10</v>
      </c>
      <c r="B3">
        <f ca="1"/>
        <v>8</v>
      </c>
      <c r="C3">
        <f ca="1"/>
        <v>2</v>
      </c>
      <c r="D3">
        <f ca="1"/>
        <v>5</v>
      </c>
      <c r="E3">
        <f ca="1"/>
        <v>9</v>
      </c>
    </row>
    <row r="4" spans="1:5" x14ac:dyDescent="0.25">
      <c r="A4">
        <f ca="1"/>
        <v>9</v>
      </c>
      <c r="B4">
        <f ca="1"/>
        <v>1</v>
      </c>
      <c r="C4">
        <f ca="1"/>
        <v>8</v>
      </c>
      <c r="D4">
        <f ca="1"/>
        <v>7</v>
      </c>
      <c r="E4">
        <f ca="1"/>
        <v>2</v>
      </c>
    </row>
    <row r="5" spans="1:5" x14ac:dyDescent="0.25">
      <c r="A5">
        <f ca="1"/>
        <v>6</v>
      </c>
      <c r="B5">
        <f ca="1"/>
        <v>5</v>
      </c>
      <c r="C5">
        <f ca="1"/>
        <v>4</v>
      </c>
      <c r="D5">
        <f ca="1"/>
        <v>1</v>
      </c>
      <c r="E5">
        <f ca="1"/>
        <v>1</v>
      </c>
    </row>
    <row r="6" spans="1:5" x14ac:dyDescent="0.25">
      <c r="A6">
        <f ca="1"/>
        <v>0</v>
      </c>
      <c r="B6">
        <f ca="1"/>
        <v>2</v>
      </c>
      <c r="C6">
        <f ca="1"/>
        <v>6</v>
      </c>
      <c r="D6">
        <f ca="1"/>
        <v>6</v>
      </c>
      <c r="E6">
        <f ca="1"/>
        <v>10</v>
      </c>
    </row>
    <row r="7" spans="1:5" x14ac:dyDescent="0.25">
      <c r="A7">
        <f ca="1"/>
        <v>7</v>
      </c>
      <c r="B7">
        <f ca="1"/>
        <v>1</v>
      </c>
      <c r="C7">
        <f ca="1"/>
        <v>10</v>
      </c>
      <c r="D7">
        <f ca="1"/>
        <v>6</v>
      </c>
      <c r="E7">
        <f ca="1"/>
        <v>1</v>
      </c>
    </row>
    <row r="8" spans="1:5" x14ac:dyDescent="0.25">
      <c r="A8">
        <f ca="1"/>
        <v>8</v>
      </c>
      <c r="B8">
        <f ca="1"/>
        <v>10</v>
      </c>
      <c r="C8">
        <f ca="1"/>
        <v>9</v>
      </c>
      <c r="D8">
        <f ca="1"/>
        <v>6</v>
      </c>
      <c r="E8">
        <f ca="1"/>
        <v>0</v>
      </c>
    </row>
    <row r="9" spans="1:5" x14ac:dyDescent="0.25">
      <c r="A9">
        <f ca="1"/>
        <v>10</v>
      </c>
      <c r="B9">
        <f ca="1"/>
        <v>7</v>
      </c>
      <c r="C9">
        <f ca="1"/>
        <v>1</v>
      </c>
      <c r="D9">
        <f ca="1"/>
        <v>8</v>
      </c>
      <c r="E9">
        <f ca="1"/>
        <v>9</v>
      </c>
    </row>
    <row r="10" spans="1:5" x14ac:dyDescent="0.25">
      <c r="A10">
        <f ca="1"/>
        <v>0</v>
      </c>
      <c r="B10">
        <f ca="1"/>
        <v>0</v>
      </c>
      <c r="C10">
        <f ca="1"/>
        <v>2</v>
      </c>
      <c r="D10">
        <f ca="1"/>
        <v>6</v>
      </c>
      <c r="E10">
        <f ca="1"/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6990-D734-4DE2-B1CD-2FFD8136561D}">
  <dimension ref="A1:G10"/>
  <sheetViews>
    <sheetView workbookViewId="0">
      <selection sqref="A1:C10"/>
    </sheetView>
  </sheetViews>
  <sheetFormatPr defaultRowHeight="15" x14ac:dyDescent="0.25"/>
  <cols>
    <col min="1" max="1" width="13.5703125" customWidth="1"/>
    <col min="2" max="2" width="16.5703125" customWidth="1"/>
    <col min="3" max="3" width="18" customWidth="1"/>
    <col min="5" max="5" width="16.85546875" customWidth="1"/>
    <col min="6" max="6" width="15.140625" customWidth="1"/>
    <col min="7" max="7" width="11.42578125" style="23" bestFit="1" customWidth="1"/>
  </cols>
  <sheetData>
    <row r="1" spans="1:7" x14ac:dyDescent="0.25">
      <c r="A1" s="1" t="s">
        <v>29</v>
      </c>
      <c r="B1" s="1" t="s">
        <v>30</v>
      </c>
      <c r="C1" s="3" t="s">
        <v>31</v>
      </c>
      <c r="E1" s="1" t="s">
        <v>32</v>
      </c>
      <c r="F1" s="3" t="s">
        <v>33</v>
      </c>
      <c r="G1" s="23" t="s">
        <v>39</v>
      </c>
    </row>
    <row r="2" spans="1:7" ht="30" x14ac:dyDescent="0.25">
      <c r="A2" s="4" t="s">
        <v>8</v>
      </c>
      <c r="B2" s="4" t="s">
        <v>14</v>
      </c>
      <c r="C2" s="2">
        <v>19000</v>
      </c>
      <c r="E2" s="4" t="s">
        <v>34</v>
      </c>
      <c r="F2" s="2">
        <v>3000</v>
      </c>
      <c r="G2" s="23" cm="1">
        <f t="array" ref="G2:G7">FREQUENCY(C2:C10,F2:F7)</f>
        <v>4</v>
      </c>
    </row>
    <row r="3" spans="1:7" x14ac:dyDescent="0.25">
      <c r="A3" s="4" t="s">
        <v>4</v>
      </c>
      <c r="B3" s="4" t="s">
        <v>15</v>
      </c>
      <c r="C3" s="2">
        <v>900</v>
      </c>
      <c r="E3" s="4" t="s">
        <v>35</v>
      </c>
      <c r="F3" s="2">
        <v>6000</v>
      </c>
      <c r="G3" s="23">
        <v>1</v>
      </c>
    </row>
    <row r="4" spans="1:7" ht="30" x14ac:dyDescent="0.25">
      <c r="A4" s="4" t="s">
        <v>7</v>
      </c>
      <c r="B4" s="4" t="s">
        <v>16</v>
      </c>
      <c r="C4" s="2">
        <v>2200</v>
      </c>
      <c r="E4" s="4" t="s">
        <v>36</v>
      </c>
      <c r="F4" s="2">
        <v>9000</v>
      </c>
      <c r="G4" s="23">
        <v>2</v>
      </c>
    </row>
    <row r="5" spans="1:7" x14ac:dyDescent="0.25">
      <c r="A5" s="4" t="s">
        <v>5</v>
      </c>
      <c r="B5" s="4" t="s">
        <v>17</v>
      </c>
      <c r="C5" s="2">
        <v>1500</v>
      </c>
      <c r="E5" s="4" t="s">
        <v>37</v>
      </c>
      <c r="F5" s="2">
        <v>12000</v>
      </c>
      <c r="G5" s="23">
        <v>1</v>
      </c>
    </row>
    <row r="6" spans="1:7" x14ac:dyDescent="0.25">
      <c r="A6" s="4" t="s">
        <v>10</v>
      </c>
      <c r="B6" s="4" t="s">
        <v>18</v>
      </c>
      <c r="C6" s="2">
        <v>5000</v>
      </c>
      <c r="E6" s="4" t="s">
        <v>38</v>
      </c>
      <c r="F6" s="2">
        <v>15000</v>
      </c>
      <c r="G6" s="23">
        <v>0</v>
      </c>
    </row>
    <row r="7" spans="1:7" x14ac:dyDescent="0.25">
      <c r="A7" s="4" t="s">
        <v>9</v>
      </c>
      <c r="B7" s="4" t="s">
        <v>16</v>
      </c>
      <c r="C7" s="2">
        <v>6200</v>
      </c>
      <c r="E7" s="4" t="s">
        <v>40</v>
      </c>
      <c r="G7" s="23">
        <v>1</v>
      </c>
    </row>
    <row r="8" spans="1:7" ht="30" x14ac:dyDescent="0.25">
      <c r="A8" s="4" t="s">
        <v>12</v>
      </c>
      <c r="B8" s="4" t="s">
        <v>14</v>
      </c>
      <c r="C8" s="2">
        <v>10000</v>
      </c>
    </row>
    <row r="9" spans="1:7" x14ac:dyDescent="0.25">
      <c r="A9" s="4" t="s">
        <v>11</v>
      </c>
      <c r="B9" s="4" t="s">
        <v>15</v>
      </c>
      <c r="C9" s="2">
        <v>700</v>
      </c>
    </row>
    <row r="10" spans="1:7" ht="30" x14ac:dyDescent="0.25">
      <c r="A10" s="4" t="s">
        <v>6</v>
      </c>
      <c r="B10" s="4" t="s">
        <v>16</v>
      </c>
      <c r="C10" s="2">
        <v>8000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B3E6-0230-479D-9129-D38550E86965}">
  <dimension ref="A1:N10"/>
  <sheetViews>
    <sheetView workbookViewId="0">
      <selection activeCell="G14" sqref="G14"/>
    </sheetView>
  </sheetViews>
  <sheetFormatPr defaultRowHeight="15" x14ac:dyDescent="0.25"/>
  <cols>
    <col min="1" max="1" width="22.5703125" customWidth="1"/>
    <col min="2" max="2" width="15.42578125" customWidth="1"/>
    <col min="3" max="3" width="13" customWidth="1"/>
  </cols>
  <sheetData>
    <row r="1" spans="1:14" ht="45" x14ac:dyDescent="0.25">
      <c r="A1" s="1" t="s">
        <v>29</v>
      </c>
      <c r="B1" s="1" t="s">
        <v>30</v>
      </c>
      <c r="C1" s="3" t="s">
        <v>31</v>
      </c>
      <c r="F1" t="str" cm="1">
        <f t="array" ref="F1:N3">TRANSPOSE(A2:C10)</f>
        <v>Smart Speaker</v>
      </c>
      <c r="G1" t="str">
        <v>Baseball Bat</v>
      </c>
      <c r="H1" t="str">
        <v>Cowboy Boots</v>
      </c>
      <c r="I1" t="str">
        <v>Vinyl Records</v>
      </c>
      <c r="J1" t="str">
        <v>Lego Bricks</v>
      </c>
      <c r="K1" t="str">
        <v>Sunglasses</v>
      </c>
      <c r="L1" t="str">
        <v>Blu-Ray Player</v>
      </c>
      <c r="M1" t="str">
        <v>Tennis Racket</v>
      </c>
      <c r="N1" t="str">
        <v>Leather Jacket</v>
      </c>
    </row>
    <row r="2" spans="1:14" ht="30" x14ac:dyDescent="0.25">
      <c r="A2" s="4" t="s">
        <v>8</v>
      </c>
      <c r="B2" s="4" t="s">
        <v>14</v>
      </c>
      <c r="C2" s="2">
        <v>19000</v>
      </c>
      <c r="F2" t="str">
        <v>Electronics</v>
      </c>
      <c r="G2" t="str">
        <v>Sports</v>
      </c>
      <c r="H2" t="str">
        <v>Clothing</v>
      </c>
      <c r="I2" t="str">
        <v>Music</v>
      </c>
      <c r="J2" t="str">
        <v>Games</v>
      </c>
      <c r="K2" t="str">
        <v>Clothing</v>
      </c>
      <c r="L2" t="str">
        <v>Electronics</v>
      </c>
      <c r="M2" t="str">
        <v>Sports</v>
      </c>
      <c r="N2" t="str">
        <v>Clothing</v>
      </c>
    </row>
    <row r="3" spans="1:14" ht="30" x14ac:dyDescent="0.25">
      <c r="A3" s="4" t="s">
        <v>4</v>
      </c>
      <c r="B3" s="4" t="s">
        <v>15</v>
      </c>
      <c r="C3" s="2">
        <v>900</v>
      </c>
      <c r="F3">
        <v>19000</v>
      </c>
      <c r="G3">
        <v>900</v>
      </c>
      <c r="H3">
        <v>2200</v>
      </c>
      <c r="I3">
        <v>1500</v>
      </c>
      <c r="J3">
        <v>5000</v>
      </c>
      <c r="K3">
        <v>6200</v>
      </c>
      <c r="L3">
        <v>10000</v>
      </c>
      <c r="M3">
        <v>700</v>
      </c>
      <c r="N3">
        <v>8000</v>
      </c>
    </row>
    <row r="4" spans="1:14" ht="30" x14ac:dyDescent="0.25">
      <c r="A4" s="4" t="s">
        <v>7</v>
      </c>
      <c r="B4" s="4" t="s">
        <v>16</v>
      </c>
      <c r="C4" s="2">
        <v>2200</v>
      </c>
    </row>
    <row r="5" spans="1:14" ht="30" x14ac:dyDescent="0.25">
      <c r="A5" s="4" t="s">
        <v>5</v>
      </c>
      <c r="B5" s="4" t="s">
        <v>17</v>
      </c>
      <c r="C5" s="2">
        <v>1500</v>
      </c>
    </row>
    <row r="6" spans="1:14" ht="30" x14ac:dyDescent="0.25">
      <c r="A6" s="4" t="s">
        <v>10</v>
      </c>
      <c r="B6" s="4" t="s">
        <v>18</v>
      </c>
      <c r="C6" s="2">
        <v>5000</v>
      </c>
    </row>
    <row r="7" spans="1:14" ht="30" x14ac:dyDescent="0.25">
      <c r="A7" s="4" t="s">
        <v>9</v>
      </c>
      <c r="B7" s="4" t="s">
        <v>16</v>
      </c>
      <c r="C7" s="2">
        <v>6200</v>
      </c>
    </row>
    <row r="8" spans="1:14" ht="30" x14ac:dyDescent="0.25">
      <c r="A8" s="4" t="s">
        <v>12</v>
      </c>
      <c r="B8" s="4" t="s">
        <v>14</v>
      </c>
      <c r="C8" s="2">
        <v>10000</v>
      </c>
    </row>
    <row r="9" spans="1:14" ht="30" x14ac:dyDescent="0.25">
      <c r="A9" s="4" t="s">
        <v>11</v>
      </c>
      <c r="B9" s="4" t="s">
        <v>15</v>
      </c>
      <c r="C9" s="2">
        <v>700</v>
      </c>
    </row>
    <row r="10" spans="1:14" ht="30" x14ac:dyDescent="0.25">
      <c r="A10" s="4" t="s">
        <v>6</v>
      </c>
      <c r="B10" s="4" t="s">
        <v>16</v>
      </c>
      <c r="C10" s="2">
        <v>8000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4969-1E24-467F-8FC8-F52C8B9AB140}">
  <dimension ref="A1:I10"/>
  <sheetViews>
    <sheetView workbookViewId="0">
      <selection activeCell="F24" sqref="F24"/>
    </sheetView>
  </sheetViews>
  <sheetFormatPr defaultRowHeight="15" x14ac:dyDescent="0.25"/>
  <cols>
    <col min="1" max="1" width="16.5703125" customWidth="1"/>
    <col min="2" max="2" width="13.7109375" customWidth="1"/>
    <col min="3" max="3" width="16.5703125" customWidth="1"/>
    <col min="5" max="5" width="11.140625" customWidth="1"/>
    <col min="6" max="6" width="13.42578125" bestFit="1" customWidth="1"/>
    <col min="8" max="8" width="10.570312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13</v>
      </c>
      <c r="C1" s="3" t="s">
        <v>1</v>
      </c>
      <c r="E1" s="23" t="s">
        <v>41</v>
      </c>
      <c r="F1" s="23" t="s">
        <v>42</v>
      </c>
      <c r="G1" s="23"/>
      <c r="H1" s="23" t="s">
        <v>41</v>
      </c>
      <c r="I1" s="23" t="s">
        <v>42</v>
      </c>
    </row>
    <row r="2" spans="1:9" x14ac:dyDescent="0.25">
      <c r="A2" s="4" t="s">
        <v>8</v>
      </c>
      <c r="B2" s="4" t="s">
        <v>14</v>
      </c>
      <c r="C2" s="13">
        <v>19000</v>
      </c>
      <c r="E2" t="str" cm="1">
        <f t="array" ref="E2:E6">_xlfn.UNIQUE(B2:B10)</f>
        <v>Electronics</v>
      </c>
      <c r="F2" s="13" cm="1">
        <f t="array" ref="F2:F6">AVERAGEIF(B2:B10,_xlfn.ANCHORARRAY(E2),C2:C10)</f>
        <v>14500</v>
      </c>
      <c r="H2" t="str" cm="1">
        <f t="array" ref="H2:I6">CHOOSE({1,2},_xlfn.ANCHORARRAY(E2),_xlfn.ANCHORARRAY(F2))</f>
        <v>Electronics</v>
      </c>
      <c r="I2" s="13">
        <v>14500</v>
      </c>
    </row>
    <row r="3" spans="1:9" x14ac:dyDescent="0.25">
      <c r="A3" s="4" t="s">
        <v>4</v>
      </c>
      <c r="B3" s="4" t="s">
        <v>15</v>
      </c>
      <c r="C3" s="13">
        <v>900</v>
      </c>
      <c r="E3" t="str">
        <v>Sports</v>
      </c>
      <c r="F3" s="13">
        <v>800</v>
      </c>
      <c r="H3" t="str">
        <v>Sports</v>
      </c>
      <c r="I3" s="13">
        <v>800</v>
      </c>
    </row>
    <row r="4" spans="1:9" x14ac:dyDescent="0.25">
      <c r="A4" s="4" t="s">
        <v>7</v>
      </c>
      <c r="B4" s="4" t="s">
        <v>16</v>
      </c>
      <c r="C4" s="13">
        <v>2200</v>
      </c>
      <c r="E4" t="str">
        <v>Clothing</v>
      </c>
      <c r="F4" s="13">
        <v>5466.666666666667</v>
      </c>
      <c r="H4" t="str">
        <v>Clothing</v>
      </c>
      <c r="I4" s="13">
        <v>5466.666666666667</v>
      </c>
    </row>
    <row r="5" spans="1:9" x14ac:dyDescent="0.25">
      <c r="A5" s="4" t="s">
        <v>5</v>
      </c>
      <c r="B5" s="4" t="s">
        <v>17</v>
      </c>
      <c r="C5" s="13">
        <v>1500</v>
      </c>
      <c r="E5" t="str">
        <v>Music</v>
      </c>
      <c r="F5" s="13">
        <v>1500</v>
      </c>
      <c r="H5" t="str">
        <v>Music</v>
      </c>
      <c r="I5" s="13">
        <v>1500</v>
      </c>
    </row>
    <row r="6" spans="1:9" x14ac:dyDescent="0.25">
      <c r="A6" s="4" t="s">
        <v>10</v>
      </c>
      <c r="B6" s="4" t="s">
        <v>18</v>
      </c>
      <c r="C6" s="13">
        <v>5000</v>
      </c>
      <c r="E6" t="str">
        <v>Games</v>
      </c>
      <c r="F6" s="13">
        <v>5000</v>
      </c>
      <c r="H6" t="str">
        <v>Games</v>
      </c>
      <c r="I6" s="13">
        <v>5000</v>
      </c>
    </row>
    <row r="7" spans="1:9" x14ac:dyDescent="0.25">
      <c r="A7" s="4" t="s">
        <v>9</v>
      </c>
      <c r="B7" s="4" t="s">
        <v>16</v>
      </c>
      <c r="C7" s="13">
        <v>6200</v>
      </c>
    </row>
    <row r="8" spans="1:9" x14ac:dyDescent="0.25">
      <c r="A8" s="4" t="s">
        <v>12</v>
      </c>
      <c r="B8" s="4" t="s">
        <v>14</v>
      </c>
      <c r="C8" s="13">
        <v>10000</v>
      </c>
    </row>
    <row r="9" spans="1:9" x14ac:dyDescent="0.25">
      <c r="A9" s="4" t="s">
        <v>11</v>
      </c>
      <c r="B9" s="4" t="s">
        <v>15</v>
      </c>
      <c r="C9" s="13">
        <v>700</v>
      </c>
    </row>
    <row r="10" spans="1:9" x14ac:dyDescent="0.25">
      <c r="A10" s="4" t="s">
        <v>6</v>
      </c>
      <c r="B10" s="4" t="s">
        <v>16</v>
      </c>
      <c r="C10" s="13">
        <v>8000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5D9C-B92C-4F85-AD2A-4FA94C580AE3}">
  <dimension ref="A1:E10"/>
  <sheetViews>
    <sheetView workbookViewId="0">
      <selection activeCell="J5" sqref="J5"/>
    </sheetView>
  </sheetViews>
  <sheetFormatPr defaultRowHeight="15" x14ac:dyDescent="0.25"/>
  <sheetData>
    <row r="1" spans="1:5" x14ac:dyDescent="0.25">
      <c r="A1" s="5" t="s">
        <v>0</v>
      </c>
      <c r="B1" s="6" t="s">
        <v>1</v>
      </c>
      <c r="C1" s="6" t="s">
        <v>2</v>
      </c>
      <c r="E1" s="6" t="s">
        <v>3</v>
      </c>
    </row>
    <row r="2" spans="1:5" ht="30" x14ac:dyDescent="0.25">
      <c r="A2" s="4" t="s">
        <v>4</v>
      </c>
      <c r="B2" s="2">
        <v>900</v>
      </c>
      <c r="C2" s="9">
        <v>0.05</v>
      </c>
      <c r="E2" cm="1">
        <f t="array" ref="E2:E10">_xlfn.LET(_xlpm.Sales,B2:B10,_xlpm.Margin,C2:C10,_xlpm.Sales*_xlpm.Margin)</f>
        <v>45</v>
      </c>
    </row>
    <row r="3" spans="1:5" ht="30" x14ac:dyDescent="0.25">
      <c r="A3" s="4" t="s">
        <v>5</v>
      </c>
      <c r="B3" s="2">
        <v>1500</v>
      </c>
      <c r="C3" s="9">
        <v>0.1</v>
      </c>
      <c r="E3">
        <v>150</v>
      </c>
    </row>
    <row r="4" spans="1:5" ht="30" x14ac:dyDescent="0.25">
      <c r="A4" s="4" t="s">
        <v>6</v>
      </c>
      <c r="B4" s="2">
        <v>8000</v>
      </c>
      <c r="C4" s="9">
        <v>0.15</v>
      </c>
      <c r="E4">
        <v>1200</v>
      </c>
    </row>
    <row r="5" spans="1:5" ht="30" x14ac:dyDescent="0.25">
      <c r="A5" s="4" t="s">
        <v>7</v>
      </c>
      <c r="B5" s="2">
        <v>2200</v>
      </c>
      <c r="C5" s="9">
        <v>0.15</v>
      </c>
      <c r="E5">
        <v>330</v>
      </c>
    </row>
    <row r="6" spans="1:5" ht="30" x14ac:dyDescent="0.25">
      <c r="A6" s="4" t="s">
        <v>8</v>
      </c>
      <c r="B6" s="2">
        <v>19000</v>
      </c>
      <c r="C6" s="9">
        <v>0.2</v>
      </c>
      <c r="E6">
        <v>3800</v>
      </c>
    </row>
    <row r="7" spans="1:5" ht="30" x14ac:dyDescent="0.25">
      <c r="A7" s="4" t="s">
        <v>9</v>
      </c>
      <c r="B7" s="2">
        <v>6200</v>
      </c>
      <c r="C7" s="9">
        <v>0.2</v>
      </c>
      <c r="E7">
        <v>1240</v>
      </c>
    </row>
    <row r="8" spans="1:5" ht="30" x14ac:dyDescent="0.25">
      <c r="A8" s="4" t="s">
        <v>10</v>
      </c>
      <c r="B8" s="2">
        <v>5000</v>
      </c>
      <c r="C8" s="9">
        <v>0.2</v>
      </c>
      <c r="E8">
        <v>1000</v>
      </c>
    </row>
    <row r="9" spans="1:5" ht="30" x14ac:dyDescent="0.25">
      <c r="A9" s="4" t="s">
        <v>11</v>
      </c>
      <c r="B9" s="2">
        <v>700</v>
      </c>
      <c r="C9" s="9">
        <v>0.25</v>
      </c>
      <c r="E9">
        <v>175</v>
      </c>
    </row>
    <row r="10" spans="1:5" ht="30" x14ac:dyDescent="0.25">
      <c r="A10" s="4" t="s">
        <v>12</v>
      </c>
      <c r="B10" s="2">
        <v>10000</v>
      </c>
      <c r="C10" s="9">
        <v>0.35</v>
      </c>
      <c r="E10">
        <v>3500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72EE-18B1-44DE-AA6C-D3E4ACC25291}">
  <dimension ref="A1:G5"/>
  <sheetViews>
    <sheetView workbookViewId="0">
      <selection activeCell="C9" sqref="C9"/>
    </sheetView>
  </sheetViews>
  <sheetFormatPr defaultRowHeight="15" x14ac:dyDescent="0.25"/>
  <cols>
    <col min="1" max="1" width="16" customWidth="1"/>
    <col min="2" max="2" width="16.28515625" customWidth="1"/>
  </cols>
  <sheetData>
    <row r="1" spans="1:7" x14ac:dyDescent="0.25">
      <c r="A1" s="26" t="s">
        <v>45</v>
      </c>
      <c r="B1" s="26" t="s">
        <v>46</v>
      </c>
      <c r="C1" s="27"/>
      <c r="D1" s="28" t="s">
        <v>49</v>
      </c>
      <c r="E1" s="28"/>
      <c r="F1" s="27"/>
      <c r="G1" s="29" t="s">
        <v>51</v>
      </c>
    </row>
    <row r="2" spans="1:7" x14ac:dyDescent="0.25">
      <c r="A2" s="4" t="s">
        <v>43</v>
      </c>
      <c r="B2" s="2">
        <v>500</v>
      </c>
      <c r="C2" cm="1">
        <f t="array" aca="1" ref="C2" ca="1">INDIRECT(A2)</f>
        <v>500</v>
      </c>
      <c r="D2">
        <v>2</v>
      </c>
      <c r="E2" cm="1">
        <f t="array" aca="1" ref="E2" ca="1">INDIRECT("B"&amp;D2)</f>
        <v>500</v>
      </c>
      <c r="F2" t="s">
        <v>50</v>
      </c>
      <c r="G2">
        <f ca="1">SUM(INDIRECT(F2))</f>
        <v>3350</v>
      </c>
    </row>
    <row r="3" spans="1:7" x14ac:dyDescent="0.25">
      <c r="A3" s="4" t="s">
        <v>44</v>
      </c>
      <c r="B3" s="2">
        <v>900</v>
      </c>
    </row>
    <row r="4" spans="1:7" x14ac:dyDescent="0.25">
      <c r="A4" s="4" t="s">
        <v>47</v>
      </c>
      <c r="B4" s="2">
        <v>1200</v>
      </c>
    </row>
    <row r="5" spans="1:7" x14ac:dyDescent="0.25">
      <c r="A5" s="4" t="s">
        <v>48</v>
      </c>
      <c r="B5" s="2">
        <v>750</v>
      </c>
    </row>
  </sheetData>
  <mergeCells count="1"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04B4-3D79-461D-8480-4CF13E7A0D87}">
  <dimension ref="B2:B4"/>
  <sheetViews>
    <sheetView tabSelected="1" workbookViewId="0">
      <selection activeCell="H19" sqref="H19"/>
    </sheetView>
  </sheetViews>
  <sheetFormatPr defaultRowHeight="15" x14ac:dyDescent="0.25"/>
  <cols>
    <col min="2" max="2" width="21.5703125" customWidth="1"/>
  </cols>
  <sheetData>
    <row r="2" spans="2:2" x14ac:dyDescent="0.25">
      <c r="B2" t="str">
        <f>HYPERLINK("https://www.microsoft.com","Microsoft")</f>
        <v>Microsoft</v>
      </c>
    </row>
    <row r="3" spans="2:2" x14ac:dyDescent="0.25">
      <c r="B3" s="30" t="str">
        <f>HYPERLINK("C:\Users\sabbir\OneDrive\Desktop\Data Analist\Excel\microsoft-excel-foundation\Assignment\pdf\3.Assignment.png","Open Report")</f>
        <v>Open Report</v>
      </c>
    </row>
    <row r="4" spans="2:2" x14ac:dyDescent="0.25">
      <c r="B4" s="30" t="str">
        <f>HYPERLINK("#SORT!A1","Go to SORT")</f>
        <v>Go to SORT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SORT</vt:lpstr>
      <vt:lpstr>SORTBY</vt:lpstr>
      <vt:lpstr>FILTER</vt:lpstr>
      <vt:lpstr>UNIQUE</vt:lpstr>
      <vt:lpstr>Combining SORT, FILTER &amp; UNIQUE</vt:lpstr>
      <vt:lpstr>SEQUENCE</vt:lpstr>
      <vt:lpstr>RANDARRAY</vt:lpstr>
      <vt:lpstr>FREQUENCY</vt:lpstr>
      <vt:lpstr>TRANSPOSE</vt:lpstr>
      <vt:lpstr>JOINING ARRAYS WITH CHOOSE</vt:lpstr>
      <vt:lpstr> LET FUNCTION</vt:lpstr>
      <vt:lpstr>I N D I R E C T</vt:lpstr>
      <vt:lpstr>H Y P E R L I N 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</dc:creator>
  <cp:lastModifiedBy>sabbir hossain</cp:lastModifiedBy>
  <dcterms:created xsi:type="dcterms:W3CDTF">2015-06-05T18:17:20Z</dcterms:created>
  <dcterms:modified xsi:type="dcterms:W3CDTF">2026-07-21T14:55:23Z</dcterms:modified>
</cp:coreProperties>
</file>