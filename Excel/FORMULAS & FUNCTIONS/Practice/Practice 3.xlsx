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Practice/"/>
    </mc:Choice>
  </mc:AlternateContent>
  <xr:revisionPtr revIDLastSave="6" documentId="11_F25DC773A252ABDACC1048A9195D48BE5ADE58E5" xr6:coauthVersionLast="47" xr6:coauthVersionMax="47" xr10:uidLastSave="{BC9D3FFB-F8B5-4461-8390-2BA1BD8CB99A}"/>
  <bookViews>
    <workbookView xWindow="-120" yWindow="-120" windowWidth="19440" windowHeight="15000" activeTab="3" xr2:uid="{00000000-000D-0000-FFFF-FFFF00000000}"/>
  </bookViews>
  <sheets>
    <sheet name="N a m e d R a n g e s" sheetId="1" r:id="rId1"/>
    <sheet name="V L O O K U P &amp;  HLOOKUP" sheetId="2" r:id="rId2"/>
    <sheet name="X L O O K U P" sheetId="4" r:id="rId3"/>
    <sheet name="C HOOSE" sheetId="5" r:id="rId4"/>
  </sheets>
  <definedNames>
    <definedName name="Apperal">'N a m e d R a n g e s'!$A$1:$D$11</definedName>
    <definedName name="ordertable">#REF!</definedName>
    <definedName name="priceList">'V L O O K U P &amp;  HLOOKUP'!$A$1:$D$11</definedName>
    <definedName name="ProductTable">#REF!</definedName>
    <definedName name="Sales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D27" i="4" a="1"/>
  <c r="D28" i="4" a="1"/>
  <c r="D26" i="4" a="1"/>
  <c r="J9" i="4"/>
  <c r="J10" i="4"/>
  <c r="J11" i="4"/>
  <c r="L3" i="4"/>
  <c r="L4" i="4"/>
  <c r="L2" i="4"/>
  <c r="I3" i="4" a="1"/>
  <c r="I4" i="4" a="1"/>
  <c r="I2" i="4" a="1"/>
  <c r="G3" i="4"/>
  <c r="G4" i="4"/>
  <c r="G2" i="4"/>
  <c r="F4" i="2"/>
  <c r="F2" i="2"/>
  <c r="G5" i="1"/>
  <c r="G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<sst xmlns="http://schemas.openxmlformats.org/spreadsheetml/2006/main" count="118" uniqueCount="60">
  <si>
    <t>Product</t>
  </si>
  <si>
    <t>Quantity</t>
  </si>
  <si>
    <t>Product ID</t>
  </si>
  <si>
    <t>Price</t>
  </si>
  <si>
    <t>T-shirt</t>
  </si>
  <si>
    <t>Sweater</t>
  </si>
  <si>
    <t>Shorts</t>
  </si>
  <si>
    <t>Socks</t>
  </si>
  <si>
    <t>Spandex Unitard</t>
  </si>
  <si>
    <t>Hoodie</t>
  </si>
  <si>
    <t>Jeans</t>
  </si>
  <si>
    <t>Jacket</t>
  </si>
  <si>
    <t>Sweatpants</t>
  </si>
  <si>
    <t>Sneakers</t>
  </si>
  <si>
    <t>Find The value of column 2</t>
  </si>
  <si>
    <t>Find The value of column 3</t>
  </si>
  <si>
    <t>Find quantity of shart</t>
  </si>
  <si>
    <t>Find the price of Sweater</t>
  </si>
  <si>
    <t>P001</t>
  </si>
  <si>
    <t>Mouse</t>
  </si>
  <si>
    <t>P002</t>
  </si>
  <si>
    <t>Keyboard</t>
  </si>
  <si>
    <t>P003</t>
  </si>
  <si>
    <t>Monitor</t>
  </si>
  <si>
    <t>Order</t>
  </si>
  <si>
    <t>P004</t>
  </si>
  <si>
    <t>Multiple Column Return</t>
  </si>
  <si>
    <t>ProductID</t>
  </si>
  <si>
    <t>ProductName</t>
  </si>
  <si>
    <t>Category</t>
  </si>
  <si>
    <t>UnitPrice</t>
  </si>
  <si>
    <t>Wireless Mouse</t>
  </si>
  <si>
    <t>Electronics</t>
  </si>
  <si>
    <t>Office Chair</t>
  </si>
  <si>
    <t>Furniture</t>
  </si>
  <si>
    <t>Notebook</t>
  </si>
  <si>
    <t>Stationery</t>
  </si>
  <si>
    <t>LED Monitor</t>
  </si>
  <si>
    <t>OrderID</t>
  </si>
  <si>
    <t>SaleDate</t>
  </si>
  <si>
    <t>O101</t>
  </si>
  <si>
    <t>O102</t>
  </si>
  <si>
    <t>O103</t>
  </si>
  <si>
    <t>productName</t>
  </si>
  <si>
    <t>North</t>
  </si>
  <si>
    <t>Software</t>
  </si>
  <si>
    <t>Hardware</t>
  </si>
  <si>
    <t>South</t>
  </si>
  <si>
    <t>East</t>
  </si>
  <si>
    <t xml:space="preserve">Region </t>
  </si>
  <si>
    <t xml:space="preserve">Category </t>
  </si>
  <si>
    <t xml:space="preserve">Commission Rate </t>
  </si>
  <si>
    <t xml:space="preserve">Date </t>
  </si>
  <si>
    <t xml:space="preserve">Rep Region </t>
  </si>
  <si>
    <t xml:space="preserve">Item Category </t>
  </si>
  <si>
    <t xml:space="preserve">Commission % </t>
  </si>
  <si>
    <t xml:space="preserve">1.Sales </t>
  </si>
  <si>
    <t>2.Finance</t>
  </si>
  <si>
    <t>3.HR</t>
  </si>
  <si>
    <t>4.IT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</si>
</sst>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CDFE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" fontId="0" fillId="0" borderId="0" xfId="0" applyNumberFormat="1"/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0" fontId="3" fillId="3" borderId="0" xfId="0" applyFont="1" applyFill="1"/>
    <xf numFmtId="0" fontId="3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165" fontId="0" fillId="0" borderId="0" xfId="0" applyNumberFormat="1"/>
    <xf numFmtId="0" fontId="4" fillId="4" borderId="0" xfId="0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/>
    <xf numFmtId="0" fontId="4" fillId="4" borderId="0" xfId="0" applyFont="1" applyFill="1" applyAlignment="1">
      <alignment horizontal="center" vertical="center"/>
    </xf>
    <xf numFmtId="0" fontId="0" fillId="5" borderId="0" xfId="0" applyFill="1"/>
    <xf numFmtId="165" fontId="0" fillId="5" borderId="0" xfId="0" applyNumberFormat="1" applyFill="1"/>
    <xf numFmtId="0" fontId="1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9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10">
    <dxf>
      <numFmt numFmtId="0" formatCode="General"/>
    </dxf>
    <dxf>
      <numFmt numFmtId="166" formatCode="[$-409]d\-mmm\-yy;@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numFmt numFmtId="165" formatCode="&quot;$&quot;#,##0"/>
      <alignment horizontal="general" vertical="center" textRotation="0" wrapText="1" indent="0" justifyLastLine="0" shrinkToFit="0" readingOrder="0"/>
    </dxf>
    <dxf>
      <numFmt numFmtId="165" formatCode="&quot;$&quot;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06CFD-5CBD-483C-A158-18EB7C2B2E67}" name="tblProduct" displayName="tblProduct" ref="A8:D12" totalsRowShown="0" headerRowDxfId="9" dataDxfId="8">
  <autoFilter ref="A8:D12" xr:uid="{A8106CFD-5CBD-483C-A158-18EB7C2B2E67}">
    <filterColumn colId="0" hiddenButton="1"/>
    <filterColumn colId="1" hiddenButton="1"/>
    <filterColumn colId="2" hiddenButton="1"/>
    <filterColumn colId="3" hiddenButton="1"/>
  </autoFilter>
  <tableColumns count="4">
    <tableColumn id="1" xr3:uid="{AB93F862-2A81-496F-8923-F100D32E32F1}" name="ProductID" dataDxfId="7"/>
    <tableColumn id="2" xr3:uid="{A30F6B37-7F66-4991-9ABC-44B5AD3E5F28}" name="ProductName" dataDxfId="6"/>
    <tableColumn id="3" xr3:uid="{19229E71-84E6-465D-B1E8-5F0BAB82814C}" name="Category" dataDxfId="5"/>
    <tableColumn id="4" xr3:uid="{5E7E025A-1914-4799-A20B-8A56C62B211B}" name="UnitPrice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7D6098-DE1A-47D4-99F3-8D6DF2F5D2C6}" name="tblSales" displayName="tblSales" ref="F8:J13" totalsRowShown="0" headerRowDxfId="3">
  <autoFilter ref="F8:J13" xr:uid="{477D6098-DE1A-47D4-99F3-8D6DF2F5D2C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B935463-46F5-4788-9019-D2EDF6AB4202}" name="OrderID"/>
    <tableColumn id="2" xr3:uid="{B8D91BAA-92EC-4984-96AA-BD9F459A43F1}" name="ProductID"/>
    <tableColumn id="3" xr3:uid="{A6C50BF2-4436-4B97-A182-B28F0EA5C823}" name="Quantity" dataDxfId="2"/>
    <tableColumn id="4" xr3:uid="{A42581D7-07F0-4891-AD1E-C514E18BB3F6}" name="SaleDate" dataDxfId="1"/>
    <tableColumn id="5" xr3:uid="{077CF1D0-2D0F-4177-AC12-333027428538}" name="productName" dataDxfId="0">
      <calculatedColumnFormula>_xlfn.XLOOKUP(tblSales[[#This Row],[ProductID]],tblProduct[ProductID],tblProduct[ProductName],0)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K17" sqref="K17"/>
    </sheetView>
  </sheetViews>
  <sheetFormatPr defaultRowHeight="15" x14ac:dyDescent="0.25"/>
  <cols>
    <col min="1" max="1" width="19" customWidth="1"/>
    <col min="2" max="2" width="10.85546875" style="7" customWidth="1"/>
    <col min="3" max="3" width="11.85546875" customWidth="1"/>
    <col min="4" max="5" width="8.42578125" style="11" customWidth="1"/>
    <col min="6" max="6" width="27.42578125" customWidth="1"/>
    <col min="7" max="7" width="11.42578125" bestFit="1" customWidth="1"/>
  </cols>
  <sheetData>
    <row r="1" spans="1:7" ht="15.75" thickBot="1" x14ac:dyDescent="0.3">
      <c r="A1" s="1" t="s">
        <v>0</v>
      </c>
      <c r="B1" s="4" t="s">
        <v>1</v>
      </c>
      <c r="C1" s="1" t="s">
        <v>2</v>
      </c>
      <c r="D1" s="8" t="s">
        <v>3</v>
      </c>
      <c r="E1" s="12"/>
    </row>
    <row r="2" spans="1:7" ht="15.75" thickBot="1" x14ac:dyDescent="0.3">
      <c r="A2" s="2" t="s">
        <v>4</v>
      </c>
      <c r="B2" s="5">
        <v>26</v>
      </c>
      <c r="C2" s="2">
        <v>93754</v>
      </c>
      <c r="D2" s="9">
        <v>14.99</v>
      </c>
      <c r="E2" s="10"/>
    </row>
    <row r="3" spans="1:7" ht="16.5" thickBot="1" x14ac:dyDescent="0.3">
      <c r="A3" s="2" t="s">
        <v>5</v>
      </c>
      <c r="B3" s="5">
        <v>14</v>
      </c>
      <c r="C3" s="2">
        <v>24783</v>
      </c>
      <c r="D3" s="9">
        <v>49.99</v>
      </c>
      <c r="E3" s="10"/>
      <c r="F3" s="13" t="s">
        <v>14</v>
      </c>
      <c r="G3" s="14" t="str">
        <f>VLOOKUP(A1,A1:D11,2)</f>
        <v>Quantity</v>
      </c>
    </row>
    <row r="4" spans="1:7" ht="15.75" thickBot="1" x14ac:dyDescent="0.3">
      <c r="A4" s="2" t="s">
        <v>6</v>
      </c>
      <c r="B4" s="5">
        <v>22</v>
      </c>
      <c r="C4" s="2">
        <v>23984</v>
      </c>
      <c r="D4" s="9">
        <v>24.5</v>
      </c>
      <c r="E4" s="10"/>
    </row>
    <row r="5" spans="1:7" ht="16.5" thickBot="1" x14ac:dyDescent="0.3">
      <c r="A5" s="2" t="s">
        <v>7</v>
      </c>
      <c r="B5" s="5">
        <v>36</v>
      </c>
      <c r="C5" s="2">
        <v>58394</v>
      </c>
      <c r="D5" s="9">
        <v>9.99</v>
      </c>
      <c r="E5" s="10"/>
      <c r="F5" s="13" t="s">
        <v>15</v>
      </c>
      <c r="G5" s="14" t="str">
        <f>VLOOKUP(A1,Apperal,3)</f>
        <v>Product ID</v>
      </c>
    </row>
    <row r="6" spans="1:7" ht="15.75" thickBot="1" x14ac:dyDescent="0.3">
      <c r="A6" s="2" t="s">
        <v>8</v>
      </c>
      <c r="B6" s="5">
        <v>2</v>
      </c>
      <c r="C6" s="2">
        <v>27838</v>
      </c>
      <c r="D6" s="9">
        <v>79.989999999999995</v>
      </c>
      <c r="E6" s="10"/>
    </row>
    <row r="7" spans="1:7" ht="15.75" thickBot="1" x14ac:dyDescent="0.3">
      <c r="A7" s="2" t="s">
        <v>9</v>
      </c>
      <c r="B7" s="5">
        <v>18</v>
      </c>
      <c r="C7" s="2">
        <v>41295</v>
      </c>
      <c r="D7" s="9">
        <v>39.99</v>
      </c>
      <c r="E7" s="10"/>
    </row>
    <row r="8" spans="1:7" ht="15.75" thickBot="1" x14ac:dyDescent="0.3">
      <c r="A8" s="2" t="s">
        <v>10</v>
      </c>
      <c r="B8" s="5">
        <v>31</v>
      </c>
      <c r="C8" s="2">
        <v>85214</v>
      </c>
      <c r="D8" s="9">
        <v>54.5</v>
      </c>
      <c r="E8" s="10"/>
    </row>
    <row r="9" spans="1:7" ht="15.75" thickBot="1" x14ac:dyDescent="0.3">
      <c r="A9" s="2" t="s">
        <v>11</v>
      </c>
      <c r="B9" s="5">
        <v>8</v>
      </c>
      <c r="C9" s="2">
        <v>16309</v>
      </c>
      <c r="D9" s="9">
        <v>89.99</v>
      </c>
      <c r="E9" s="10"/>
    </row>
    <row r="10" spans="1:7" ht="15.75" thickBot="1" x14ac:dyDescent="0.3">
      <c r="A10" s="2" t="s">
        <v>12</v>
      </c>
      <c r="B10" s="5">
        <v>15</v>
      </c>
      <c r="C10" s="2">
        <v>74125</v>
      </c>
      <c r="D10" s="9">
        <v>34.99</v>
      </c>
      <c r="E10" s="10"/>
    </row>
    <row r="11" spans="1:7" x14ac:dyDescent="0.25">
      <c r="A11" s="3" t="s">
        <v>13</v>
      </c>
      <c r="B11" s="6">
        <v>12</v>
      </c>
      <c r="C11" s="3">
        <v>63981</v>
      </c>
      <c r="D11" s="10">
        <v>69.95</v>
      </c>
      <c r="E1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24A1-9F6F-4917-B02B-7EE7FFF08FF9}">
  <dimension ref="A1:K18"/>
  <sheetViews>
    <sheetView workbookViewId="0">
      <selection activeCell="E10" sqref="E10"/>
    </sheetView>
  </sheetViews>
  <sheetFormatPr defaultRowHeight="15" x14ac:dyDescent="0.25"/>
  <cols>
    <col min="1" max="1" width="20.42578125" customWidth="1"/>
    <col min="2" max="2" width="15.140625" customWidth="1"/>
    <col min="3" max="3" width="14" customWidth="1"/>
    <col min="5" max="5" width="24.85546875" customWidth="1"/>
    <col min="6" max="6" width="19.28515625" customWidth="1"/>
  </cols>
  <sheetData>
    <row r="1" spans="1:11" ht="15.75" thickBot="1" x14ac:dyDescent="0.3">
      <c r="A1" s="1" t="s">
        <v>0</v>
      </c>
      <c r="B1" s="4" t="s">
        <v>1</v>
      </c>
      <c r="C1" s="1" t="s">
        <v>2</v>
      </c>
      <c r="D1" s="8" t="s">
        <v>3</v>
      </c>
      <c r="E1" s="12"/>
    </row>
    <row r="2" spans="1:11" s="2" customFormat="1" ht="15.75" thickBot="1" x14ac:dyDescent="0.3">
      <c r="A2" s="2" t="s">
        <v>4</v>
      </c>
      <c r="B2" s="2">
        <v>26</v>
      </c>
      <c r="C2" s="2">
        <v>93754</v>
      </c>
      <c r="D2" s="2">
        <v>14.99</v>
      </c>
      <c r="E2" s="15" t="s">
        <v>16</v>
      </c>
      <c r="F2" s="16">
        <f>VLOOKUP(A2,priceList,2,0)</f>
        <v>26</v>
      </c>
    </row>
    <row r="3" spans="1:11" ht="15.75" thickBot="1" x14ac:dyDescent="0.3">
      <c r="A3" s="2" t="s">
        <v>5</v>
      </c>
      <c r="B3" s="5">
        <v>14</v>
      </c>
      <c r="C3" s="2">
        <v>24783</v>
      </c>
      <c r="D3" s="9">
        <v>49.99</v>
      </c>
      <c r="E3" s="10"/>
    </row>
    <row r="4" spans="1:11" s="2" customFormat="1" ht="15.75" thickBot="1" x14ac:dyDescent="0.3">
      <c r="A4" s="2" t="s">
        <v>6</v>
      </c>
      <c r="B4" s="2">
        <v>22</v>
      </c>
      <c r="C4" s="2">
        <v>23984</v>
      </c>
      <c r="D4" s="2">
        <v>24.5</v>
      </c>
      <c r="E4" s="15" t="s">
        <v>17</v>
      </c>
      <c r="F4" s="16">
        <f>VLOOKUP(A3,priceList,4,0)</f>
        <v>49.99</v>
      </c>
    </row>
    <row r="5" spans="1:11" ht="15.75" thickBot="1" x14ac:dyDescent="0.3">
      <c r="A5" s="2" t="s">
        <v>7</v>
      </c>
      <c r="B5" s="5">
        <v>36</v>
      </c>
      <c r="C5" s="2">
        <v>58394</v>
      </c>
      <c r="D5" s="9">
        <v>9.99</v>
      </c>
      <c r="E5" s="10"/>
    </row>
    <row r="6" spans="1:11" ht="15.75" thickBot="1" x14ac:dyDescent="0.3">
      <c r="A6" s="2" t="s">
        <v>8</v>
      </c>
      <c r="B6" s="5">
        <v>2</v>
      </c>
      <c r="C6" s="2">
        <v>27838</v>
      </c>
      <c r="D6" s="9">
        <v>79.989999999999995</v>
      </c>
      <c r="E6" s="10"/>
    </row>
    <row r="7" spans="1:11" ht="15.75" thickBot="1" x14ac:dyDescent="0.3">
      <c r="A7" s="2" t="s">
        <v>9</v>
      </c>
      <c r="B7" s="5">
        <v>18</v>
      </c>
      <c r="C7" s="2">
        <v>41295</v>
      </c>
      <c r="D7" s="9">
        <v>39.99</v>
      </c>
      <c r="E7" s="10"/>
    </row>
    <row r="8" spans="1:11" ht="15.75" thickBot="1" x14ac:dyDescent="0.3">
      <c r="A8" s="2" t="s">
        <v>10</v>
      </c>
      <c r="B8" s="5">
        <v>31</v>
      </c>
      <c r="C8" s="2">
        <v>85214</v>
      </c>
      <c r="D8" s="9">
        <v>54.5</v>
      </c>
      <c r="E8" s="10"/>
    </row>
    <row r="9" spans="1:11" ht="15.75" thickBot="1" x14ac:dyDescent="0.3">
      <c r="A9" s="2" t="s">
        <v>11</v>
      </c>
      <c r="B9" s="5">
        <v>8</v>
      </c>
      <c r="C9" s="2">
        <v>16309</v>
      </c>
      <c r="D9" s="9">
        <v>89.99</v>
      </c>
      <c r="E9" s="10"/>
    </row>
    <row r="10" spans="1:11" ht="15.75" thickBot="1" x14ac:dyDescent="0.3">
      <c r="A10" s="2" t="s">
        <v>12</v>
      </c>
      <c r="B10" s="5">
        <v>15</v>
      </c>
      <c r="C10" s="2">
        <v>74125</v>
      </c>
      <c r="D10" s="9">
        <v>34.99</v>
      </c>
      <c r="E10" s="10"/>
    </row>
    <row r="11" spans="1:11" ht="15.75" thickBot="1" x14ac:dyDescent="0.3">
      <c r="A11" s="2" t="s">
        <v>13</v>
      </c>
      <c r="B11" s="6">
        <v>12</v>
      </c>
      <c r="C11" s="3">
        <v>63981</v>
      </c>
      <c r="D11" s="10">
        <v>69.95</v>
      </c>
      <c r="E11" s="10"/>
    </row>
    <row r="12" spans="1:11" ht="15.75" thickBot="1" x14ac:dyDescent="0.3">
      <c r="H12" s="2"/>
    </row>
    <row r="15" spans="1:11" ht="29.25" thickBot="1" x14ac:dyDescent="0.3">
      <c r="A15" s="1" t="s">
        <v>0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9</v>
      </c>
      <c r="H15" s="2" t="s">
        <v>10</v>
      </c>
      <c r="I15" s="2" t="s">
        <v>11</v>
      </c>
      <c r="J15" s="2" t="s">
        <v>12</v>
      </c>
      <c r="K15" s="2" t="s">
        <v>13</v>
      </c>
    </row>
    <row r="16" spans="1:11" ht="15.75" thickBot="1" x14ac:dyDescent="0.3">
      <c r="A16" s="4" t="s">
        <v>1</v>
      </c>
      <c r="B16" s="2">
        <v>26</v>
      </c>
      <c r="C16" s="5">
        <v>14</v>
      </c>
      <c r="D16" s="2">
        <v>22</v>
      </c>
      <c r="E16" s="5">
        <v>36</v>
      </c>
      <c r="F16" s="5">
        <v>2</v>
      </c>
      <c r="G16" s="5">
        <v>18</v>
      </c>
      <c r="H16" s="5">
        <v>31</v>
      </c>
      <c r="I16" s="5">
        <v>8</v>
      </c>
      <c r="J16" s="5">
        <v>15</v>
      </c>
      <c r="K16" s="6">
        <v>12</v>
      </c>
    </row>
    <row r="17" spans="1:11" ht="15.75" thickBot="1" x14ac:dyDescent="0.3">
      <c r="A17" s="1" t="s">
        <v>2</v>
      </c>
      <c r="B17" s="2">
        <v>93754</v>
      </c>
      <c r="C17" s="2">
        <v>24783</v>
      </c>
      <c r="D17" s="2">
        <v>23984</v>
      </c>
      <c r="E17" s="2">
        <v>58394</v>
      </c>
      <c r="F17" s="2">
        <v>27838</v>
      </c>
      <c r="G17" s="2">
        <v>41295</v>
      </c>
      <c r="H17" s="2">
        <v>85214</v>
      </c>
      <c r="I17" s="2">
        <v>16309</v>
      </c>
      <c r="J17" s="2">
        <v>74125</v>
      </c>
      <c r="K17" s="3">
        <v>63981</v>
      </c>
    </row>
    <row r="18" spans="1:11" ht="15.75" thickBot="1" x14ac:dyDescent="0.3">
      <c r="A18" s="8" t="s">
        <v>3</v>
      </c>
      <c r="B18" s="2">
        <v>14.99</v>
      </c>
      <c r="C18" s="9">
        <v>49.99</v>
      </c>
      <c r="D18" s="2">
        <v>24.5</v>
      </c>
      <c r="E18" s="9">
        <v>9.99</v>
      </c>
      <c r="F18" s="9">
        <v>79.989999999999995</v>
      </c>
      <c r="G18" s="9">
        <v>39.99</v>
      </c>
      <c r="H18" s="9">
        <v>54.5</v>
      </c>
      <c r="I18" s="9">
        <v>89.99</v>
      </c>
      <c r="J18" s="9">
        <v>34.99</v>
      </c>
      <c r="K18" s="10">
        <v>69.95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62CE-F246-4A09-9CE8-3424BF583D44}">
  <dimension ref="A1:O31"/>
  <sheetViews>
    <sheetView workbookViewId="0">
      <selection activeCell="F29" sqref="F29"/>
    </sheetView>
  </sheetViews>
  <sheetFormatPr defaultRowHeight="15" x14ac:dyDescent="0.25"/>
  <cols>
    <col min="1" max="1" width="10.140625" bestFit="1" customWidth="1"/>
    <col min="2" max="2" width="15.28515625" customWidth="1"/>
    <col min="3" max="3" width="14.7109375" style="18" bestFit="1" customWidth="1"/>
    <col min="4" max="4" width="16.42578125" customWidth="1"/>
    <col min="5" max="5" width="16.7109375" customWidth="1"/>
    <col min="6" max="6" width="16.42578125" customWidth="1"/>
    <col min="7" max="7" width="18.42578125" customWidth="1"/>
    <col min="8" max="8" width="18.7109375" customWidth="1"/>
    <col min="9" max="9" width="9.42578125" bestFit="1" customWidth="1"/>
    <col min="10" max="10" width="15.28515625" bestFit="1" customWidth="1"/>
    <col min="12" max="12" width="10.5703125" bestFit="1" customWidth="1"/>
  </cols>
  <sheetData>
    <row r="1" spans="1:15" x14ac:dyDescent="0.25">
      <c r="A1" s="19" t="s">
        <v>2</v>
      </c>
      <c r="B1" s="19" t="s">
        <v>0</v>
      </c>
      <c r="C1" s="20" t="s">
        <v>3</v>
      </c>
      <c r="D1" s="21"/>
      <c r="E1" s="19" t="s">
        <v>24</v>
      </c>
      <c r="F1" s="19" t="s">
        <v>2</v>
      </c>
      <c r="G1" s="19" t="s">
        <v>3</v>
      </c>
      <c r="H1" s="21"/>
      <c r="I1" s="23" t="s">
        <v>26</v>
      </c>
      <c r="J1" s="23"/>
    </row>
    <row r="2" spans="1:15" x14ac:dyDescent="0.25">
      <c r="A2" t="s">
        <v>18</v>
      </c>
      <c r="B2" t="s">
        <v>19</v>
      </c>
      <c r="C2" s="18">
        <v>500</v>
      </c>
      <c r="E2">
        <v>1001</v>
      </c>
      <c r="F2" t="s">
        <v>20</v>
      </c>
      <c r="G2">
        <f>_xlfn.XLOOKUP(F2,$A$2:$A$4,$C$2:$C$4,"Not Found")</f>
        <v>1200</v>
      </c>
      <c r="I2" t="str" cm="1">
        <f t="array" ref="I2:J2">_xlfn.XLOOKUP(F2,$A$2:$A$4,$B$2:$C$4)</f>
        <v>Keyboard</v>
      </c>
      <c r="J2">
        <v>1200</v>
      </c>
      <c r="L2" t="str">
        <f>_xlfn.XLOOKUP(F2,$A$2:$A$10,$C$2:$C$10,,0,-1)</f>
        <v>Furniture</v>
      </c>
    </row>
    <row r="3" spans="1:15" x14ac:dyDescent="0.25">
      <c r="A3" t="s">
        <v>20</v>
      </c>
      <c r="B3" t="s">
        <v>21</v>
      </c>
      <c r="C3" s="18">
        <v>1200</v>
      </c>
      <c r="E3">
        <v>1002</v>
      </c>
      <c r="F3" t="s">
        <v>18</v>
      </c>
      <c r="G3">
        <f>_xlfn.XLOOKUP(F3,$A$2:$A$4,$C$2:$C$4,"Not Found")</f>
        <v>500</v>
      </c>
      <c r="I3" t="str" cm="1">
        <f t="array" ref="I3:J3">_xlfn.XLOOKUP(F3,$A$2:$A$4,$B$2:$C$4)</f>
        <v>Mouse</v>
      </c>
      <c r="J3">
        <v>500</v>
      </c>
      <c r="L3" t="str">
        <f t="shared" ref="L3:L4" si="0">_xlfn.XLOOKUP(F3,$A$2:$A$10,$C$2:$C$10,,0,-1)</f>
        <v>Electronics</v>
      </c>
    </row>
    <row r="4" spans="1:15" x14ac:dyDescent="0.25">
      <c r="A4" t="s">
        <v>22</v>
      </c>
      <c r="B4" t="s">
        <v>23</v>
      </c>
      <c r="C4" s="18">
        <v>15000</v>
      </c>
      <c r="E4">
        <v>1003</v>
      </c>
      <c r="F4" t="s">
        <v>22</v>
      </c>
      <c r="G4">
        <f>_xlfn.XLOOKUP(F4,$A$2:$A$4,$C$2:$C$4,"Not Found")</f>
        <v>15000</v>
      </c>
      <c r="I4" t="str" cm="1">
        <f t="array" ref="I4:J4">_xlfn.XLOOKUP(F4,$A$2:$A$4,$B$2:$C$4)</f>
        <v>Monitor</v>
      </c>
      <c r="J4">
        <v>15000</v>
      </c>
      <c r="L4">
        <f t="shared" si="0"/>
        <v>15000</v>
      </c>
    </row>
    <row r="6" spans="1:15" x14ac:dyDescent="0.25">
      <c r="A6" s="24"/>
      <c r="B6" s="24"/>
      <c r="C6" s="25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8" spans="1:15" x14ac:dyDescent="0.25">
      <c r="A8" s="19" t="s">
        <v>27</v>
      </c>
      <c r="B8" s="19" t="s">
        <v>28</v>
      </c>
      <c r="C8" s="19" t="s">
        <v>29</v>
      </c>
      <c r="D8" s="19" t="s">
        <v>30</v>
      </c>
      <c r="F8" s="17" t="s">
        <v>38</v>
      </c>
      <c r="G8" s="17" t="s">
        <v>27</v>
      </c>
      <c r="H8" s="17" t="s">
        <v>1</v>
      </c>
      <c r="I8" s="17" t="s">
        <v>39</v>
      </c>
      <c r="J8" s="17" t="s">
        <v>43</v>
      </c>
    </row>
    <row r="9" spans="1:15" x14ac:dyDescent="0.25">
      <c r="A9" t="s">
        <v>18</v>
      </c>
      <c r="B9" t="s">
        <v>31</v>
      </c>
      <c r="C9" s="18" t="s">
        <v>32</v>
      </c>
      <c r="D9" s="18">
        <v>450</v>
      </c>
      <c r="F9" t="s">
        <v>40</v>
      </c>
      <c r="G9" t="s">
        <v>20</v>
      </c>
      <c r="H9" s="7">
        <v>3</v>
      </c>
      <c r="I9" s="22">
        <v>46204</v>
      </c>
      <c r="J9" t="str">
        <f>_xlfn.XLOOKUP(tblSales[[#This Row],[ProductID]],tblProduct[ProductID],tblProduct[ProductName],0)</f>
        <v>Office Chair</v>
      </c>
    </row>
    <row r="10" spans="1:15" x14ac:dyDescent="0.25">
      <c r="A10" t="s">
        <v>20</v>
      </c>
      <c r="B10" t="s">
        <v>33</v>
      </c>
      <c r="C10" s="18" t="s">
        <v>34</v>
      </c>
      <c r="D10" s="18">
        <v>3200</v>
      </c>
      <c r="F10" t="s">
        <v>41</v>
      </c>
      <c r="G10" t="s">
        <v>25</v>
      </c>
      <c r="H10" s="7">
        <v>1</v>
      </c>
      <c r="I10" s="22">
        <v>46208</v>
      </c>
      <c r="J10" t="str">
        <f>_xlfn.XLOOKUP(tblSales[[#This Row],[ProductID]],tblProduct[ProductID],tblProduct[ProductName],0)</f>
        <v>LED Monitor</v>
      </c>
    </row>
    <row r="11" spans="1:15" x14ac:dyDescent="0.25">
      <c r="A11" t="s">
        <v>22</v>
      </c>
      <c r="B11" t="s">
        <v>35</v>
      </c>
      <c r="C11" s="18" t="s">
        <v>36</v>
      </c>
      <c r="D11" s="18">
        <v>25</v>
      </c>
      <c r="F11" t="s">
        <v>42</v>
      </c>
      <c r="G11" t="s">
        <v>18</v>
      </c>
      <c r="H11" s="7">
        <v>2</v>
      </c>
      <c r="I11" s="22">
        <v>46210</v>
      </c>
      <c r="J11" t="str">
        <f>_xlfn.XLOOKUP(tblSales[[#This Row],[ProductID]],tblProduct[ProductID],tblProduct[ProductName],0)</f>
        <v>Wireless Mouse</v>
      </c>
    </row>
    <row r="12" spans="1:15" x14ac:dyDescent="0.25">
      <c r="A12" t="s">
        <v>25</v>
      </c>
      <c r="B12" t="s">
        <v>37</v>
      </c>
      <c r="C12" s="18" t="s">
        <v>32</v>
      </c>
      <c r="D12" s="18">
        <v>8500</v>
      </c>
    </row>
    <row r="14" spans="1:15" x14ac:dyDescent="0.25">
      <c r="A14" s="24"/>
      <c r="B14" s="24"/>
      <c r="C14" s="25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5" ht="15.75" thickBot="1" x14ac:dyDescent="0.3"/>
    <row r="16" spans="1:15" s="27" customFormat="1" ht="30.75" thickBot="1" x14ac:dyDescent="0.3">
      <c r="A16" s="26" t="s">
        <v>49</v>
      </c>
      <c r="B16" s="26" t="s">
        <v>50</v>
      </c>
      <c r="C16" s="26" t="s">
        <v>51</v>
      </c>
    </row>
    <row r="17" spans="1:4" x14ac:dyDescent="0.25">
      <c r="A17" t="s">
        <v>44</v>
      </c>
      <c r="B17" t="s">
        <v>45</v>
      </c>
      <c r="C17" s="28">
        <v>0.15</v>
      </c>
    </row>
    <row r="18" spans="1:4" x14ac:dyDescent="0.25">
      <c r="A18" t="s">
        <v>44</v>
      </c>
      <c r="B18" t="s">
        <v>46</v>
      </c>
      <c r="C18" s="28">
        <v>0.1</v>
      </c>
    </row>
    <row r="19" spans="1:4" x14ac:dyDescent="0.25">
      <c r="A19" t="s">
        <v>47</v>
      </c>
      <c r="B19" t="s">
        <v>45</v>
      </c>
      <c r="C19" s="28">
        <v>0.12</v>
      </c>
    </row>
    <row r="20" spans="1:4" x14ac:dyDescent="0.25">
      <c r="A20" t="s">
        <v>47</v>
      </c>
      <c r="B20" t="s">
        <v>46</v>
      </c>
      <c r="C20" s="28">
        <v>0.08</v>
      </c>
    </row>
    <row r="21" spans="1:4" x14ac:dyDescent="0.25">
      <c r="A21" t="s">
        <v>48</v>
      </c>
      <c r="B21" t="s">
        <v>45</v>
      </c>
      <c r="C21" s="28">
        <v>0.14000000000000001</v>
      </c>
    </row>
    <row r="22" spans="1:4" x14ac:dyDescent="0.25">
      <c r="A22" t="s">
        <v>48</v>
      </c>
      <c r="B22" t="s">
        <v>46</v>
      </c>
      <c r="C22" s="28">
        <v>0.09</v>
      </c>
    </row>
    <row r="24" spans="1:4" ht="15.75" thickBot="1" x14ac:dyDescent="0.3"/>
    <row r="25" spans="1:4" ht="45.75" thickBot="1" x14ac:dyDescent="0.3">
      <c r="A25" s="26" t="s">
        <v>52</v>
      </c>
      <c r="B25" s="26" t="s">
        <v>53</v>
      </c>
      <c r="C25" s="26" t="s">
        <v>54</v>
      </c>
      <c r="D25" s="26" t="s">
        <v>55</v>
      </c>
    </row>
    <row r="26" spans="1:4" x14ac:dyDescent="0.25">
      <c r="A26" s="29">
        <v>46222</v>
      </c>
      <c r="B26" t="s">
        <v>44</v>
      </c>
      <c r="C26" t="s">
        <v>45</v>
      </c>
      <c r="D26" s="28" cm="1">
        <f t="array" ref="D26">IF(OR(B26="", C26=""), "", _xlfn.XLOOKUP(1, ($A$17:$A$22=B26) * ($B$17:$B$22=C26), $C$17:$C$22, "Rate Missing", 0))</f>
        <v>0.15</v>
      </c>
    </row>
    <row r="27" spans="1:4" x14ac:dyDescent="0.25">
      <c r="A27" s="29">
        <v>46222</v>
      </c>
      <c r="B27" t="s">
        <v>48</v>
      </c>
      <c r="C27" t="s">
        <v>46</v>
      </c>
      <c r="D27" s="28" cm="1">
        <f t="array" ref="D27">IF(OR(B27="", C27=""), "", _xlfn.XLOOKUP(1, ($A$17:$A$22=B27) * ($B$17:$B$22=C27), $C$17:$C$22, "Rate Missing", 0))</f>
        <v>0.09</v>
      </c>
    </row>
    <row r="28" spans="1:4" x14ac:dyDescent="0.25">
      <c r="A28" s="29">
        <v>46222</v>
      </c>
      <c r="B28" t="s">
        <v>47</v>
      </c>
      <c r="C28" t="s">
        <v>45</v>
      </c>
      <c r="D28" s="28" cm="1">
        <f t="array" ref="D28">IF(OR(B28="", C28=""), "", _xlfn.XLOOKUP(1, ($A$17:$A$22=B28) * ($B$17:$B$22=C28), $C$17:$C$22, "Rate Missing", 0))</f>
        <v>0.12</v>
      </c>
    </row>
    <row r="29" spans="1:4" x14ac:dyDescent="0.25">
      <c r="C29"/>
      <c r="D29" s="28"/>
    </row>
    <row r="30" spans="1:4" x14ac:dyDescent="0.25">
      <c r="C30"/>
      <c r="D30" s="28"/>
    </row>
    <row r="31" spans="1:4" x14ac:dyDescent="0.25">
      <c r="C31"/>
      <c r="D31" s="28"/>
    </row>
  </sheetData>
  <mergeCells count="1">
    <mergeCell ref="I1:J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A36B-3897-4EFF-BE1A-6AFAFA104A9C}">
  <dimension ref="A2:D5"/>
  <sheetViews>
    <sheetView tabSelected="1" workbookViewId="0">
      <selection activeCell="L20" sqref="L20"/>
    </sheetView>
  </sheetViews>
  <sheetFormatPr defaultRowHeight="15" x14ac:dyDescent="0.25"/>
  <cols>
    <col min="1" max="1" width="11.28515625" style="21" customWidth="1"/>
    <col min="2" max="2" width="10.7109375" style="30" customWidth="1"/>
  </cols>
  <sheetData>
    <row r="2" spans="1:4" x14ac:dyDescent="0.25">
      <c r="A2" s="21">
        <v>1</v>
      </c>
      <c r="B2" s="30" t="str">
        <f>CHOOSE(A2,"Sales","Finance","HR","IT")</f>
        <v>Sales</v>
      </c>
      <c r="D2" t="s">
        <v>56</v>
      </c>
    </row>
    <row r="3" spans="1:4" x14ac:dyDescent="0.25">
      <c r="D3" t="s">
        <v>57</v>
      </c>
    </row>
    <row r="4" spans="1:4" x14ac:dyDescent="0.25">
      <c r="D4" t="s">
        <v>58</v>
      </c>
    </row>
    <row r="5" spans="1:4" x14ac:dyDescent="0.25">
      <c r="D5" t="s">
        <v>59</v>
      </c>
    </row>
  </sheetData>
  <dataValidations count="1">
    <dataValidation type="list" allowBlank="1" showInputMessage="1" showErrorMessage="1" sqref="A2" xr:uid="{B692CB70-FA9F-4EB3-A309-25A6773B0222}">
      <formula1>"1,2,3,4"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 a m e d R a n g e s</vt:lpstr>
      <vt:lpstr>V L O O K U P &amp;  HLOOKUP</vt:lpstr>
      <vt:lpstr>X L O O K U P</vt:lpstr>
      <vt:lpstr>C HOOSE</vt:lpstr>
      <vt:lpstr>Apperal</vt:lpstr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</dc:creator>
  <cp:lastModifiedBy>sabbir hossain</cp:lastModifiedBy>
  <dcterms:created xsi:type="dcterms:W3CDTF">2015-06-05T18:17:20Z</dcterms:created>
  <dcterms:modified xsi:type="dcterms:W3CDTF">2026-07-20T14:12:07Z</dcterms:modified>
</cp:coreProperties>
</file>