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Practice/"/>
    </mc:Choice>
  </mc:AlternateContent>
  <xr:revisionPtr revIDLastSave="3" documentId="11_F25DC773A252ABDACC1048A9195D48BE5ADE58E5" xr6:coauthVersionLast="47" xr6:coauthVersionMax="47" xr10:uidLastSave="{E9AF92B2-9583-465B-8F2D-0B9FEDAC7C0E}"/>
  <bookViews>
    <workbookView xWindow="-120" yWindow="-120" windowWidth="19440" windowHeight="15000" xr2:uid="{00000000-000D-0000-FFFF-FFFF00000000}"/>
  </bookViews>
  <sheets>
    <sheet name="Auditing Tools" sheetId="1" r:id="rId1"/>
    <sheet name="Simple Programm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2" i="2"/>
  <c r="D3" i="1"/>
  <c r="B14" i="1"/>
  <c r="B13" i="1"/>
  <c r="D12" i="1" s="1"/>
  <c r="B10" i="1"/>
  <c r="B9" i="1"/>
</calcChain>
</file>

<file path=xl/sharedStrings.xml><?xml version="1.0" encoding="utf-8"?>
<sst xmlns="http://schemas.openxmlformats.org/spreadsheetml/2006/main" count="33" uniqueCount="32">
  <si>
    <t>PROPERTY COST</t>
  </si>
  <si>
    <t>Purchase Price</t>
  </si>
  <si>
    <t>Tax Rate</t>
  </si>
  <si>
    <t>LOAN COST</t>
  </si>
  <si>
    <t>Down Payment %</t>
  </si>
  <si>
    <t>Interest Rate</t>
  </si>
  <si>
    <t>Term Length (yrs)</t>
  </si>
  <si>
    <t>Loan Amount</t>
  </si>
  <si>
    <t>Est. Closing Costs</t>
  </si>
  <si>
    <t>MONTHLY EXPENSES</t>
  </si>
  <si>
    <t>Mortgage Costs</t>
  </si>
  <si>
    <t>Property Tax</t>
  </si>
  <si>
    <t>Utilities</t>
  </si>
  <si>
    <t>Insurance</t>
  </si>
  <si>
    <t>Cash to Close:</t>
  </si>
  <si>
    <t>Monthly Expenses:</t>
  </si>
  <si>
    <t>Month</t>
  </si>
  <si>
    <t>Revenue</t>
  </si>
  <si>
    <t>Cost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</si>
  <si>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</si>
  <si>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</si>
  <si>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</si>
  <si>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</si>
  <si>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</si>
  <si>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</si>
  <si>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</si>
  <si>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</si>
  <si>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</si>
  <si>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</si>
  <si>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</si>
  <si>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</si>
  <si>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*This is NOT a claim that Excel is always the right full-stack dev tool (or, in may cases, even a
viable one). Rather, it’s an effort to inspire users to think creatively about what Excel can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</si>
</sst>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2"/>
      <color theme="2" tint="-0.749992370372631"/>
      <name val="Calibri"/>
      <family val="2"/>
      <scheme val="minor"/>
    </font>
    <font>
      <b/>
      <sz val="22"/>
      <color theme="2" tint="-0.74999237037263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right"/>
    </xf>
    <xf numFmtId="6" fontId="1" fillId="3" borderId="2" xfId="0" applyNumberFormat="1" applyFont="1" applyFill="1" applyBorder="1" applyAlignment="1">
      <alignment horizontal="center"/>
    </xf>
    <xf numFmtId="8" fontId="1" fillId="3" borderId="1" xfId="0" applyNumberFormat="1" applyFont="1" applyFill="1" applyBorder="1" applyAlignment="1">
      <alignment horizontal="center"/>
    </xf>
    <xf numFmtId="6" fontId="0" fillId="0" borderId="0" xfId="0" applyNumberFormat="1"/>
    <xf numFmtId="9" fontId="1" fillId="3" borderId="2" xfId="0" applyNumberFormat="1" applyFont="1" applyFill="1" applyBorder="1" applyAlignment="1">
      <alignment horizontal="center"/>
    </xf>
    <xf numFmtId="10" fontId="1" fillId="3" borderId="1" xfId="0" applyNumberFormat="1" applyFont="1" applyFill="1" applyBorder="1" applyAlignment="1">
      <alignment horizontal="center"/>
    </xf>
    <xf numFmtId="6" fontId="1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6" fontId="5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Programming'!$D$1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'Simple Programming'!$A$2:$A$13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'Simple Programming'!$D$2:$D$13</c:f>
              <c:numCache>
                <c:formatCode>"$"#,##0</c:formatCode>
                <c:ptCount val="12"/>
                <c:pt idx="0">
                  <c:v>3038</c:v>
                </c:pt>
                <c:pt idx="1">
                  <c:v>1899</c:v>
                </c:pt>
                <c:pt idx="2">
                  <c:v>3121</c:v>
                </c:pt>
                <c:pt idx="3">
                  <c:v>2256</c:v>
                </c:pt>
                <c:pt idx="4">
                  <c:v>2030</c:v>
                </c:pt>
                <c:pt idx="5">
                  <c:v>3360</c:v>
                </c:pt>
                <c:pt idx="6">
                  <c:v>2846</c:v>
                </c:pt>
                <c:pt idx="7">
                  <c:v>4240</c:v>
                </c:pt>
                <c:pt idx="8">
                  <c:v>3054</c:v>
                </c:pt>
                <c:pt idx="9">
                  <c:v>3780</c:v>
                </c:pt>
                <c:pt idx="10">
                  <c:v>5329</c:v>
                </c:pt>
                <c:pt idx="11">
                  <c:v>5104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7-4588-839D-3C5A4B2FD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276256"/>
        <c:axId val="1518172384"/>
      </c:lineChart>
      <c:catAx>
        <c:axId val="193727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172384"/>
        <c:crosses val="autoZero"/>
        <c:auto val="1"/>
        <c:lblAlgn val="ctr"/>
        <c:lblOffset val="100"/>
        <c:noMultiLvlLbl val="0"/>
      </c:catAx>
      <c:valAx>
        <c:axId val="151817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7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119062</xdr:rowOff>
    </xdr:from>
    <xdr:to>
      <xdr:col>12</xdr:col>
      <xdr:colOff>314325</xdr:colOff>
      <xdr:row>15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6257B-8107-FADC-FC44-126DEB1BE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0" zoomScaleNormal="140" workbookViewId="0">
      <selection activeCell="C21" sqref="C21"/>
    </sheetView>
  </sheetViews>
  <sheetFormatPr defaultRowHeight="15" x14ac:dyDescent="0.25"/>
  <cols>
    <col min="1" max="1" width="15" bestFit="1" customWidth="1"/>
    <col min="2" max="2" width="10" bestFit="1" customWidth="1"/>
    <col min="4" max="4" width="10.85546875" customWidth="1"/>
    <col min="5" max="5" width="12" customWidth="1"/>
  </cols>
  <sheetData>
    <row r="1" spans="1:7" ht="15.75" thickBot="1" x14ac:dyDescent="0.3">
      <c r="A1" s="9" t="s">
        <v>0</v>
      </c>
      <c r="B1" s="9"/>
    </row>
    <row r="2" spans="1:7" ht="16.5" thickBot="1" x14ac:dyDescent="0.3">
      <c r="A2" s="1" t="s">
        <v>1</v>
      </c>
      <c r="B2" s="2">
        <v>499000</v>
      </c>
      <c r="D2" s="10" t="s">
        <v>14</v>
      </c>
      <c r="E2" s="10"/>
    </row>
    <row r="3" spans="1:7" ht="15.75" customHeight="1" thickBot="1" x14ac:dyDescent="0.3">
      <c r="A3" s="1" t="s">
        <v>2</v>
      </c>
      <c r="B3" s="3">
        <v>9.5</v>
      </c>
      <c r="D3" s="11">
        <f>(B2*B6)+B10</f>
        <v>109780</v>
      </c>
      <c r="E3" s="11"/>
      <c r="G3">
        <v>10</v>
      </c>
    </row>
    <row r="4" spans="1:7" ht="15.75" customHeight="1" thickBot="1" x14ac:dyDescent="0.3">
      <c r="B4" s="4"/>
      <c r="D4" s="11"/>
      <c r="E4" s="11"/>
      <c r="G4">
        <v>15</v>
      </c>
    </row>
    <row r="5" spans="1:7" ht="15.75" customHeight="1" thickBot="1" x14ac:dyDescent="0.3">
      <c r="A5" s="9" t="s">
        <v>3</v>
      </c>
      <c r="B5" s="9"/>
      <c r="D5" s="11"/>
      <c r="E5" s="11"/>
      <c r="G5">
        <v>20</v>
      </c>
    </row>
    <row r="6" spans="1:7" ht="15.75" thickBot="1" x14ac:dyDescent="0.3">
      <c r="A6" s="1" t="s">
        <v>4</v>
      </c>
      <c r="B6" s="5">
        <v>0.2</v>
      </c>
      <c r="G6">
        <v>30</v>
      </c>
    </row>
    <row r="7" spans="1:7" ht="15.75" thickBot="1" x14ac:dyDescent="0.3">
      <c r="A7" s="1" t="s">
        <v>5</v>
      </c>
      <c r="B7" s="6">
        <v>4.4999999999999998E-2</v>
      </c>
    </row>
    <row r="8" spans="1:7" ht="15.75" thickBot="1" x14ac:dyDescent="0.3">
      <c r="A8" s="1" t="s">
        <v>6</v>
      </c>
      <c r="B8" s="13">
        <v>30</v>
      </c>
    </row>
    <row r="9" spans="1:7" ht="15.75" thickBot="1" x14ac:dyDescent="0.3">
      <c r="A9" s="1" t="s">
        <v>7</v>
      </c>
      <c r="B9" s="7">
        <f>B2*(1-B6)</f>
        <v>399200</v>
      </c>
    </row>
    <row r="10" spans="1:7" ht="15.75" thickBot="1" x14ac:dyDescent="0.3">
      <c r="A10" s="1" t="s">
        <v>8</v>
      </c>
      <c r="B10" s="7">
        <f>B2*0.02</f>
        <v>9980</v>
      </c>
    </row>
    <row r="11" spans="1:7" ht="16.5" thickBot="1" x14ac:dyDescent="0.3">
      <c r="B11" s="8"/>
      <c r="D11" s="12" t="s">
        <v>15</v>
      </c>
      <c r="E11" s="12"/>
    </row>
    <row r="12" spans="1:7" ht="15.75" thickBot="1" x14ac:dyDescent="0.3">
      <c r="A12" s="9" t="s">
        <v>9</v>
      </c>
      <c r="B12" s="9"/>
      <c r="D12" s="11">
        <f>SUM($B$13:$B$16)</f>
        <v>2817.7294234915826</v>
      </c>
      <c r="E12" s="11"/>
    </row>
    <row r="13" spans="1:7" ht="15.75" thickBot="1" x14ac:dyDescent="0.3">
      <c r="A13" s="1" t="s">
        <v>10</v>
      </c>
      <c r="B13" s="2">
        <f>-1*PMT(($B$7/12),($B$8*12),$B$9)</f>
        <v>2022.6877568249158</v>
      </c>
      <c r="D13" s="11"/>
      <c r="E13" s="11"/>
    </row>
    <row r="14" spans="1:7" ht="15.75" thickBot="1" x14ac:dyDescent="0.3">
      <c r="A14" s="1" t="s">
        <v>11</v>
      </c>
      <c r="B14" s="7">
        <f>($B$2/1000)*$B$3/12</f>
        <v>395.04166666666669</v>
      </c>
      <c r="D14" s="11"/>
      <c r="E14" s="11"/>
    </row>
    <row r="15" spans="1:7" ht="15.75" thickBot="1" x14ac:dyDescent="0.3">
      <c r="A15" s="1" t="s">
        <v>12</v>
      </c>
      <c r="B15" s="7">
        <v>170</v>
      </c>
    </row>
    <row r="16" spans="1:7" ht="15.75" thickBot="1" x14ac:dyDescent="0.3">
      <c r="A16" s="1" t="s">
        <v>13</v>
      </c>
      <c r="B16" s="7">
        <v>230</v>
      </c>
    </row>
  </sheetData>
  <mergeCells count="7">
    <mergeCell ref="A1:B1"/>
    <mergeCell ref="A5:B5"/>
    <mergeCell ref="A12:B12"/>
    <mergeCell ref="D2:E2"/>
    <mergeCell ref="D3:E5"/>
    <mergeCell ref="D11:E11"/>
    <mergeCell ref="D12:E14"/>
  </mergeCells>
  <dataValidations count="2">
    <dataValidation type="list" allowBlank="1" showInputMessage="1" showErrorMessage="1" sqref="B8" xr:uid="{0C311F15-1C4F-49DD-8FF0-DC9E6F8AD93E}">
      <formula1>$G$3:$G$6</formula1>
    </dataValidation>
    <dataValidation type="decimal" allowBlank="1" showInputMessage="1" showErrorMessage="1" errorTitle="I'm Disappointed with you" error="Enter a value between 0 and 1." sqref="B6" xr:uid="{E0EC6765-0CAC-46FC-A22B-0B6617A9A10C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CB68-7AB0-4301-9DF0-96AB2D744FDC}">
  <dimension ref="A1:M21"/>
  <sheetViews>
    <sheetView workbookViewId="0">
      <selection activeCell="K28" sqref="K28"/>
    </sheetView>
  </sheetViews>
  <sheetFormatPr defaultRowHeight="15" x14ac:dyDescent="0.25"/>
  <cols>
    <col min="1" max="1" width="12.28515625" customWidth="1"/>
    <col min="2" max="2" width="12.7109375" customWidth="1"/>
    <col min="3" max="3" width="15.140625" customWidth="1"/>
  </cols>
  <sheetData>
    <row r="1" spans="1:4" x14ac:dyDescent="0.25">
      <c r="A1" s="14" t="s">
        <v>16</v>
      </c>
      <c r="B1" s="14" t="s">
        <v>17</v>
      </c>
      <c r="C1" s="14" t="s">
        <v>18</v>
      </c>
      <c r="D1" s="14" t="s">
        <v>17</v>
      </c>
    </row>
    <row r="2" spans="1:4" x14ac:dyDescent="0.25">
      <c r="A2" s="8" t="s">
        <v>19</v>
      </c>
      <c r="B2" s="15">
        <v>4439</v>
      </c>
      <c r="C2" s="15">
        <v>1401</v>
      </c>
      <c r="D2" s="16">
        <f>B2-C2</f>
        <v>3038</v>
      </c>
    </row>
    <row r="3" spans="1:4" x14ac:dyDescent="0.25">
      <c r="A3" s="8" t="s">
        <v>20</v>
      </c>
      <c r="B3" s="15">
        <v>4199</v>
      </c>
      <c r="C3" s="15">
        <v>2300</v>
      </c>
      <c r="D3" s="16">
        <f t="shared" ref="D3:D13" si="0">B3-C3</f>
        <v>1899</v>
      </c>
    </row>
    <row r="4" spans="1:4" x14ac:dyDescent="0.25">
      <c r="A4" s="8" t="s">
        <v>21</v>
      </c>
      <c r="B4" s="15">
        <v>4283</v>
      </c>
      <c r="C4" s="15">
        <v>1162</v>
      </c>
      <c r="D4" s="16">
        <f t="shared" si="0"/>
        <v>3121</v>
      </c>
    </row>
    <row r="5" spans="1:4" x14ac:dyDescent="0.25">
      <c r="A5" s="8" t="s">
        <v>22</v>
      </c>
      <c r="B5" s="15">
        <v>4102</v>
      </c>
      <c r="C5" s="15">
        <v>1846</v>
      </c>
      <c r="D5" s="16">
        <f t="shared" si="0"/>
        <v>2256</v>
      </c>
    </row>
    <row r="6" spans="1:4" x14ac:dyDescent="0.25">
      <c r="A6" s="8" t="s">
        <v>23</v>
      </c>
      <c r="B6" s="15">
        <v>4273</v>
      </c>
      <c r="C6" s="15">
        <v>2243</v>
      </c>
      <c r="D6" s="16">
        <f t="shared" si="0"/>
        <v>2030</v>
      </c>
    </row>
    <row r="7" spans="1:4" x14ac:dyDescent="0.25">
      <c r="A7" s="8" t="s">
        <v>24</v>
      </c>
      <c r="B7" s="15">
        <v>5737</v>
      </c>
      <c r="C7" s="15">
        <v>2377</v>
      </c>
      <c r="D7" s="16">
        <f t="shared" si="0"/>
        <v>3360</v>
      </c>
    </row>
    <row r="8" spans="1:4" x14ac:dyDescent="0.25">
      <c r="A8" s="8" t="s">
        <v>25</v>
      </c>
      <c r="B8" s="15">
        <v>4201</v>
      </c>
      <c r="C8" s="15">
        <v>1355</v>
      </c>
      <c r="D8" s="16">
        <f t="shared" si="0"/>
        <v>2846</v>
      </c>
    </row>
    <row r="9" spans="1:4" x14ac:dyDescent="0.25">
      <c r="A9" s="8" t="s">
        <v>26</v>
      </c>
      <c r="B9" s="15">
        <v>6372</v>
      </c>
      <c r="C9" s="15">
        <v>2132</v>
      </c>
      <c r="D9" s="16">
        <f t="shared" si="0"/>
        <v>4240</v>
      </c>
    </row>
    <row r="10" spans="1:4" x14ac:dyDescent="0.25">
      <c r="A10" s="8" t="s">
        <v>27</v>
      </c>
      <c r="B10" s="15">
        <v>5938</v>
      </c>
      <c r="C10" s="15">
        <v>2884</v>
      </c>
      <c r="D10" s="16">
        <f t="shared" si="0"/>
        <v>3054</v>
      </c>
    </row>
    <row r="11" spans="1:4" x14ac:dyDescent="0.25">
      <c r="A11" s="8" t="s">
        <v>28</v>
      </c>
      <c r="B11" s="15">
        <v>6392</v>
      </c>
      <c r="C11" s="15">
        <v>2612</v>
      </c>
      <c r="D11" s="16">
        <f t="shared" si="0"/>
        <v>3780</v>
      </c>
    </row>
    <row r="12" spans="1:4" x14ac:dyDescent="0.25">
      <c r="A12" s="8" t="s">
        <v>29</v>
      </c>
      <c r="B12" s="15">
        <v>7971</v>
      </c>
      <c r="C12" s="15">
        <v>2642</v>
      </c>
      <c r="D12" s="16">
        <f t="shared" si="0"/>
        <v>5329</v>
      </c>
    </row>
    <row r="13" spans="1:4" x14ac:dyDescent="0.25">
      <c r="A13" s="8" t="s">
        <v>30</v>
      </c>
      <c r="B13" s="15">
        <v>7088</v>
      </c>
      <c r="C13" s="15">
        <v>1984</v>
      </c>
      <c r="D13" s="16">
        <f t="shared" si="0"/>
        <v>5104</v>
      </c>
    </row>
    <row r="19" spans="1:13" x14ac:dyDescent="0.25">
      <c r="A19" s="17" t="s">
        <v>31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</sheetData>
  <mergeCells count="1">
    <mergeCell ref="A19:M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Auditing Tools</vt:lpstr>
      <vt:lpstr>Simple Programming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</dc:creator>
  <cp:lastModifiedBy>sabbir hossain</cp:lastModifiedBy>
  <dcterms:created xsi:type="dcterms:W3CDTF">2015-06-05T18:17:20Z</dcterms:created>
  <dcterms:modified xsi:type="dcterms:W3CDTF">2026-07-17T04:27:02Z</dcterms:modified>
</cp:coreProperties>
</file>