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1a2133a404dad2f5/Desktop/Data Analist/Excel/Microsoft Excel Foundation/Complete Workbook/"/>
    </mc:Choice>
  </mc:AlternateContent>
  <xr:revisionPtr revIDLastSave="25" documentId="8_{6803DF09-001D-4DF1-B0FB-00915B7BF862}" xr6:coauthVersionLast="47" xr6:coauthVersionMax="47" xr10:uidLastSave="{09436FAD-2BBA-4A2B-9745-DB8DC04B9309}"/>
  <bookViews>
    <workbookView xWindow="-120" yWindow="-120" windowWidth="19440" windowHeight="15000" firstSheet="2" activeTab="3" xr2:uid="{D60FA03F-7E0B-4139-AFC0-C56A959624EC}"/>
  </bookViews>
  <sheets>
    <sheet name="Raw Data" sheetId="1" r:id="rId1"/>
    <sheet name="Master Sheet" sheetId="3" r:id="rId2"/>
    <sheet name="Lookup_Lists" sheetId="4" r:id="rId3"/>
    <sheet name="Calculations" sheetId="5" r:id="rId4"/>
    <sheet name="Pivot Tables" sheetId="6" r:id="rId5"/>
    <sheet name="Dashboard" sheetId="7" r:id="rId6"/>
    <sheet name="readme" sheetId="9" r:id="rId7"/>
  </sheets>
  <definedNames>
    <definedName name="_BillCatrgory">_xlfn.ANCHORARRAY(Lookup_Lists!$B$24)</definedName>
    <definedName name="_day">_xlfn.ANCHORARRAY(Lookup_Lists!$D$9)</definedName>
    <definedName name="_xlnm._FilterDatabase" localSheetId="0" hidden="1">'Raw Data'!$A$1:$H$268</definedName>
    <definedName name="_MealType">_xlfn.ANCHORARRAY(Lookup_Lists!$B$17)</definedName>
    <definedName name="_PartyType">_xlfn.ANCHORARRAY(Lookup_Lists!$D$24)</definedName>
    <definedName name="_PaymentType">_xlfn.ANCHORARRAY(Lookup_Lists!$D$17)</definedName>
    <definedName name="_Server">_xlfn.ANCHORARRAY(Lookup_Lists!$B$9)</definedName>
    <definedName name="Slicer_Day">#N/A</definedName>
    <definedName name="Slicer_Payment_Type">#N/A</definedName>
    <definedName name="Slicer_Server">#N/A</definedName>
    <definedName name="Slicer_Time">#N/A</definedName>
  </definedNames>
  <calcPr calcId="191029"/>
  <pivotCaches>
    <pivotCache cacheId="1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3" l="1" a="1"/>
  <c r="S3" i="3" a="1"/>
  <c r="S4" i="3" a="1"/>
  <c r="S5" i="3" a="1"/>
  <c r="S6" i="3" a="1"/>
  <c r="S7" i="3" a="1"/>
  <c r="S8" i="3" a="1"/>
  <c r="S9" i="3" a="1"/>
  <c r="S10" i="3" a="1"/>
  <c r="S11" i="3" a="1"/>
  <c r="S12" i="3" a="1"/>
  <c r="S13" i="3" a="1"/>
  <c r="S14" i="3" a="1"/>
  <c r="S15" i="3" a="1"/>
  <c r="S16" i="3" a="1"/>
  <c r="S17" i="3" a="1"/>
  <c r="S18" i="3" a="1"/>
  <c r="S19" i="3" a="1"/>
  <c r="S20" i="3" a="1"/>
  <c r="S21" i="3" a="1"/>
  <c r="S22" i="3" a="1"/>
  <c r="S23" i="3" a="1"/>
  <c r="S24" i="3" a="1"/>
  <c r="S25" i="3" a="1"/>
  <c r="S26" i="3" a="1"/>
  <c r="S27" i="3" a="1"/>
  <c r="S28" i="3" a="1"/>
  <c r="S29" i="3" a="1"/>
  <c r="S30" i="3" a="1"/>
  <c r="S31" i="3" a="1"/>
  <c r="S32" i="3" a="1"/>
  <c r="S33" i="3" a="1"/>
  <c r="S34" i="3" a="1"/>
  <c r="S35" i="3" a="1"/>
  <c r="S36" i="3" a="1"/>
  <c r="S37" i="3" a="1"/>
  <c r="S38" i="3" a="1"/>
  <c r="S39" i="3" a="1"/>
  <c r="S40" i="3" a="1"/>
  <c r="S41" i="3" a="1"/>
  <c r="S42" i="3" a="1"/>
  <c r="S43" i="3" a="1"/>
  <c r="S44" i="3" a="1"/>
  <c r="S45" i="3" a="1"/>
  <c r="S46" i="3" a="1"/>
  <c r="S47" i="3" a="1"/>
  <c r="S48" i="3" a="1"/>
  <c r="S49" i="3" a="1"/>
  <c r="S50" i="3" a="1"/>
  <c r="S51" i="3" a="1"/>
  <c r="S52" i="3" a="1"/>
  <c r="S53" i="3" a="1"/>
  <c r="S54" i="3" a="1"/>
  <c r="S55" i="3" a="1"/>
  <c r="S56" i="3" a="1"/>
  <c r="S57" i="3" a="1"/>
  <c r="S58" i="3" a="1"/>
  <c r="S59" i="3" a="1"/>
  <c r="S60" i="3" a="1"/>
  <c r="S61" i="3" a="1"/>
  <c r="S62" i="3" a="1"/>
  <c r="S63" i="3" a="1"/>
  <c r="S64" i="3" a="1"/>
  <c r="S65" i="3" a="1"/>
  <c r="S66" i="3" a="1"/>
  <c r="S67" i="3" a="1"/>
  <c r="S68" i="3" a="1"/>
  <c r="S69" i="3" a="1"/>
  <c r="S70" i="3" a="1"/>
  <c r="S71" i="3" a="1"/>
  <c r="S72" i="3" a="1"/>
  <c r="S73" i="3" a="1"/>
  <c r="S74" i="3" a="1"/>
  <c r="S75" i="3" a="1"/>
  <c r="S76" i="3" a="1"/>
  <c r="S77" i="3" a="1"/>
  <c r="S78" i="3" a="1"/>
  <c r="S79" i="3" a="1"/>
  <c r="S80" i="3" a="1"/>
  <c r="S81" i="3" a="1"/>
  <c r="S82" i="3" a="1"/>
  <c r="S83" i="3" a="1"/>
  <c r="S84" i="3" a="1"/>
  <c r="S85" i="3" a="1"/>
  <c r="S86" i="3" a="1"/>
  <c r="S87" i="3" a="1"/>
  <c r="S88" i="3" a="1"/>
  <c r="S89" i="3" a="1"/>
  <c r="S90" i="3" a="1"/>
  <c r="S91" i="3" a="1"/>
  <c r="S92" i="3" a="1"/>
  <c r="S93" i="3" a="1"/>
  <c r="S94" i="3" a="1"/>
  <c r="S95" i="3" a="1"/>
  <c r="S96" i="3" a="1"/>
  <c r="S97" i="3" a="1"/>
  <c r="S98" i="3" a="1"/>
  <c r="S99" i="3" a="1"/>
  <c r="S100" i="3" a="1"/>
  <c r="S101" i="3" a="1"/>
  <c r="S102" i="3" a="1"/>
  <c r="S103" i="3" a="1"/>
  <c r="S104" i="3" a="1"/>
  <c r="S105" i="3" a="1"/>
  <c r="S106" i="3" a="1"/>
  <c r="S107" i="3" a="1"/>
  <c r="S108" i="3" a="1"/>
  <c r="S109" i="3" a="1"/>
  <c r="S110" i="3" a="1"/>
  <c r="S111" i="3" a="1"/>
  <c r="S112" i="3" a="1"/>
  <c r="S113" i="3" a="1"/>
  <c r="S114" i="3" a="1"/>
  <c r="S115" i="3" a="1"/>
  <c r="S116" i="3" a="1"/>
  <c r="S117" i="3" a="1"/>
  <c r="S118" i="3" a="1"/>
  <c r="S119" i="3" a="1"/>
  <c r="S120" i="3" a="1"/>
  <c r="S121" i="3" a="1"/>
  <c r="S122" i="3" a="1"/>
  <c r="S123" i="3" a="1"/>
  <c r="S124" i="3" a="1"/>
  <c r="S125" i="3" a="1"/>
  <c r="S126" i="3" a="1"/>
  <c r="S127" i="3" a="1"/>
  <c r="S128" i="3" a="1"/>
  <c r="S129" i="3" a="1"/>
  <c r="S130" i="3" a="1"/>
  <c r="S131" i="3" a="1"/>
  <c r="S132" i="3" a="1"/>
  <c r="S133" i="3" a="1"/>
  <c r="S134" i="3" a="1"/>
  <c r="S135" i="3" a="1"/>
  <c r="S136" i="3" a="1"/>
  <c r="S137" i="3" a="1"/>
  <c r="S138" i="3" a="1"/>
  <c r="S139" i="3" a="1"/>
  <c r="S140" i="3" a="1"/>
  <c r="S141" i="3" a="1"/>
  <c r="S142" i="3" a="1"/>
  <c r="S143" i="3" a="1"/>
  <c r="S144" i="3" a="1"/>
  <c r="S145" i="3" a="1"/>
  <c r="S146" i="3" a="1"/>
  <c r="S147" i="3" a="1"/>
  <c r="S148" i="3" a="1"/>
  <c r="S149" i="3" a="1"/>
  <c r="S150" i="3" a="1"/>
  <c r="S151" i="3" a="1"/>
  <c r="S152" i="3" a="1"/>
  <c r="S153" i="3" a="1"/>
  <c r="S154" i="3" a="1"/>
  <c r="S155" i="3" a="1"/>
  <c r="S156" i="3" a="1"/>
  <c r="S157" i="3" a="1"/>
  <c r="S158" i="3" a="1"/>
  <c r="S159" i="3" a="1"/>
  <c r="S160" i="3" a="1"/>
  <c r="S161" i="3" a="1"/>
  <c r="S162" i="3" a="1"/>
  <c r="S163" i="3" a="1"/>
  <c r="S164" i="3" a="1"/>
  <c r="S165" i="3" a="1"/>
  <c r="S166" i="3" a="1"/>
  <c r="S167" i="3" a="1"/>
  <c r="S168" i="3" a="1"/>
  <c r="S169" i="3" a="1"/>
  <c r="S170" i="3" a="1"/>
  <c r="S171" i="3" a="1"/>
  <c r="S172" i="3" a="1"/>
  <c r="S173" i="3" a="1"/>
  <c r="S174" i="3" a="1"/>
  <c r="S175" i="3" a="1"/>
  <c r="S176" i="3" a="1"/>
  <c r="S177" i="3" a="1"/>
  <c r="S178" i="3" a="1"/>
  <c r="S179" i="3" a="1"/>
  <c r="S180" i="3" a="1"/>
  <c r="S181" i="3" a="1"/>
  <c r="S182" i="3" a="1"/>
  <c r="S183" i="3" a="1"/>
  <c r="S184" i="3" a="1"/>
  <c r="S185" i="3" a="1"/>
  <c r="S186" i="3" a="1"/>
  <c r="S187" i="3" a="1"/>
  <c r="S188" i="3" a="1"/>
  <c r="S189" i="3" a="1"/>
  <c r="S190" i="3" a="1"/>
  <c r="S191" i="3" a="1"/>
  <c r="S192" i="3" a="1"/>
  <c r="S193" i="3" a="1"/>
  <c r="S194" i="3" a="1"/>
  <c r="S195" i="3" a="1"/>
  <c r="S196" i="3" a="1"/>
  <c r="S197" i="3" a="1"/>
  <c r="S198" i="3" a="1"/>
  <c r="S199" i="3" a="1"/>
  <c r="S200" i="3" a="1"/>
  <c r="S201" i="3" a="1"/>
  <c r="S202" i="3" a="1"/>
  <c r="S203" i="3" a="1"/>
  <c r="S204" i="3" a="1"/>
  <c r="S205" i="3" a="1"/>
  <c r="S206" i="3" a="1"/>
  <c r="S207" i="3" a="1"/>
  <c r="S208" i="3" a="1"/>
  <c r="S209" i="3" a="1"/>
  <c r="S210" i="3" a="1"/>
  <c r="S211" i="3" a="1"/>
  <c r="S212" i="3" a="1"/>
  <c r="S213" i="3" a="1"/>
  <c r="S214" i="3" a="1"/>
  <c r="S215" i="3" a="1"/>
  <c r="S216" i="3" a="1"/>
  <c r="S217" i="3" a="1"/>
  <c r="S218" i="3" a="1"/>
  <c r="S219" i="3" a="1"/>
  <c r="S220" i="3" a="1"/>
  <c r="S221" i="3" a="1"/>
  <c r="S222" i="3" a="1"/>
  <c r="S223" i="3" a="1"/>
  <c r="S224" i="3" a="1"/>
  <c r="S225" i="3" a="1"/>
  <c r="S226" i="3" a="1"/>
  <c r="S227" i="3" a="1"/>
  <c r="S228" i="3" a="1"/>
  <c r="S229" i="3" a="1"/>
  <c r="S230" i="3" a="1"/>
  <c r="S231" i="3" a="1"/>
  <c r="S232" i="3" a="1"/>
  <c r="S233" i="3" a="1"/>
  <c r="S234" i="3" a="1"/>
  <c r="S235" i="3" a="1"/>
  <c r="S236" i="3" a="1"/>
  <c r="S237" i="3" a="1"/>
  <c r="S238" i="3" a="1"/>
  <c r="S239" i="3" a="1"/>
  <c r="S240" i="3" a="1"/>
  <c r="S241" i="3" a="1"/>
  <c r="S242" i="3" a="1"/>
  <c r="S243" i="3" a="1"/>
  <c r="S244" i="3" a="1"/>
  <c r="S245" i="3" a="1"/>
  <c r="S246" i="3" a="1"/>
  <c r="S247" i="3" a="1"/>
  <c r="S248" i="3" a="1"/>
  <c r="S249" i="3" a="1"/>
  <c r="S250" i="3" a="1"/>
  <c r="S251" i="3" a="1"/>
  <c r="S252" i="3" a="1"/>
  <c r="S253" i="3" a="1"/>
  <c r="S254" i="3" a="1"/>
  <c r="S255" i="3" a="1"/>
  <c r="S256" i="3" a="1"/>
  <c r="S257" i="3" a="1"/>
  <c r="S258" i="3" a="1"/>
  <c r="S259" i="3" a="1"/>
  <c r="S260" i="3" a="1"/>
  <c r="S261" i="3" a="1"/>
  <c r="S262" i="3" a="1"/>
  <c r="S263" i="3" a="1"/>
  <c r="S264" i="3" a="1"/>
  <c r="S265" i="3" a="1"/>
  <c r="S266" i="3" a="1"/>
  <c r="S267" i="3" a="1"/>
  <c r="S268" i="3" a="1"/>
  <c r="C23" i="5"/>
  <c r="C22" i="5"/>
  <c r="C21" i="5"/>
  <c r="C20" i="5"/>
  <c r="C19" i="5"/>
  <c r="F5" i="7"/>
  <c r="E5" i="7"/>
  <c r="D5" i="7"/>
  <c r="C5" i="7"/>
  <c r="B5" i="7"/>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C27" i="5" a="1"/>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C28" i="5" a="1"/>
  <c r="C14" i="5"/>
  <c r="C8" i="5"/>
  <c r="B6" i="7" s="1"/>
  <c r="C13" i="5"/>
  <c r="F6" i="7" s="1"/>
  <c r="C10" i="5"/>
  <c r="D6" i="7" s="1"/>
  <c r="C9" i="5"/>
  <c r="C6" i="7" s="1"/>
  <c r="B17" i="4" a="1"/>
  <c r="D9" i="4" a="1"/>
  <c r="B9" i="4" a="1"/>
  <c r="M3"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M2"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J2" i="3"/>
  <c r="C12" i="5" s="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C24" i="5" l="1"/>
  <c r="C26" i="5"/>
  <c r="C25" i="5"/>
  <c r="F23" i="5"/>
  <c r="F21" i="5"/>
  <c r="F22" i="5"/>
  <c r="F20" i="5"/>
  <c r="F19" i="5"/>
  <c r="C11" i="5"/>
  <c r="E6" i="7" s="1"/>
  <c r="D24" i="4" a="1"/>
  <c r="B24" i="4" a="1"/>
  <c r="D17" i="4"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<sst xmlns="http://schemas.openxmlformats.org/spreadsheetml/2006/main" count="1745" uniqueCount="94">
  <si>
    <t>Check #</t>
  </si>
  <si>
    <t>Date</t>
  </si>
  <si>
    <t>Day</t>
  </si>
  <si>
    <t>Time</t>
  </si>
  <si>
    <t>Server</t>
  </si>
  <si>
    <t>Party Size</t>
  </si>
  <si>
    <t>Total Bill</t>
  </si>
  <si>
    <t>Tip %</t>
  </si>
  <si>
    <t>Cash</t>
  </si>
  <si>
    <t>Thu</t>
  </si>
  <si>
    <t>Lunch</t>
  </si>
  <si>
    <t>Dennis</t>
  </si>
  <si>
    <t>Dee</t>
  </si>
  <si>
    <t>Charlie</t>
  </si>
  <si>
    <t>Mac</t>
  </si>
  <si>
    <t>Fri</t>
  </si>
  <si>
    <t>Sat</t>
  </si>
  <si>
    <t>Dinner</t>
  </si>
  <si>
    <t>Sun</t>
  </si>
  <si>
    <t>Breakfast</t>
  </si>
  <si>
    <t>Tip Amount ($)</t>
  </si>
  <si>
    <t>Payment Type</t>
  </si>
  <si>
    <t>Bill Category</t>
  </si>
  <si>
    <t>Party Category</t>
  </si>
  <si>
    <t>Month</t>
  </si>
  <si>
    <t>Week Number</t>
  </si>
  <si>
    <t>Weekend</t>
  </si>
  <si>
    <t>Average Spend Per Person</t>
  </si>
  <si>
    <t>Create the Server List</t>
  </si>
  <si>
    <t>Server Name</t>
  </si>
  <si>
    <t>Create the Day List</t>
  </si>
  <si>
    <t>Create the Meal Type List</t>
  </si>
  <si>
    <t>Meal Type</t>
  </si>
  <si>
    <t>Create the Payment Type List</t>
  </si>
  <si>
    <t>Create the Bill Category List</t>
  </si>
  <si>
    <t>Create the Party Category List</t>
  </si>
  <si>
    <t xml:space="preserve">Bill Category </t>
  </si>
  <si>
    <t>Total Revenue</t>
  </si>
  <si>
    <t>Total Orders</t>
  </si>
  <si>
    <t>Average Bill</t>
  </si>
  <si>
    <t>Total Tips</t>
  </si>
  <si>
    <t>Average Tip %</t>
  </si>
  <si>
    <t>Average Party Size</t>
  </si>
  <si>
    <t>Highest Bill</t>
  </si>
  <si>
    <t>Report Filters</t>
  </si>
  <si>
    <t>Dynamic Calculations</t>
  </si>
  <si>
    <t>Revenue by Selected Server</t>
  </si>
  <si>
    <t>Orders by Selected Server</t>
  </si>
  <si>
    <t>Average Tip</t>
  </si>
  <si>
    <t>Card</t>
  </si>
  <si>
    <t>Best Performing Server</t>
  </si>
  <si>
    <t>Lowest Performing Server</t>
  </si>
  <si>
    <t>Most Popular Day</t>
  </si>
  <si>
    <t>Most Popular Meal Type</t>
  </si>
  <si>
    <t>Highest Average Tip %</t>
  </si>
  <si>
    <t>Average Bill Per Person</t>
  </si>
  <si>
    <t>Cash %</t>
  </si>
  <si>
    <t>Card %</t>
  </si>
  <si>
    <t>Weekend Revenue</t>
  </si>
  <si>
    <t>Weekday Revenue</t>
  </si>
  <si>
    <t>Weekday</t>
  </si>
  <si>
    <t>Row Labels</t>
  </si>
  <si>
    <t>Grand Total</t>
  </si>
  <si>
    <t>Sum of Total Bill</t>
  </si>
  <si>
    <t>Count of Check #</t>
  </si>
  <si>
    <t>ptRevenueByServer</t>
  </si>
  <si>
    <t>ptMealRevenue</t>
  </si>
  <si>
    <t>ptPaymentAnalysis</t>
  </si>
  <si>
    <t>ptPartyAnalysis</t>
  </si>
  <si>
    <t>Average of Total Bill2</t>
  </si>
  <si>
    <t>ptRevenueTier</t>
  </si>
  <si>
    <t>Revenue Tier</t>
  </si>
  <si>
    <t>┌─────────────────────────────────────────────────────────────┐</t>
  </si>
  <si>
    <t>│                 Restaurant Sales Dashboard                  │</t>
  </si>
  <si>
    <t>├─────────────────────────────────────────────────────────────┤</t>
  </si>
  <si>
    <t>│ Revenue │ Orders │ Avg Bill │ Avg Tip │ Avg Party │</t>
  </si>
  <si>
    <t>│ Revenue by Server        │ Revenue by Day                  │</t>
  </si>
  <si>
    <t>├──────────────────────────┼─────────────────────────────────┤</t>
  </si>
  <si>
    <t>│ Meal Revenue             │ Payment Analysis               │</t>
  </si>
  <si>
    <t>│ Party Analysis           │ Revenue Tier                   │</t>
  </si>
  <si>
    <t>│ Slicers: Server | Day | Meal | Payment                    │</t>
  </si>
  <si>
    <t>└─────────────────────────────────────────────────────────────┘</t>
  </si>
  <si>
    <t>Restaurant Sales Performance Dashboard</t>
  </si>
  <si>
    <t>KPI Card</t>
  </si>
  <si>
    <t>ptPartyRevenue</t>
  </si>
  <si>
    <t>Loop Lists</t>
  </si>
  <si>
    <t>ptAvgTip</t>
  </si>
  <si>
    <t>Average of Tip %</t>
  </si>
  <si>
    <t xml:space="preserve">Dynamic Calculation </t>
  </si>
  <si>
    <t>Others KPI</t>
  </si>
  <si>
    <t xml:space="preserve">KPI </t>
  </si>
  <si>
    <t>Pivot Table</t>
  </si>
  <si>
    <t>ptDayRevenue</t>
  </si>
  <si>
    <t>Tier Order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</si>
</sst>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font>
      <sz val="11"/>
      <color theme="1"/>
      <name val="Aptos Narrow"/>
      <family val="2"/>
      <scheme val="minor"/>
    </font>
    <font>
      <b/>
      <sz val="11"/>
      <color theme="1"/>
      <name val="Aptos Narrow"/>
      <family val="2"/>
      <scheme val="minor"/>
    </font>
    <font>
      <sz val="16"/>
      <color theme="0"/>
      <name val="Aptos Display"/>
      <family val="2"/>
      <scheme val="major"/>
    </font>
    <font>
      <sz val="10"/>
      <color theme="1"/>
      <name val="Arial Unicode MS"/>
    </font>
    <font>
      <b/>
      <sz val="14"/>
      <color theme="1"/>
      <name val="Aptos Narrow"/>
      <family val="2"/>
      <scheme val="minor"/>
    </font>
    <font>
      <b/>
      <sz val="16"/>
      <color theme="0"/>
      <name val="Aptos Narrow"/>
      <family val="2"/>
      <scheme val="minor"/>
    </font>
    <font>
      <b/>
      <sz val="24"/>
      <color theme="0"/>
      <name val="Aptos Narrow"/>
      <family val="2"/>
      <scheme val="minor"/>
    </font>
    <font>
      <b/>
      <sz val="11"/>
      <color theme="0"/>
      <name val="Aptos Narrow"/>
      <family val="2"/>
      <scheme val="minor"/>
    </font>
    <font>
      <sz val="11"/>
      <color theme="0"/>
      <name val="Aptos Narrow"/>
      <family val="2"/>
      <scheme val="minor"/>
    </font>
    <font>
      <sz val="16"/>
      <color theme="1"/>
      <name val="Aptos Narrow"/>
      <family val="2"/>
      <scheme val="minor"/>
    </font>
    <font>
      <b/>
      <sz val="14"/>
      <color theme="0"/>
      <name val="Aptos Narrow"/>
      <family val="2"/>
      <scheme val="minor"/>
    </font>
    <font>
      <b/>
      <sz val="18"/>
      <color theme="0"/>
      <name val="Aptos Narrow"/>
      <family val="2"/>
      <scheme val="minor"/>
    </font>
    <font>
      <b/>
      <sz val="12"/>
      <color theme="0"/>
      <name val="Aptos Narrow"/>
      <family val="2"/>
      <scheme val="minor"/>
    </font>
    <font>
      <b/>
      <sz val="28"/>
      <color theme="1"/>
      <name val="Arial"/>
      <family val="2"/>
    </font>
    <font>
      <sz val="12"/>
      <color theme="0"/>
      <name val="Aptos Narrow"/>
      <family val="2"/>
      <scheme val="minor"/>
    </font>
    <font>
      <b/>
      <sz val="18"/>
      <color theme="0"/>
      <name val="Calibri"/>
      <family val="2"/>
    </font>
  </fonts>
  <fills count="15">
    <fill>
      <patternFill patternType="none"/>
    </fill>
    <fill>
      <patternFill patternType="gray125"/>
    </fill>
    <fill>
      <patternFill patternType="solid">
        <fgColor theme="3" tint="0.89999084444715716"/>
        <bgColor indexed="64"/>
      </patternFill>
    </fill>
    <fill>
      <patternFill patternType="solid">
        <fgColor rgb="FF0070C0"/>
        <bgColor indexed="64"/>
      </patternFill>
    </fill>
    <fill>
      <patternFill patternType="solid">
        <fgColor theme="0"/>
        <bgColor indexed="64"/>
      </patternFill>
    </fill>
    <fill>
      <patternFill patternType="solid">
        <fgColor theme="6" tint="-0.499984740745262"/>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8" tint="-0.499984740745262"/>
        <bgColor indexed="64"/>
      </patternFill>
    </fill>
    <fill>
      <patternFill patternType="solid">
        <fgColor theme="2" tint="-0.89999084444715716"/>
        <bgColor indexed="64"/>
      </patternFill>
    </fill>
    <fill>
      <patternFill patternType="solid">
        <fgColor theme="3" tint="9.9978637043366805E-2"/>
        <bgColor indexed="64"/>
      </patternFill>
    </fill>
    <fill>
      <patternFill patternType="solid">
        <fgColor rgb="FF00B0F0"/>
        <bgColor indexed="64"/>
      </patternFill>
    </fill>
    <fill>
      <patternFill patternType="solid">
        <fgColor theme="1" tint="4.9989318521683403E-2"/>
        <bgColor indexed="64"/>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107">
    <xf numFmtId="0" fontId="0" fillId="0" borderId="0" xfId="0"/>
    <xf numFmtId="0" fontId="1" fillId="2" borderId="0" xfId="0" applyFont="1" applyFill="1"/>
    <xf numFmtId="14" fontId="0" fillId="0" borderId="0" xfId="0" applyNumberFormat="1"/>
    <xf numFmtId="164" fontId="0" fillId="0" borderId="0" xfId="0" applyNumberFormat="1"/>
    <xf numFmtId="9" fontId="0" fillId="0" borderId="0" xfId="0" applyNumberFormat="1"/>
    <xf numFmtId="0" fontId="1" fillId="2" borderId="0" xfId="0" applyFont="1" applyFill="1" applyAlignment="1">
      <alignment horizontal="center" vertical="center"/>
    </xf>
    <xf numFmtId="164" fontId="1" fillId="2" borderId="0" xfId="0" applyNumberFormat="1" applyFont="1" applyFill="1" applyAlignment="1">
      <alignment horizontal="center" vertical="center"/>
    </xf>
    <xf numFmtId="0" fontId="0" fillId="0" borderId="0" xfId="0" applyAlignment="1">
      <alignment horizontal="center" vertical="center"/>
    </xf>
    <xf numFmtId="0" fontId="1" fillId="2" borderId="0" xfId="0" applyFont="1" applyFill="1" applyAlignment="1">
      <alignment horizontal="left" vertical="top"/>
    </xf>
    <xf numFmtId="14" fontId="1" fillId="2" borderId="0" xfId="0" applyNumberFormat="1" applyFont="1" applyFill="1" applyAlignment="1">
      <alignment horizontal="left" vertical="top"/>
    </xf>
    <xf numFmtId="164" fontId="1" fillId="2" borderId="0" xfId="0" applyNumberFormat="1" applyFont="1" applyFill="1" applyAlignment="1">
      <alignment horizontal="left" vertical="top"/>
    </xf>
    <xf numFmtId="9" fontId="1" fillId="2" borderId="0" xfId="0" applyNumberFormat="1" applyFont="1" applyFill="1" applyAlignment="1">
      <alignment horizontal="left" vertical="top"/>
    </xf>
    <xf numFmtId="0" fontId="0" fillId="0" borderId="0" xfId="0" applyAlignment="1">
      <alignment horizontal="left" vertical="top"/>
    </xf>
    <xf numFmtId="164" fontId="0" fillId="0" borderId="0" xfId="0" applyNumberFormat="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164" fontId="4" fillId="0" borderId="0" xfId="0" applyNumberFormat="1" applyFont="1" applyAlignment="1">
      <alignment horizontal="center" vertical="center"/>
    </xf>
    <xf numFmtId="164" fontId="4" fillId="4" borderId="0" xfId="0" applyNumberFormat="1" applyFont="1" applyFill="1" applyAlignment="1">
      <alignment horizontal="center" vertical="center"/>
    </xf>
    <xf numFmtId="0" fontId="4" fillId="0" borderId="0" xfId="0" applyFont="1" applyAlignment="1">
      <alignment horizontal="center" vertical="center"/>
    </xf>
    <xf numFmtId="0" fontId="6" fillId="3" borderId="0" xfId="0" applyFont="1" applyFill="1" applyAlignment="1">
      <alignment horizontal="center"/>
    </xf>
    <xf numFmtId="0" fontId="6" fillId="4" borderId="0" xfId="0" applyFont="1" applyFill="1" applyAlignment="1">
      <alignment horizontal="center"/>
    </xf>
    <xf numFmtId="0" fontId="0" fillId="0" borderId="0" xfId="0" applyBorder="1"/>
    <xf numFmtId="0" fontId="9" fillId="0" borderId="0" xfId="0" applyFont="1" applyAlignment="1">
      <alignment horizontal="center"/>
    </xf>
    <xf numFmtId="164" fontId="10" fillId="7" borderId="0" xfId="0" applyNumberFormat="1" applyFont="1" applyFill="1" applyAlignment="1">
      <alignment horizontal="center" vertical="center"/>
    </xf>
    <xf numFmtId="164" fontId="10" fillId="8" borderId="0" xfId="0" applyNumberFormat="1" applyFont="1" applyFill="1" applyAlignment="1">
      <alignment horizontal="center" vertical="center"/>
    </xf>
    <xf numFmtId="164" fontId="10" fillId="9" borderId="0" xfId="0" applyNumberFormat="1" applyFont="1" applyFill="1" applyAlignment="1">
      <alignment horizontal="center" vertical="center"/>
    </xf>
    <xf numFmtId="164" fontId="11" fillId="5" borderId="0" xfId="0" applyNumberFormat="1" applyFont="1" applyFill="1" applyAlignment="1">
      <alignment horizontal="center" vertical="center"/>
    </xf>
    <xf numFmtId="0" fontId="11" fillId="6" borderId="0" xfId="0" applyFont="1" applyFill="1" applyAlignment="1">
      <alignment horizontal="center" vertical="center"/>
    </xf>
    <xf numFmtId="164" fontId="11" fillId="7" borderId="0" xfId="0" applyNumberFormat="1" applyFont="1" applyFill="1" applyAlignment="1">
      <alignment horizontal="center" vertical="center"/>
    </xf>
    <xf numFmtId="164" fontId="11" fillId="8" borderId="0" xfId="0" applyNumberFormat="1" applyFont="1" applyFill="1" applyAlignment="1">
      <alignment horizontal="center" vertical="center"/>
    </xf>
    <xf numFmtId="164" fontId="11" fillId="9" borderId="0" xfId="0" applyNumberFormat="1" applyFont="1" applyFill="1" applyAlignment="1">
      <alignment horizontal="center" vertical="center"/>
    </xf>
    <xf numFmtId="0" fontId="7" fillId="9" borderId="0" xfId="0" applyFont="1" applyFill="1" applyAlignment="1">
      <alignment horizontal="center" vertical="center" wrapText="1"/>
    </xf>
    <xf numFmtId="0" fontId="12" fillId="5" borderId="0" xfId="0" applyFont="1" applyFill="1" applyAlignment="1">
      <alignment horizontal="center" vertical="center" wrapText="1"/>
    </xf>
    <xf numFmtId="0" fontId="12" fillId="6" borderId="0" xfId="0" applyFont="1" applyFill="1" applyAlignment="1">
      <alignment horizontal="center" vertical="center" wrapText="1"/>
    </xf>
    <xf numFmtId="0" fontId="12" fillId="7" borderId="0" xfId="0" applyFont="1" applyFill="1" applyAlignment="1">
      <alignment horizontal="center" vertical="center" wrapText="1"/>
    </xf>
    <xf numFmtId="0" fontId="12" fillId="8" borderId="0" xfId="0" applyFont="1" applyFill="1" applyAlignment="1">
      <alignment horizontal="center" vertical="center" wrapText="1"/>
    </xf>
    <xf numFmtId="0" fontId="12" fillId="9" borderId="0" xfId="0" applyFont="1" applyFill="1" applyAlignment="1">
      <alignment horizontal="center" vertical="center" wrapText="1"/>
    </xf>
    <xf numFmtId="0" fontId="0" fillId="4" borderId="0" xfId="0" applyFill="1" applyAlignment="1">
      <alignment horizontal="center" vertical="center"/>
    </xf>
    <xf numFmtId="0" fontId="3" fillId="0" borderId="0" xfId="0" applyFont="1" applyAlignment="1">
      <alignment horizontal="center" vertical="center" wrapText="1"/>
    </xf>
    <xf numFmtId="0" fontId="2" fillId="10" borderId="0" xfId="0" applyFont="1" applyFill="1" applyAlignment="1">
      <alignment horizontal="center" vertical="center"/>
    </xf>
    <xf numFmtId="0" fontId="8" fillId="10" borderId="0" xfId="0" applyFont="1" applyFill="1" applyAlignment="1">
      <alignment horizontal="center" vertical="center"/>
    </xf>
    <xf numFmtId="0" fontId="12" fillId="10" borderId="0" xfId="0" applyFont="1" applyFill="1" applyAlignment="1">
      <alignment horizontal="center" vertical="center"/>
    </xf>
    <xf numFmtId="0" fontId="2" fillId="11" borderId="0" xfId="0" applyFont="1" applyFill="1" applyAlignment="1">
      <alignment horizontal="center" vertical="center"/>
    </xf>
    <xf numFmtId="0" fontId="8" fillId="11" borderId="0" xfId="0" applyFont="1" applyFill="1" applyAlignment="1">
      <alignment horizontal="center" vertical="center"/>
    </xf>
    <xf numFmtId="0" fontId="12" fillId="11" borderId="0" xfId="0" applyFont="1" applyFill="1" applyAlignment="1">
      <alignment horizontal="center" vertical="center"/>
    </xf>
    <xf numFmtId="0" fontId="2" fillId="7" borderId="0" xfId="0" applyFont="1" applyFill="1" applyAlignment="1">
      <alignment horizontal="center" vertical="center"/>
    </xf>
    <xf numFmtId="0" fontId="8" fillId="7" borderId="0" xfId="0" applyFont="1" applyFill="1" applyAlignment="1">
      <alignment horizontal="center" vertical="center"/>
    </xf>
    <xf numFmtId="0" fontId="12" fillId="7" borderId="0" xfId="0" applyFont="1" applyFill="1" applyAlignment="1">
      <alignment horizontal="center" vertical="center"/>
    </xf>
    <xf numFmtId="0" fontId="2" fillId="5" borderId="0" xfId="0" applyFont="1" applyFill="1" applyAlignment="1">
      <alignment horizontal="center" vertical="center"/>
    </xf>
    <xf numFmtId="0" fontId="8" fillId="5" borderId="0" xfId="0" applyFont="1" applyFill="1" applyAlignment="1">
      <alignment horizontal="center" vertical="center"/>
    </xf>
    <xf numFmtId="0" fontId="12" fillId="5" borderId="0" xfId="0" applyFont="1" applyFill="1" applyAlignment="1">
      <alignment horizontal="center" vertical="center"/>
    </xf>
    <xf numFmtId="0" fontId="2" fillId="9" borderId="0" xfId="0" applyFont="1" applyFill="1" applyAlignment="1">
      <alignment horizontal="center" vertical="center"/>
    </xf>
    <xf numFmtId="0" fontId="8" fillId="9" borderId="0" xfId="0" applyFont="1" applyFill="1" applyAlignment="1">
      <alignment horizontal="center" vertical="center"/>
    </xf>
    <xf numFmtId="0" fontId="12" fillId="9" borderId="0" xfId="0" applyFont="1" applyFill="1" applyAlignment="1">
      <alignment horizontal="center" vertical="center"/>
    </xf>
    <xf numFmtId="0" fontId="2" fillId="6" borderId="0" xfId="0" applyFont="1" applyFill="1" applyAlignment="1">
      <alignment horizontal="center" vertical="center"/>
    </xf>
    <xf numFmtId="0" fontId="8" fillId="6" borderId="0" xfId="0" applyFont="1" applyFill="1" applyAlignment="1">
      <alignment horizontal="center" vertical="center"/>
    </xf>
    <xf numFmtId="0" fontId="12" fillId="6" borderId="0" xfId="0" applyFont="1" applyFill="1" applyAlignment="1">
      <alignment horizontal="center" vertical="center"/>
    </xf>
    <xf numFmtId="0" fontId="13" fillId="12" borderId="0" xfId="0" applyFont="1" applyFill="1" applyAlignment="1">
      <alignment horizontal="center" vertical="center"/>
    </xf>
    <xf numFmtId="0" fontId="5" fillId="7" borderId="0" xfId="0" applyFont="1" applyFill="1" applyAlignment="1">
      <alignment horizontal="center" vertical="center"/>
    </xf>
    <xf numFmtId="0" fontId="5" fillId="7" borderId="0" xfId="0" applyFont="1" applyFill="1" applyAlignment="1">
      <alignment horizontal="center" vertical="center"/>
    </xf>
    <xf numFmtId="10" fontId="10" fillId="7" borderId="0" xfId="0" applyNumberFormat="1" applyFont="1" applyFill="1" applyAlignment="1">
      <alignment horizontal="center" vertical="center"/>
    </xf>
    <xf numFmtId="0" fontId="5" fillId="5" borderId="0" xfId="0" applyFont="1" applyFill="1" applyAlignment="1">
      <alignment horizontal="center" vertical="center"/>
    </xf>
    <xf numFmtId="0" fontId="12" fillId="5" borderId="0" xfId="0" applyFont="1" applyFill="1" applyBorder="1" applyAlignment="1">
      <alignment horizontal="center" vertical="center" wrapText="1"/>
    </xf>
    <xf numFmtId="0" fontId="7" fillId="5" borderId="0" xfId="0" applyFont="1" applyFill="1" applyBorder="1" applyAlignment="1">
      <alignment horizontal="center" vertical="center"/>
    </xf>
    <xf numFmtId="10" fontId="10" fillId="9" borderId="0" xfId="0" applyNumberFormat="1" applyFont="1" applyFill="1" applyAlignment="1">
      <alignment horizontal="center" vertical="center"/>
    </xf>
    <xf numFmtId="0" fontId="5" fillId="8" borderId="0" xfId="0" applyFont="1" applyFill="1" applyAlignment="1">
      <alignment horizontal="center" vertical="center"/>
    </xf>
    <xf numFmtId="0" fontId="5" fillId="8" borderId="0" xfId="0" applyFont="1" applyFill="1" applyAlignment="1">
      <alignment horizontal="center" vertical="center"/>
    </xf>
    <xf numFmtId="10" fontId="10" fillId="8" borderId="0" xfId="0" applyNumberFormat="1" applyFont="1" applyFill="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5" fillId="9" borderId="0" xfId="0" applyFont="1" applyFill="1" applyAlignment="1">
      <alignment horizontal="center" vertical="center"/>
    </xf>
    <xf numFmtId="0" fontId="13" fillId="12" borderId="0" xfId="0" applyFont="1" applyFill="1" applyAlignment="1">
      <alignment horizontal="center"/>
    </xf>
    <xf numFmtId="0" fontId="15" fillId="13" borderId="0" xfId="0" applyFont="1" applyFill="1" applyAlignment="1">
      <alignment horizontal="center" vertical="center"/>
    </xf>
    <xf numFmtId="0" fontId="15" fillId="11" borderId="0" xfId="0" applyFont="1" applyFill="1" applyAlignment="1">
      <alignment horizontal="center" vertical="center"/>
    </xf>
    <xf numFmtId="0" fontId="12" fillId="13" borderId="0" xfId="0" applyFont="1" applyFill="1" applyAlignment="1">
      <alignment horizontal="center"/>
    </xf>
    <xf numFmtId="0" fontId="12" fillId="13" borderId="0" xfId="0" applyFont="1" applyFill="1" applyAlignment="1">
      <alignment horizontal="left"/>
    </xf>
    <xf numFmtId="164" fontId="12" fillId="13" borderId="0" xfId="0" applyNumberFormat="1" applyFont="1" applyFill="1"/>
    <xf numFmtId="0" fontId="12" fillId="11" borderId="0" xfId="0" applyFont="1" applyFill="1"/>
    <xf numFmtId="0" fontId="12" fillId="11" borderId="0" xfId="0" applyFont="1" applyFill="1" applyAlignment="1">
      <alignment horizontal="left"/>
    </xf>
    <xf numFmtId="164" fontId="12" fillId="11" borderId="0" xfId="0" applyNumberFormat="1" applyFont="1" applyFill="1"/>
    <xf numFmtId="0" fontId="15" fillId="7" borderId="0" xfId="0" applyFont="1" applyFill="1" applyAlignment="1">
      <alignment horizontal="center" vertical="center"/>
    </xf>
    <xf numFmtId="0" fontId="12" fillId="7" borderId="0" xfId="0" applyFont="1" applyFill="1"/>
    <xf numFmtId="0" fontId="12" fillId="7" borderId="0" xfId="0" applyFont="1" applyFill="1" applyAlignment="1">
      <alignment horizontal="left"/>
    </xf>
    <xf numFmtId="164" fontId="12" fillId="7" borderId="0" xfId="0" applyNumberFormat="1" applyFont="1" applyFill="1"/>
    <xf numFmtId="0" fontId="15" fillId="5" borderId="0" xfId="0" applyFont="1" applyFill="1" applyAlignment="1">
      <alignment horizontal="center" vertical="center"/>
    </xf>
    <xf numFmtId="0" fontId="12" fillId="4" borderId="0" xfId="0" applyFont="1" applyFill="1" applyBorder="1"/>
    <xf numFmtId="0" fontId="15" fillId="10" borderId="0" xfId="0" applyFont="1" applyFill="1" applyAlignment="1">
      <alignment horizontal="center" vertical="center"/>
    </xf>
    <xf numFmtId="0" fontId="8" fillId="10" borderId="0" xfId="0" applyFont="1" applyFill="1"/>
    <xf numFmtId="0" fontId="15" fillId="8" borderId="0" xfId="0" applyFont="1" applyFill="1" applyAlignment="1">
      <alignment horizontal="center" vertical="center"/>
    </xf>
    <xf numFmtId="0" fontId="8" fillId="8" borderId="0" xfId="0" applyFont="1" applyFill="1"/>
    <xf numFmtId="0" fontId="12" fillId="14" borderId="0" xfId="0" applyFont="1" applyFill="1"/>
    <xf numFmtId="0" fontId="15" fillId="14" borderId="0" xfId="0" applyFont="1" applyFill="1" applyAlignment="1">
      <alignment horizontal="center" vertical="center"/>
    </xf>
    <xf numFmtId="0" fontId="12" fillId="9" borderId="0" xfId="0" applyFont="1" applyFill="1"/>
    <xf numFmtId="0" fontId="15" fillId="9" borderId="0" xfId="0" applyFont="1" applyFill="1" applyAlignment="1">
      <alignment horizontal="center" vertical="center"/>
    </xf>
    <xf numFmtId="0" fontId="12" fillId="10" borderId="0" xfId="0" applyFont="1" applyFill="1" applyAlignment="1"/>
    <xf numFmtId="0" fontId="15" fillId="4" borderId="0" xfId="0" applyFont="1" applyFill="1" applyAlignment="1">
      <alignment vertical="center"/>
    </xf>
    <xf numFmtId="164" fontId="12" fillId="10" borderId="0" xfId="0" applyNumberFormat="1" applyFont="1" applyFill="1" applyAlignment="1"/>
    <xf numFmtId="0" fontId="12" fillId="14" borderId="0" xfId="0" applyFont="1" applyFill="1" applyAlignment="1">
      <alignment horizontal="left"/>
    </xf>
    <xf numFmtId="10" fontId="12" fillId="14" borderId="0" xfId="0" applyNumberFormat="1" applyFont="1" applyFill="1"/>
    <xf numFmtId="9" fontId="12" fillId="14" borderId="0" xfId="0" applyNumberFormat="1" applyFont="1" applyFill="1"/>
    <xf numFmtId="0" fontId="12" fillId="9" borderId="0" xfId="0" applyFont="1" applyFill="1" applyAlignment="1">
      <alignment horizontal="left"/>
    </xf>
    <xf numFmtId="164" fontId="12" fillId="9" borderId="0" xfId="0" applyNumberFormat="1" applyFont="1" applyFill="1"/>
    <xf numFmtId="0" fontId="12" fillId="8" borderId="0" xfId="0" applyFont="1" applyFill="1" applyAlignment="1"/>
    <xf numFmtId="164" fontId="12" fillId="8" borderId="0" xfId="0" applyNumberFormat="1" applyFont="1" applyFill="1" applyAlignment="1"/>
    <xf numFmtId="0" fontId="14" fillId="5" borderId="0" xfId="0" applyFont="1" applyFill="1"/>
    <xf numFmtId="0" fontId="14" fillId="5" borderId="0" xfId="0" applyFont="1" applyFill="1" applyAlignment="1">
      <alignment horizontal="left"/>
    </xf>
    <xf numFmtId="0" fontId="14" fillId="5" borderId="0" xfId="0" applyNumberFormat="1" applyFont="1" applyFill="1"/>
  </cellXfs>
  <cellStyles count="1">
    <cellStyle name="Normal" xfId="0" builtinId="0"/>
  </cellStyles>
  <dxfs count="183">
    <dxf>
      <font>
        <sz val="12"/>
      </font>
    </dxf>
    <dxf>
      <font>
        <sz val="12"/>
      </font>
    </dxf>
    <dxf>
      <font>
        <sz val="12"/>
      </font>
    </dxf>
    <dxf>
      <font>
        <sz val="12"/>
      </font>
    </dxf>
    <dxf>
      <font>
        <sz val="12"/>
      </font>
    </dxf>
    <dxf>
      <font>
        <sz val="12"/>
      </font>
    </dxf>
    <dxf>
      <font>
        <color theme="0"/>
      </font>
    </dxf>
    <dxf>
      <font>
        <color theme="0"/>
      </font>
    </dxf>
    <dxf>
      <font>
        <color theme="0"/>
      </font>
    </dxf>
    <dxf>
      <font>
        <color theme="0"/>
      </font>
    </dxf>
    <dxf>
      <font>
        <color theme="0"/>
      </font>
    </dxf>
    <dxf>
      <font>
        <color theme="0"/>
      </font>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numFmt numFmtId="0" formatCode="General"/>
      <alignment horizontal="center" vertical="center" textRotation="0" wrapText="0" indent="0" justifyLastLine="0" shrinkToFit="0" readingOrder="0"/>
    </dxf>
    <dxf>
      <font>
        <color theme="0"/>
      </font>
    </dxf>
    <dxf>
      <font>
        <color theme="0"/>
      </font>
    </dxf>
    <dxf>
      <font>
        <color theme="0"/>
      </font>
    </dxf>
    <dxf>
      <font>
        <color theme="0"/>
      </font>
    </dxf>
    <dxf>
      <font>
        <color theme="0"/>
      </font>
    </dxf>
    <dxf>
      <font>
        <color theme="0"/>
      </font>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color theme="0"/>
      </font>
    </dxf>
    <dxf>
      <font>
        <color theme="0"/>
      </font>
    </dxf>
    <dxf>
      <font>
        <color theme="0"/>
      </font>
    </dxf>
    <dxf>
      <font>
        <color theme="0"/>
      </font>
    </dxf>
    <dxf>
      <font>
        <color theme="0"/>
      </font>
    </dxf>
    <dxf>
      <font>
        <color theme="0"/>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font>
        <color theme="0"/>
      </font>
    </dxf>
    <dxf>
      <font>
        <color theme="0"/>
      </font>
    </dxf>
    <dxf>
      <fill>
        <patternFill>
          <bgColor theme="7" tint="-0.499984740745262"/>
        </patternFill>
      </fill>
    </dxf>
    <dxf>
      <fill>
        <patternFill>
          <bgColor theme="7" tint="-0.499984740745262"/>
        </patternFill>
      </fill>
    </dxf>
    <dxf>
      <fill>
        <patternFill>
          <bgColor theme="7" tint="-0.499984740745262"/>
        </patternFill>
      </fill>
    </dxf>
    <dxf>
      <fill>
        <patternFill>
          <bgColor theme="7" tint="-0.499984740745262"/>
        </patternFill>
      </fill>
    </dxf>
    <dxf>
      <fill>
        <patternFill>
          <bgColor theme="7" tint="-0.499984740745262"/>
        </patternFill>
      </fill>
    </dxf>
    <dxf>
      <fill>
        <patternFill>
          <bgColor theme="7" tint="-0.499984740745262"/>
        </patternFill>
      </fill>
    </dxf>
    <dxf>
      <font>
        <color theme="0"/>
      </font>
    </dxf>
    <dxf>
      <font>
        <color theme="0"/>
      </font>
    </dxf>
    <dxf>
      <font>
        <color theme="0"/>
      </font>
    </dxf>
    <dxf>
      <font>
        <color theme="0"/>
      </font>
    </dxf>
    <dxf>
      <font>
        <color theme="0"/>
      </font>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dxf>
    <dxf>
      <font>
        <b/>
        <sz val="12"/>
        <color theme="0"/>
      </font>
      <fill>
        <patternFill patternType="solid">
          <fgColor indexed="64"/>
          <bgColor theme="5" tint="-0.499984740745262"/>
        </patternFill>
      </fill>
      <alignment horizontal="general" vertical="bottom" textRotation="0" wrapText="0" indent="0" justifyLastLine="0" shrinkToFit="0" readingOrder="0"/>
    </dxf>
    <dxf>
      <font>
        <b/>
        <sz val="12"/>
        <color theme="0"/>
      </font>
      <fill>
        <patternFill patternType="solid">
          <fgColor indexed="64"/>
          <bgColor theme="5" tint="-0.499984740745262"/>
        </patternFill>
      </fill>
      <alignment horizontal="general" vertical="bottom" textRotation="0" wrapText="0" indent="0" justifyLastLine="0" shrinkToFit="0" readingOrder="0"/>
    </dxf>
    <dxf>
      <font>
        <b/>
        <sz val="12"/>
        <color theme="0"/>
      </font>
      <fill>
        <patternFill patternType="solid">
          <fgColor indexed="64"/>
          <bgColor theme="5" tint="-0.499984740745262"/>
        </patternFill>
      </fill>
      <alignment horizontal="general" vertical="bottom" textRotation="0" wrapText="0" indent="0" justifyLastLine="0" shrinkToFit="0" readingOrder="0"/>
    </dxf>
    <dxf>
      <font>
        <b/>
        <sz val="12"/>
        <color theme="0"/>
      </font>
      <fill>
        <patternFill patternType="solid">
          <fgColor indexed="64"/>
          <bgColor theme="5" tint="-0.499984740745262"/>
        </patternFill>
      </fill>
      <alignment horizontal="general" vertical="bottom" textRotation="0" wrapText="0" indent="0" justifyLastLine="0" shrinkToFit="0" readingOrder="0"/>
    </dxf>
    <dxf>
      <font>
        <b/>
        <sz val="12"/>
        <color theme="0"/>
      </font>
      <fill>
        <patternFill patternType="solid">
          <fgColor indexed="64"/>
          <bgColor theme="5" tint="-0.499984740745262"/>
        </patternFill>
      </fill>
      <alignment horizontal="general" vertical="bottom" textRotation="0" wrapText="0" indent="0" justifyLastLine="0" shrinkToFit="0" readingOrder="0"/>
    </dxf>
    <dxf>
      <font>
        <b/>
        <sz val="12"/>
        <color theme="0"/>
      </font>
      <fill>
        <patternFill patternType="solid">
          <fgColor indexed="64"/>
          <bgColor theme="5" tint="-0.499984740745262"/>
        </patternFill>
      </fill>
      <alignment horizontal="general" vertical="bottom" textRotation="0" wrapText="0" indent="0" justifyLastLine="0" shrinkToFit="0" readingOrder="0"/>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numFmt numFmtId="14" formatCode="0.00%"/>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numFmt numFmtId="164" formatCode="&quot;$&quot;#,##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left" vertical="top"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0.00"/>
    </dxf>
    <dxf>
      <numFmt numFmtId="13" formatCode="0%"/>
    </dxf>
    <dxf>
      <numFmt numFmtId="164" formatCode="&quot;$&quot;#,##0.00"/>
    </dxf>
    <dxf>
      <numFmt numFmtId="19" formatCode="m/d/yyyy"/>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alignment horizontal="left" vertical="top" textRotation="0" wrapText="0" indent="0" justifyLastLine="0" shrinkToFit="0" readingOrder="0"/>
    </dxf>
  </dxfs>
  <tableStyles count="0" defaultTableStyle="TableStyleMedium2" defaultPivotStyle="PivotStyleLight16"/>
  <colors>
    <mruColors>
      <color rgb="FFFFFFA3"/>
      <color rgb="FFFFFF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[RestaurantChecks.xlsx]Pivot Tables!ptRevenueByServer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Server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Tables'!$C$5</c:f>
              <c:strCache>
                <c:ptCount val="1"/>
                <c:pt idx="0">
                  <c:v>Total</c:v>
                </c:pt>
              </c:strCache>
            </c:strRef>
          </c:tx>
          <c:spPr>
            <a:solidFill>
              <a:schemeClr val="accent1"/>
            </a:solidFill>
            <a:ln>
              <a:noFill/>
            </a:ln>
            <a:effectLst/>
          </c:spPr>
          <c:invertIfNegative val="0"/>
          <c:cat>
            <c:strRef>
              <c:f>'Pivot Tables'!$B$6:$B$10</c:f>
              <c:strCache>
                <c:ptCount val="4"/>
                <c:pt idx="0">
                  <c:v>Charlie</c:v>
                </c:pt>
                <c:pt idx="1">
                  <c:v>Dee</c:v>
                </c:pt>
                <c:pt idx="2">
                  <c:v>Dennis</c:v>
                </c:pt>
                <c:pt idx="3">
                  <c:v>Mac</c:v>
                </c:pt>
              </c:strCache>
            </c:strRef>
          </c:cat>
          <c:val>
            <c:numRef>
              <c:f>'Pivot Tables'!$C$6:$C$10</c:f>
              <c:numCache>
                <c:formatCode>"$"#,##0.00</c:formatCode>
                <c:ptCount val="4"/>
                <c:pt idx="0">
                  <c:v>1997.8799999999994</c:v>
                </c:pt>
                <c:pt idx="1">
                  <c:v>1759.8599999999994</c:v>
                </c:pt>
                <c:pt idx="2">
                  <c:v>2148.9900000000002</c:v>
                </c:pt>
                <c:pt idx="3">
                  <c:v>2547.2800000000002</c:v>
                </c:pt>
              </c:numCache>
            </c:numRef>
          </c:val>
          <c:extLst>
            <c:ext xmlns:c16="http://schemas.microsoft.com/office/drawing/2014/chart" uri="{C3380CC4-5D6E-409C-BE32-E72D297353CC}">
              <c16:uniqueId val="{00000000-59BC-48D5-BBA2-95A84D2F8B16}"/>
            </c:ext>
          </c:extLst>
        </c:ser>
        <c:dLbls>
          <c:showLegendKey val="0"/>
          <c:showVal val="0"/>
          <c:showCatName val="0"/>
          <c:showSerName val="0"/>
          <c:showPercent val="0"/>
          <c:showBubbleSize val="0"/>
        </c:dLbls>
        <c:gapWidth val="182"/>
        <c:axId val="1406125583"/>
        <c:axId val="951830015"/>
      </c:barChart>
      <c:catAx>
        <c:axId val="140612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51830015"/>
        <c:crosses val="autoZero"/>
        <c:auto val="1"/>
        <c:lblAlgn val="ctr"/>
        <c:lblOffset val="100"/>
        <c:noMultiLvlLbl val="0"/>
      </c:catAx>
      <c:valAx>
        <c:axId val="9518300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0" i="0" u="none" strike="noStrike" kern="1200" baseline="0">
                <a:solidFill>
                  <a:schemeClr val="tx1">
                    <a:lumMod val="65000"/>
                    <a:lumOff val="35000"/>
                  </a:schemeClr>
                </a:solidFill>
                <a:latin typeface="+mn-lt"/>
                <a:ea typeface="+mn-ea"/>
                <a:cs typeface="+mn-cs"/>
              </a:defRPr>
            </a:pPr>
            <a:endParaRPr lang="en-US"/>
          </a:p>
        </c:txPr>
        <c:crossAx val="14061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[RestaurantChecks.xlsx]Pivot Tables!ptRevenueByDay</c:name>
    <c:fmtId val="4"/>
  </c:pivotSource>
  <c:chart>
    <c:title>
      <c:tx>
        <c:rich>
          <a:bodyPr rot="0" spcFirstLastPara="1" vertOverflow="ellipsis" vert="horz" wrap="square" anchor="ctr" anchorCtr="1"/>
          <a:lstStyle/>
          <a:p>
            <a:pPr>
              <a:defRPr lang="en-US" sz="1320" b="0" i="0" u="none" strike="noStrike" kern="1200" spc="0" baseline="0">
                <a:solidFill>
                  <a:schemeClr val="tx1">
                    <a:lumMod val="65000"/>
                    <a:lumOff val="35000"/>
                  </a:schemeClr>
                </a:solidFill>
                <a:latin typeface="+mn-lt"/>
                <a:ea typeface="+mn-ea"/>
                <a:cs typeface="+mn-cs"/>
              </a:defRPr>
            </a:pPr>
            <a:r>
              <a:rPr lang="en-US" sz="1320" b="0" i="0" u="none" strike="noStrike" baseline="0"/>
              <a:t>Revenue by Day</a:t>
            </a:r>
            <a:r>
              <a:rPr lang="en-US"/>
              <a:t>l</a:t>
            </a:r>
          </a:p>
        </c:rich>
      </c:tx>
      <c:overlay val="0"/>
      <c:spPr>
        <a:noFill/>
        <a:ln>
          <a:noFill/>
        </a:ln>
        <a:effectLst/>
      </c:spPr>
      <c:txPr>
        <a:bodyPr rot="0" spcFirstLastPara="1" vertOverflow="ellipsis" vert="horz" wrap="square" anchor="ctr" anchorCtr="1"/>
        <a:lstStyle/>
        <a:p>
          <a:pPr>
            <a:defRPr lang="en-US"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Tables'!$G$23</c:f>
              <c:strCache>
                <c:ptCount val="1"/>
                <c:pt idx="0">
                  <c:v>Total</c:v>
                </c:pt>
              </c:strCache>
            </c:strRef>
          </c:tx>
          <c:spPr>
            <a:solidFill>
              <a:schemeClr val="accent1"/>
            </a:solidFill>
            <a:ln>
              <a:noFill/>
            </a:ln>
            <a:effectLst/>
          </c:spPr>
          <c:invertIfNegative val="0"/>
          <c:cat>
            <c:strRef>
              <c:f>'Pivot Tables'!$F$24:$F$28</c:f>
              <c:strCache>
                <c:ptCount val="4"/>
                <c:pt idx="0">
                  <c:v>Sun</c:v>
                </c:pt>
                <c:pt idx="1">
                  <c:v>Thu</c:v>
                </c:pt>
                <c:pt idx="2">
                  <c:v>Fri</c:v>
                </c:pt>
                <c:pt idx="3">
                  <c:v>Sat</c:v>
                </c:pt>
              </c:strCache>
            </c:strRef>
          </c:cat>
          <c:val>
            <c:numRef>
              <c:f>'Pivot Tables'!$G$24:$G$28</c:f>
              <c:numCache>
                <c:formatCode>"$"#,##0.00</c:formatCode>
                <c:ptCount val="4"/>
                <c:pt idx="0">
                  <c:v>2249.44</c:v>
                </c:pt>
                <c:pt idx="1">
                  <c:v>1355.3999999999996</c:v>
                </c:pt>
                <c:pt idx="2">
                  <c:v>1419.0299999999997</c:v>
                </c:pt>
                <c:pt idx="3">
                  <c:v>3430.139999999999</c:v>
                </c:pt>
              </c:numCache>
            </c:numRef>
          </c:val>
          <c:extLst>
            <c:ext xmlns:c16="http://schemas.microsoft.com/office/drawing/2014/chart" uri="{C3380CC4-5D6E-409C-BE32-E72D297353CC}">
              <c16:uniqueId val="{00000000-44E7-4175-B7C2-8FF03741409B}"/>
            </c:ext>
          </c:extLst>
        </c:ser>
        <c:dLbls>
          <c:showLegendKey val="0"/>
          <c:showVal val="0"/>
          <c:showCatName val="0"/>
          <c:showSerName val="0"/>
          <c:showPercent val="0"/>
          <c:showBubbleSize val="0"/>
        </c:dLbls>
        <c:gapWidth val="219"/>
        <c:overlap val="-27"/>
        <c:axId val="1346353119"/>
        <c:axId val="1019133343"/>
      </c:barChart>
      <c:catAx>
        <c:axId val="134635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chemeClr val="tx1">
                    <a:lumMod val="65000"/>
                    <a:lumOff val="35000"/>
                  </a:schemeClr>
                </a:solidFill>
                <a:latin typeface="+mn-lt"/>
                <a:ea typeface="+mn-ea"/>
                <a:cs typeface="+mn-cs"/>
              </a:defRPr>
            </a:pPr>
            <a:endParaRPr lang="en-US"/>
          </a:p>
        </c:txPr>
        <c:crossAx val="1019133343"/>
        <c:crosses val="autoZero"/>
        <c:auto val="1"/>
        <c:lblAlgn val="ctr"/>
        <c:lblOffset val="100"/>
        <c:noMultiLvlLbl val="0"/>
      </c:catAx>
      <c:valAx>
        <c:axId val="1019133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0" i="0" u="none" strike="noStrike" kern="1200" baseline="0">
                <a:solidFill>
                  <a:schemeClr val="tx1">
                    <a:lumMod val="65000"/>
                    <a:lumOff val="35000"/>
                  </a:schemeClr>
                </a:solidFill>
                <a:latin typeface="+mn-lt"/>
                <a:ea typeface="+mn-ea"/>
                <a:cs typeface="+mn-cs"/>
              </a:defRPr>
            </a:pPr>
            <a:endParaRPr lang="en-US"/>
          </a:p>
        </c:txPr>
        <c:crossAx val="134635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[RestaurantChecks.xlsx]Pivot Tables!ptMealRevenue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Meal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doughnutChart>
        <c:varyColors val="1"/>
        <c:ser>
          <c:idx val="0"/>
          <c:order val="0"/>
          <c:tx>
            <c:strRef>
              <c:f>'Pivot Tables'!$C$15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05-4EA7-A390-42D3F6412C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05-4EA7-A390-42D3F6412C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05-4EA7-A390-42D3F6412C12}"/>
              </c:ext>
            </c:extLst>
          </c:dPt>
          <c:cat>
            <c:strRef>
              <c:f>'Pivot Tables'!$B$16:$B$19</c:f>
              <c:strCache>
                <c:ptCount val="3"/>
                <c:pt idx="0">
                  <c:v>Breakfast</c:v>
                </c:pt>
                <c:pt idx="1">
                  <c:v>Dinner</c:v>
                </c:pt>
                <c:pt idx="2">
                  <c:v>Lunch</c:v>
                </c:pt>
              </c:strCache>
            </c:strRef>
          </c:cat>
          <c:val>
            <c:numRef>
              <c:f>'Pivot Tables'!$C$16:$C$19</c:f>
              <c:numCache>
                <c:formatCode>"$"#,##0.00</c:formatCode>
                <c:ptCount val="3"/>
                <c:pt idx="0">
                  <c:v>726.43</c:v>
                </c:pt>
                <c:pt idx="1">
                  <c:v>3291.1099999999988</c:v>
                </c:pt>
                <c:pt idx="2">
                  <c:v>4436.4700000000021</c:v>
                </c:pt>
              </c:numCache>
            </c:numRef>
          </c:val>
          <c:extLst>
            <c:ext xmlns:c16="http://schemas.microsoft.com/office/drawing/2014/chart" uri="{C3380CC4-5D6E-409C-BE32-E72D297353CC}">
              <c16:uniqueId val="{00000006-9505-4EA7-A390-42D3F6412C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[RestaurantChecks.xlsx]Pivot Tables!ptPartyRevenue.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Party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Tables'!$C$33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B6-4F30-B0AF-05EDAD3EE5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B6-4F30-B0AF-05EDAD3EE5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B6-4F30-B0AF-05EDAD3EE5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B6-4F30-B0AF-05EDAD3EE5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B6-4F30-B0AF-05EDAD3EE5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7B6-4F30-B0AF-05EDAD3EE5B7}"/>
              </c:ext>
            </c:extLst>
          </c:dPt>
          <c:cat>
            <c:strRef>
              <c:f>'Pivot Tables'!$B$34:$B$40</c:f>
              <c:strCache>
                <c:ptCount val="6"/>
                <c:pt idx="0">
                  <c:v>1</c:v>
                </c:pt>
                <c:pt idx="1">
                  <c:v>2</c:v>
                </c:pt>
                <c:pt idx="2">
                  <c:v>3</c:v>
                </c:pt>
                <c:pt idx="3">
                  <c:v>4</c:v>
                </c:pt>
                <c:pt idx="4">
                  <c:v>5</c:v>
                </c:pt>
                <c:pt idx="5">
                  <c:v>6</c:v>
                </c:pt>
              </c:strCache>
            </c:strRef>
          </c:cat>
          <c:val>
            <c:numRef>
              <c:f>'Pivot Tables'!$C$34:$C$40</c:f>
              <c:numCache>
                <c:formatCode>"$"#,##0.00</c:formatCode>
                <c:ptCount val="6"/>
                <c:pt idx="0">
                  <c:v>106.77</c:v>
                </c:pt>
                <c:pt idx="1">
                  <c:v>4083.5299999999997</c:v>
                </c:pt>
                <c:pt idx="2">
                  <c:v>1631.6399999999994</c:v>
                </c:pt>
                <c:pt idx="3">
                  <c:v>1807.0800000000004</c:v>
                </c:pt>
                <c:pt idx="4">
                  <c:v>552.57000000000005</c:v>
                </c:pt>
                <c:pt idx="5">
                  <c:v>272.42</c:v>
                </c:pt>
              </c:numCache>
            </c:numRef>
          </c:val>
          <c:extLst>
            <c:ext xmlns:c16="http://schemas.microsoft.com/office/drawing/2014/chart" uri="{C3380CC4-5D6E-409C-BE32-E72D297353CC}">
              <c16:uniqueId val="{0000000C-F7B6-4F30-B0AF-05EDAD3EE5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[RestaurantChecks.xlsx]Pivot Tables!ptPaymentAnalysis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Tables'!$C$23</c:f>
              <c:strCache>
                <c:ptCount val="1"/>
                <c:pt idx="0">
                  <c:v>Total</c:v>
                </c:pt>
              </c:strCache>
            </c:strRef>
          </c:tx>
          <c:spPr>
            <a:solidFill>
              <a:schemeClr val="accent1"/>
            </a:solidFill>
            <a:ln>
              <a:noFill/>
            </a:ln>
            <a:effectLst/>
          </c:spPr>
          <c:invertIfNegative val="0"/>
          <c:cat>
            <c:strRef>
              <c:f>'Pivot Tables'!$B$24:$B$26</c:f>
              <c:strCache>
                <c:ptCount val="2"/>
                <c:pt idx="0">
                  <c:v>Card</c:v>
                </c:pt>
                <c:pt idx="1">
                  <c:v>Cash</c:v>
                </c:pt>
              </c:strCache>
            </c:strRef>
          </c:cat>
          <c:val>
            <c:numRef>
              <c:f>'Pivot Tables'!$C$24:$C$26</c:f>
              <c:numCache>
                <c:formatCode>"$"#,##0.00</c:formatCode>
                <c:ptCount val="2"/>
                <c:pt idx="0">
                  <c:v>6458.4400000000005</c:v>
                </c:pt>
                <c:pt idx="1">
                  <c:v>1995.5700000000002</c:v>
                </c:pt>
              </c:numCache>
            </c:numRef>
          </c:val>
          <c:extLst>
            <c:ext xmlns:c16="http://schemas.microsoft.com/office/drawing/2014/chart" uri="{C3380CC4-5D6E-409C-BE32-E72D297353CC}">
              <c16:uniqueId val="{00000003-74C1-4DC9-8129-58AD1B3CAF5A}"/>
            </c:ext>
          </c:extLst>
        </c:ser>
        <c:dLbls>
          <c:showLegendKey val="0"/>
          <c:showVal val="0"/>
          <c:showCatName val="0"/>
          <c:showSerName val="0"/>
          <c:showPercent val="0"/>
          <c:showBubbleSize val="0"/>
        </c:dLbls>
        <c:gapWidth val="219"/>
        <c:overlap val="-27"/>
        <c:axId val="1494195407"/>
        <c:axId val="1459823327"/>
      </c:barChart>
      <c:catAx>
        <c:axId val="149419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823327"/>
        <c:crosses val="autoZero"/>
        <c:auto val="1"/>
        <c:lblAlgn val="ctr"/>
        <c:lblOffset val="100"/>
        <c:noMultiLvlLbl val="0"/>
      </c:catAx>
      <c:valAx>
        <c:axId val="1459823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19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[RestaurantChecks.xlsx]Pivot Tables!ptRevenueTier</c:name>
    <c:fmtId val="4"/>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Revenue By Tire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Tables'!$G$15</c:f>
              <c:strCache>
                <c:ptCount val="1"/>
                <c:pt idx="0">
                  <c:v>Total</c:v>
                </c:pt>
              </c:strCache>
            </c:strRef>
          </c:tx>
          <c:spPr>
            <a:solidFill>
              <a:schemeClr val="accent1"/>
            </a:solidFill>
            <a:ln>
              <a:noFill/>
            </a:ln>
            <a:effectLst/>
          </c:spPr>
          <c:invertIfNegative val="0"/>
          <c:cat>
            <c:strRef>
              <c:f>'Pivot Tables'!$F$16:$F$20</c:f>
              <c:strCache>
                <c:ptCount val="4"/>
                <c:pt idx="0">
                  <c:v>1</c:v>
                </c:pt>
                <c:pt idx="1">
                  <c:v>2</c:v>
                </c:pt>
                <c:pt idx="2">
                  <c:v>3</c:v>
                </c:pt>
                <c:pt idx="3">
                  <c:v>4</c:v>
                </c:pt>
              </c:strCache>
            </c:strRef>
          </c:cat>
          <c:val>
            <c:numRef>
              <c:f>'Pivot Tables'!$G$16:$G$20</c:f>
              <c:numCache>
                <c:formatCode>General</c:formatCode>
                <c:ptCount val="4"/>
                <c:pt idx="0">
                  <c:v>102</c:v>
                </c:pt>
                <c:pt idx="1">
                  <c:v>127</c:v>
                </c:pt>
                <c:pt idx="2">
                  <c:v>32</c:v>
                </c:pt>
                <c:pt idx="3">
                  <c:v>6</c:v>
                </c:pt>
              </c:numCache>
            </c:numRef>
          </c:val>
          <c:extLst>
            <c:ext xmlns:c16="http://schemas.microsoft.com/office/drawing/2014/chart" uri="{C3380CC4-5D6E-409C-BE32-E72D297353CC}">
              <c16:uniqueId val="{00000000-3E1B-438F-8C92-556ABF57DEA7}"/>
            </c:ext>
          </c:extLst>
        </c:ser>
        <c:dLbls>
          <c:showLegendKey val="0"/>
          <c:showVal val="0"/>
          <c:showCatName val="0"/>
          <c:showSerName val="0"/>
          <c:showPercent val="0"/>
          <c:showBubbleSize val="0"/>
        </c:dLbls>
        <c:gapWidth val="219"/>
        <c:overlap val="-27"/>
        <c:axId val="1486577519"/>
        <c:axId val="1495623167"/>
      </c:barChart>
      <c:catAx>
        <c:axId val="14865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23167"/>
        <c:crosses val="autoZero"/>
        <c:auto val="1"/>
        <c:lblAlgn val="ctr"/>
        <c:lblOffset val="100"/>
        <c:noMultiLvlLbl val="0"/>
      </c:catAx>
      <c:valAx>
        <c:axId val="149562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663575</xdr:colOff>
      <xdr:row>26</xdr:row>
      <xdr:rowOff>238125</xdr:rowOff>
    </xdr:from>
    <xdr:to>
      <xdr:col>6</xdr:col>
      <xdr:colOff>419099</xdr:colOff>
      <xdr:row>36</xdr:row>
      <xdr:rowOff>200024</xdr:rowOff>
    </xdr:to>
    <xdr:graphicFrame macro="">
      <xdr:nvGraphicFramePr>
        <xdr:cNvPr id="3" name="Chart 2">
          <a:extLst>
            <a:ext uri="{FF2B5EF4-FFF2-40B4-BE49-F238E27FC236}">
              <a16:creationId xmlns:a16="http://schemas.microsoft.com/office/drawing/2014/main" id="{38EE764E-70F2-4D9B-AA19-C310F1D4B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659341</xdr:colOff>
      <xdr:row>72</xdr:row>
      <xdr:rowOff>19050</xdr:rowOff>
    </xdr:from>
    <xdr:to>
      <xdr:col>6</xdr:col>
      <xdr:colOff>542925</xdr:colOff>
      <xdr:row>81</xdr:row>
      <xdr:rowOff>28575</xdr:rowOff>
    </xdr:to>
    <xdr:graphicFrame macro="">
      <xdr:nvGraphicFramePr>
        <xdr:cNvPr id="4" name="Chart 3">
          <a:extLst>
            <a:ext uri="{FF2B5EF4-FFF2-40B4-BE49-F238E27FC236}">
              <a16:creationId xmlns:a16="http://schemas.microsoft.com/office/drawing/2014/main" id="{843D53A6-3254-43BF-9F44-A0127F9E0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619126</xdr:colOff>
      <xdr:row>15</xdr:row>
      <xdr:rowOff>9527</xdr:rowOff>
    </xdr:from>
    <xdr:to>
      <xdr:col>6</xdr:col>
      <xdr:colOff>400050</xdr:colOff>
      <xdr:row>25</xdr:row>
      <xdr:rowOff>38100</xdr:rowOff>
    </xdr:to>
    <xdr:graphicFrame macro="">
      <xdr:nvGraphicFramePr>
        <xdr:cNvPr id="5" name="Chart 4">
          <a:extLst>
            <a:ext uri="{FF2B5EF4-FFF2-40B4-BE49-F238E27FC236}">
              <a16:creationId xmlns:a16="http://schemas.microsoft.com/office/drawing/2014/main" id="{B36C0B66-F94E-4AA3-8840-0639F1424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571500</xdr:colOff>
      <xdr:row>7</xdr:row>
      <xdr:rowOff>0</xdr:rowOff>
    </xdr:from>
    <xdr:to>
      <xdr:col>5</xdr:col>
      <xdr:colOff>51435</xdr:colOff>
      <xdr:row>13</xdr:row>
      <xdr:rowOff>160020</xdr:rowOff>
    </xdr:to>
    <mc:AlternateContent xmlns:mc="http://schemas.openxmlformats.org/markup-compatibility/2006">
      <mc:Choice xmlns:a14="http://schemas.microsoft.com/office/drawing/2010/main" Requires="a14">
        <xdr:graphicFrame macro="">
          <xdr:nvGraphicFramePr>
            <xdr:cNvPr id="9" name="Day">
              <a:extLst>
                <a:ext uri="{FF2B5EF4-FFF2-40B4-BE49-F238E27FC236}">
                  <a16:creationId xmlns:a16="http://schemas.microsoft.com/office/drawing/2014/main" id="{4FBCFAF8-1637-4E69-9796-9B6CF2EB8084}"/>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3495675" y="1676400"/>
              <a:ext cx="128016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790575</xdr:colOff>
      <xdr:row>7</xdr:row>
      <xdr:rowOff>9526</xdr:rowOff>
    </xdr:from>
    <xdr:to>
      <xdr:col>3</xdr:col>
      <xdr:colOff>260985</xdr:colOff>
      <xdr:row>13</xdr:row>
      <xdr:rowOff>169546</xdr:rowOff>
    </xdr:to>
    <mc:AlternateContent xmlns:mc="http://schemas.openxmlformats.org/markup-compatibility/2006">
      <mc:Choice xmlns:a14="http://schemas.microsoft.com/office/drawing/2010/main" Requires="a14">
        <xdr:graphicFrame macro="">
          <xdr:nvGraphicFramePr>
            <xdr:cNvPr id="10" name="Time">
              <a:extLst>
                <a:ext uri="{FF2B5EF4-FFF2-40B4-BE49-F238E27FC236}">
                  <a16:creationId xmlns:a16="http://schemas.microsoft.com/office/drawing/2014/main" id="{92FA982A-5C65-46C1-94F3-71F76DB4BCC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1905000" y="1685926"/>
              <a:ext cx="128016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7</xdr:row>
      <xdr:rowOff>9525</xdr:rowOff>
    </xdr:from>
    <xdr:to>
      <xdr:col>1</xdr:col>
      <xdr:colOff>499110</xdr:colOff>
      <xdr:row>13</xdr:row>
      <xdr:rowOff>169545</xdr:rowOff>
    </xdr:to>
    <mc:AlternateContent xmlns:mc="http://schemas.openxmlformats.org/markup-compatibility/2006">
      <mc:Choice xmlns:a14="http://schemas.microsoft.com/office/drawing/2010/main" Requires="a14">
        <xdr:graphicFrame macro="">
          <xdr:nvGraphicFramePr>
            <xdr:cNvPr id="11" name="Server">
              <a:extLst>
                <a:ext uri="{FF2B5EF4-FFF2-40B4-BE49-F238E27FC236}">
                  <a16:creationId xmlns:a16="http://schemas.microsoft.com/office/drawing/2014/main" id="{C0B6858E-042B-41F9-BD18-06C79BE573A3}"/>
                </a:ext>
              </a:extLst>
            </xdr:cNvPr>
            <xdr:cNvGraphicFramePr/>
          </xdr:nvGraphicFramePr>
          <xdr:xfrm>
            <a:off x="0" y="0"/>
            <a:ext cx="0" cy="0"/>
          </xdr:xfrm>
          <a:graphic>
            <a:graphicData uri="http://schemas.microsoft.com/office/drawing/2010/slicer">
              <sle:slicer xmlns:sle="http://schemas.microsoft.com/office/drawing/2010/slicer" name="Server"/>
            </a:graphicData>
          </a:graphic>
        </xdr:graphicFrame>
      </mc:Choice>
      <mc:Fallback>
        <xdr:sp macro="" textlink="">
          <xdr:nvSpPr>
            <xdr:cNvPr id="0" name=""/>
            <xdr:cNvSpPr>
              <a:spLocks noTextEdit="1"/>
            </xdr:cNvSpPr>
          </xdr:nvSpPr>
          <xdr:spPr>
            <a:xfrm>
              <a:off x="333375" y="1685925"/>
              <a:ext cx="128016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409575</xdr:colOff>
      <xdr:row>6</xdr:row>
      <xdr:rowOff>238125</xdr:rowOff>
    </xdr:from>
    <xdr:to>
      <xdr:col>6</xdr:col>
      <xdr:colOff>461010</xdr:colOff>
      <xdr:row>13</xdr:row>
      <xdr:rowOff>150495</xdr:rowOff>
    </xdr:to>
    <mc:AlternateContent xmlns:mc="http://schemas.openxmlformats.org/markup-compatibility/2006">
      <mc:Choice xmlns:a14="http://schemas.microsoft.com/office/drawing/2010/main" Requires="a14">
        <xdr:graphicFrame macro="">
          <xdr:nvGraphicFramePr>
            <xdr:cNvPr id="12" name="Payment Type">
              <a:extLst>
                <a:ext uri="{FF2B5EF4-FFF2-40B4-BE49-F238E27FC236}">
                  <a16:creationId xmlns:a16="http://schemas.microsoft.com/office/drawing/2014/main" id="{549F526C-2BC8-4C7C-9588-69EFCFA49BCE}"/>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dr:sp macro="" textlink="">
          <xdr:nvSpPr>
            <xdr:cNvPr id="0" name=""/>
            <xdr:cNvSpPr>
              <a:spLocks noTextEdit="1"/>
            </xdr:cNvSpPr>
          </xdr:nvSpPr>
          <xdr:spPr>
            <a:xfrm>
              <a:off x="5133975" y="1666875"/>
              <a:ext cx="128016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704849</xdr:colOff>
      <xdr:row>41</xdr:row>
      <xdr:rowOff>228601</xdr:rowOff>
    </xdr:from>
    <xdr:to>
      <xdr:col>6</xdr:col>
      <xdr:colOff>495299</xdr:colOff>
      <xdr:row>51</xdr:row>
      <xdr:rowOff>1</xdr:rowOff>
    </xdr:to>
    <xdr:graphicFrame macro="">
      <xdr:nvGraphicFramePr>
        <xdr:cNvPr id="13" name="Chart 12">
          <a:extLst>
            <a:ext uri="{FF2B5EF4-FFF2-40B4-BE49-F238E27FC236}">
              <a16:creationId xmlns:a16="http://schemas.microsoft.com/office/drawing/2014/main" id="{98E9151D-5BAC-492F-9E1A-94E3DD02B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704850</xdr:colOff>
      <xdr:row>61</xdr:row>
      <xdr:rowOff>190500</xdr:rowOff>
    </xdr:from>
    <xdr:to>
      <xdr:col>6</xdr:col>
      <xdr:colOff>695324</xdr:colOff>
      <xdr:row>71</xdr:row>
      <xdr:rowOff>28575</xdr:rowOff>
    </xdr:to>
    <xdr:graphicFrame macro="">
      <xdr:nvGraphicFramePr>
        <xdr:cNvPr id="14" name="Chart 13">
          <a:extLst>
            <a:ext uri="{FF2B5EF4-FFF2-40B4-BE49-F238E27FC236}">
              <a16:creationId xmlns:a16="http://schemas.microsoft.com/office/drawing/2014/main" id="{E285050D-EAA1-48B2-9897-F1DE35D07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695324</xdr:colOff>
      <xdr:row>52</xdr:row>
      <xdr:rowOff>9525</xdr:rowOff>
    </xdr:from>
    <xdr:to>
      <xdr:col>6</xdr:col>
      <xdr:colOff>561974</xdr:colOff>
      <xdr:row>60</xdr:row>
      <xdr:rowOff>209549</xdr:rowOff>
    </xdr:to>
    <xdr:graphicFrame macro="">
      <xdr:nvGraphicFramePr>
        <xdr:cNvPr id="15" name="Chart 14">
          <a:extLst>
            <a:ext uri="{FF2B5EF4-FFF2-40B4-BE49-F238E27FC236}">
              <a16:creationId xmlns:a16="http://schemas.microsoft.com/office/drawing/2014/main" id="{967E4B55-736D-44B8-9D39-FBEDFDE83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bir" refreshedDate="46205.817571296298" createdVersion="8" refreshedVersion="8" minRefreshableVersion="3" recordCount="267" xr:uid="{3C53105E-1327-4A89-A63D-E6D5CF581313}">
  <cacheSource type="worksheet">
    <worksheetSource name="tblRestaurant"/>
  </cacheSource>
  <cacheFields count="20">
    <cacheField name="Check #" numFmtId="0">
      <sharedItems containsSemiMixedTypes="0" containsString="0" containsNumber="1" containsInteger="1" minValue="1" maxValue="267" count="26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sharedItems>
    </cacheField>
    <cacheField name="Date" numFmtId="14">
      <sharedItems containsSemiMixedTypes="0" containsNonDate="0" containsDate="1" containsString="0" minDate="2025-01-02T00:00:00" maxDate="2025-01-20T00:00:00"/>
    </cacheField>
    <cacheField name="Day" numFmtId="0">
      <sharedItems count="4">
        <s v="Thu"/>
        <s v="Fri"/>
        <s v="Sat"/>
        <s v="Sun"/>
      </sharedItems>
    </cacheField>
    <cacheField name="Time" numFmtId="0">
      <sharedItems count="3">
        <s v="Lunch"/>
        <s v="Dinner"/>
        <s v="Breakfast"/>
      </sharedItems>
    </cacheField>
    <cacheField name="Server" numFmtId="0">
      <sharedItems count="4">
        <s v="Dennis"/>
        <s v="Charlie"/>
        <s v="Mac"/>
        <s v="Dee"/>
      </sharedItems>
    </cacheField>
    <cacheField name="Party Size" numFmtId="0">
      <sharedItems containsSemiMixedTypes="0" containsString="0" containsNumber="1" containsInteger="1" minValue="1" maxValue="6" count="6">
        <n v="2"/>
        <n v="3"/>
        <n v="4"/>
        <n v="1"/>
        <n v="6"/>
        <n v="5"/>
      </sharedItems>
    </cacheField>
    <cacheField name="Total Bill" numFmtId="164">
      <sharedItems containsSemiMixedTypes="0" containsString="0" containsNumber="1" minValue="3.84" maxValue="98.61"/>
    </cacheField>
    <cacheField name="Tip %" numFmtId="9">
      <sharedItems containsSemiMixedTypes="0" containsString="0" containsNumber="1" minValue="0.1" maxValue="0.25"/>
    </cacheField>
    <cacheField name="Cash" numFmtId="0">
      <sharedItems/>
    </cacheField>
    <cacheField name="Tip Amount ($)" numFmtId="164">
      <sharedItems containsSemiMixedTypes="0" containsString="0" containsNumber="1" minValue="0.60000000000000009" maxValue="17.7498"/>
    </cacheField>
    <cacheField name="Payment Type" numFmtId="0">
      <sharedItems count="2">
        <s v="Card"/>
        <s v="Cash"/>
      </sharedItems>
    </cacheField>
    <cacheField name="Bill Category" numFmtId="0">
      <sharedItems/>
    </cacheField>
    <cacheField name="Party Category" numFmtId="0">
      <sharedItems/>
    </cacheField>
    <cacheField name="Month" numFmtId="0">
      <sharedItems/>
    </cacheField>
    <cacheField name="Week Number" numFmtId="0">
      <sharedItems containsSemiMixedTypes="0" containsString="0" containsNumber="1" containsInteger="1" minValue="1" maxValue="4"/>
    </cacheField>
    <cacheField name="Weekend" numFmtId="0">
      <sharedItems/>
    </cacheField>
    <cacheField name="Weekday" numFmtId="0">
      <sharedItems/>
    </cacheField>
    <cacheField name="Revenue Tier" numFmtId="0">
      <sharedItems count="4">
        <s v="Bronze"/>
        <s v="Silver"/>
        <s v="Gold"/>
        <s v="Platinum"/>
      </sharedItems>
    </cacheField>
    <cacheField name="Tier Order No" numFmtId="0">
      <sharedItems containsSemiMixedTypes="0" containsString="0" containsNumber="1" containsInteger="1" minValue="1" maxValue="4" count="4">
        <n v="1"/>
        <n v="2"/>
        <n v="3"/>
        <n v="4"/>
      </sharedItems>
    </cacheField>
    <cacheField name="Average Spend Per Person" numFmtId="164">
      <sharedItems containsSemiMixedTypes="0" containsString="0" containsNumber="1" minValue="2.42" maxValue="52.305"/>
    </cacheField>
  </cacheFields>
  <extLst>
    <ext xmlns:x14="http://schemas.microsoft.com/office/spreadsheetml/2009/9/main" uri="{725AE2AE-9491-48be-B2B4-4EB974FC3084}">
      <x14:pivotCacheDefinition pivotCacheId="1761775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
  <r>
    <x v="0"/>
    <d v="2025-01-02T00:00:00"/>
    <x v="0"/>
    <x v="0"/>
    <x v="0"/>
    <x v="0"/>
    <n v="19.3"/>
    <n v="0.2"/>
    <b v="0"/>
    <n v="3.8600000000000003"/>
    <x v="0"/>
    <s v="Low"/>
    <s v="Small"/>
    <s v="January"/>
    <n v="1"/>
    <s v="Weekday"/>
    <s v="Weekday"/>
    <x v="0"/>
    <x v="0"/>
    <n v="10.65"/>
  </r>
  <r>
    <x v="1"/>
    <d v="2025-01-02T00:00:00"/>
    <x v="0"/>
    <x v="0"/>
    <x v="1"/>
    <x v="1"/>
    <n v="29.51"/>
    <n v="0.2"/>
    <b v="1"/>
    <n v="5.902000000000001"/>
    <x v="1"/>
    <s v="Medium"/>
    <s v="Medium"/>
    <s v="January"/>
    <n v="1"/>
    <s v="Weekday"/>
    <s v="Weekday"/>
    <x v="1"/>
    <x v="1"/>
    <n v="16.255000000000003"/>
  </r>
  <r>
    <x v="2"/>
    <d v="2025-01-02T00:00:00"/>
    <x v="0"/>
    <x v="0"/>
    <x v="0"/>
    <x v="1"/>
    <n v="37.950000000000003"/>
    <n v="0.18"/>
    <b v="0"/>
    <n v="6.8310000000000004"/>
    <x v="0"/>
    <s v="Medium"/>
    <s v="Medium"/>
    <s v="January"/>
    <n v="1"/>
    <s v="Weekday"/>
    <s v="Weekday"/>
    <x v="1"/>
    <x v="1"/>
    <n v="20.475000000000001"/>
  </r>
  <r>
    <x v="3"/>
    <d v="2025-01-02T00:00:00"/>
    <x v="0"/>
    <x v="0"/>
    <x v="2"/>
    <x v="0"/>
    <n v="33.909999999999997"/>
    <n v="0.2"/>
    <b v="0"/>
    <n v="6.782"/>
    <x v="0"/>
    <s v="Medium"/>
    <s v="Small"/>
    <s v="January"/>
    <n v="1"/>
    <s v="Weekday"/>
    <s v="Weekday"/>
    <x v="1"/>
    <x v="1"/>
    <n v="17.954999999999998"/>
  </r>
  <r>
    <x v="4"/>
    <d v="2025-01-02T00:00:00"/>
    <x v="0"/>
    <x v="0"/>
    <x v="0"/>
    <x v="2"/>
    <n v="69.37"/>
    <n v="0.2"/>
    <b v="0"/>
    <n v="13.874000000000002"/>
    <x v="0"/>
    <s v="High"/>
    <s v="Medium"/>
    <s v="January"/>
    <n v="1"/>
    <s v="Weekday"/>
    <s v="Weekday"/>
    <x v="2"/>
    <x v="2"/>
    <n v="36.685000000000002"/>
  </r>
  <r>
    <x v="5"/>
    <d v="2025-01-02T00:00:00"/>
    <x v="0"/>
    <x v="0"/>
    <x v="1"/>
    <x v="2"/>
    <n v="52.8"/>
    <n v="0.15"/>
    <b v="1"/>
    <n v="7.919999999999999"/>
    <x v="1"/>
    <s v="High"/>
    <s v="Medium"/>
    <s v="January"/>
    <n v="1"/>
    <s v="Weekday"/>
    <s v="Weekday"/>
    <x v="2"/>
    <x v="2"/>
    <n v="28.4"/>
  </r>
  <r>
    <x v="6"/>
    <d v="2025-01-02T00:00:00"/>
    <x v="0"/>
    <x v="0"/>
    <x v="1"/>
    <x v="0"/>
    <n v="26.56"/>
    <n v="0.2"/>
    <b v="1"/>
    <n v="5.3120000000000003"/>
    <x v="1"/>
    <s v="Medium"/>
    <s v="Small"/>
    <s v="January"/>
    <n v="1"/>
    <s v="Weekday"/>
    <s v="Weekday"/>
    <x v="1"/>
    <x v="1"/>
    <n v="14.28"/>
  </r>
  <r>
    <x v="7"/>
    <d v="2025-01-02T00:00:00"/>
    <x v="0"/>
    <x v="0"/>
    <x v="0"/>
    <x v="2"/>
    <n v="28.17"/>
    <n v="0.18"/>
    <b v="0"/>
    <n v="5.0705999999999998"/>
    <x v="0"/>
    <s v="Medium"/>
    <s v="Medium"/>
    <s v="January"/>
    <n v="1"/>
    <s v="Weekday"/>
    <s v="Weekday"/>
    <x v="1"/>
    <x v="1"/>
    <n v="16.085000000000001"/>
  </r>
  <r>
    <x v="8"/>
    <d v="2025-01-02T00:00:00"/>
    <x v="0"/>
    <x v="0"/>
    <x v="3"/>
    <x v="0"/>
    <n v="27.36"/>
    <n v="0.18"/>
    <b v="0"/>
    <n v="4.9247999999999994"/>
    <x v="0"/>
    <s v="Medium"/>
    <s v="Small"/>
    <s v="January"/>
    <n v="1"/>
    <s v="Weekday"/>
    <s v="Weekday"/>
    <x v="1"/>
    <x v="1"/>
    <n v="14.68"/>
  </r>
  <r>
    <x v="9"/>
    <d v="2025-01-02T00:00:00"/>
    <x v="0"/>
    <x v="0"/>
    <x v="2"/>
    <x v="0"/>
    <n v="32.07"/>
    <n v="0.18"/>
    <b v="0"/>
    <n v="5.7725999999999997"/>
    <x v="0"/>
    <s v="Medium"/>
    <s v="Small"/>
    <s v="January"/>
    <n v="1"/>
    <s v="Weekday"/>
    <s v="Weekday"/>
    <x v="1"/>
    <x v="1"/>
    <n v="17.035"/>
  </r>
  <r>
    <x v="10"/>
    <d v="2025-01-02T00:00:00"/>
    <x v="0"/>
    <x v="0"/>
    <x v="3"/>
    <x v="0"/>
    <n v="27.14"/>
    <n v="0.2"/>
    <b v="1"/>
    <n v="5.4280000000000008"/>
    <x v="1"/>
    <s v="Medium"/>
    <s v="Small"/>
    <s v="January"/>
    <n v="1"/>
    <s v="Weekday"/>
    <s v="Weekday"/>
    <x v="1"/>
    <x v="1"/>
    <n v="14.57"/>
  </r>
  <r>
    <x v="11"/>
    <d v="2025-01-02T00:00:00"/>
    <x v="0"/>
    <x v="0"/>
    <x v="1"/>
    <x v="2"/>
    <n v="49.93"/>
    <n v="0.18"/>
    <b v="0"/>
    <n v="8.9873999999999992"/>
    <x v="0"/>
    <s v="Medium"/>
    <s v="Medium"/>
    <s v="January"/>
    <n v="1"/>
    <s v="Weekday"/>
    <s v="Weekday"/>
    <x v="1"/>
    <x v="1"/>
    <n v="26.965"/>
  </r>
  <r>
    <x v="12"/>
    <d v="2025-01-02T00:00:00"/>
    <x v="0"/>
    <x v="0"/>
    <x v="2"/>
    <x v="0"/>
    <n v="39.090000000000003"/>
    <n v="0.2"/>
    <b v="0"/>
    <n v="7.8180000000000014"/>
    <x v="0"/>
    <s v="Medium"/>
    <s v="Small"/>
    <s v="January"/>
    <n v="1"/>
    <s v="Weekday"/>
    <s v="Weekday"/>
    <x v="1"/>
    <x v="1"/>
    <n v="20.545000000000002"/>
  </r>
  <r>
    <x v="13"/>
    <d v="2025-01-02T00:00:00"/>
    <x v="0"/>
    <x v="0"/>
    <x v="3"/>
    <x v="2"/>
    <n v="53.5"/>
    <n v="0.18"/>
    <b v="1"/>
    <n v="9.629999999999999"/>
    <x v="1"/>
    <s v="High"/>
    <s v="Medium"/>
    <s v="January"/>
    <n v="1"/>
    <s v="Weekday"/>
    <s v="Weekday"/>
    <x v="2"/>
    <x v="2"/>
    <n v="28.75"/>
  </r>
  <r>
    <x v="14"/>
    <d v="2025-01-02T00:00:00"/>
    <x v="0"/>
    <x v="0"/>
    <x v="2"/>
    <x v="0"/>
    <n v="36.42"/>
    <n v="0.18"/>
    <b v="0"/>
    <n v="6.5556000000000001"/>
    <x v="0"/>
    <s v="Medium"/>
    <s v="Small"/>
    <s v="January"/>
    <n v="1"/>
    <s v="Weekday"/>
    <s v="Weekday"/>
    <x v="1"/>
    <x v="1"/>
    <n v="19.21"/>
  </r>
  <r>
    <x v="15"/>
    <d v="2025-01-02T00:00:00"/>
    <x v="0"/>
    <x v="0"/>
    <x v="0"/>
    <x v="0"/>
    <n v="29.41"/>
    <n v="0.18"/>
    <b v="0"/>
    <n v="5.2938000000000001"/>
    <x v="0"/>
    <s v="Medium"/>
    <s v="Small"/>
    <s v="January"/>
    <n v="1"/>
    <s v="Weekday"/>
    <s v="Weekday"/>
    <x v="1"/>
    <x v="1"/>
    <n v="15.705"/>
  </r>
  <r>
    <x v="16"/>
    <d v="2025-01-02T00:00:00"/>
    <x v="0"/>
    <x v="0"/>
    <x v="0"/>
    <x v="1"/>
    <n v="19.36"/>
    <n v="0.18"/>
    <b v="0"/>
    <n v="3.4847999999999999"/>
    <x v="0"/>
    <s v="Low"/>
    <s v="Medium"/>
    <s v="January"/>
    <n v="1"/>
    <s v="Weekday"/>
    <s v="Weekday"/>
    <x v="0"/>
    <x v="0"/>
    <n v="11.18"/>
  </r>
  <r>
    <x v="17"/>
    <d v="2025-01-02T00:00:00"/>
    <x v="0"/>
    <x v="0"/>
    <x v="0"/>
    <x v="1"/>
    <n v="33.82"/>
    <n v="0.15"/>
    <b v="0"/>
    <n v="5.0729999999999995"/>
    <x v="0"/>
    <s v="Medium"/>
    <s v="Medium"/>
    <s v="January"/>
    <n v="1"/>
    <s v="Weekday"/>
    <s v="Weekday"/>
    <x v="1"/>
    <x v="1"/>
    <n v="18.41"/>
  </r>
  <r>
    <x v="18"/>
    <d v="2025-01-02T00:00:00"/>
    <x v="0"/>
    <x v="0"/>
    <x v="1"/>
    <x v="1"/>
    <n v="39.97"/>
    <n v="0.15"/>
    <b v="0"/>
    <n v="5.9954999999999998"/>
    <x v="0"/>
    <s v="Medium"/>
    <s v="Medium"/>
    <s v="January"/>
    <n v="1"/>
    <s v="Weekday"/>
    <s v="Weekday"/>
    <x v="1"/>
    <x v="1"/>
    <n v="21.484999999999999"/>
  </r>
  <r>
    <x v="19"/>
    <d v="2025-01-03T00:00:00"/>
    <x v="1"/>
    <x v="0"/>
    <x v="2"/>
    <x v="1"/>
    <n v="28"/>
    <n v="0.2"/>
    <b v="0"/>
    <n v="5.6000000000000005"/>
    <x v="0"/>
    <s v="Medium"/>
    <s v="Medium"/>
    <s v="January"/>
    <n v="1"/>
    <s v="Weekday"/>
    <s v="Weekday"/>
    <x v="1"/>
    <x v="1"/>
    <n v="15.5"/>
  </r>
  <r>
    <x v="20"/>
    <d v="2025-01-03T00:00:00"/>
    <x v="1"/>
    <x v="0"/>
    <x v="2"/>
    <x v="0"/>
    <n v="27.65"/>
    <n v="0.2"/>
    <b v="0"/>
    <n v="5.53"/>
    <x v="0"/>
    <s v="Medium"/>
    <s v="Small"/>
    <s v="January"/>
    <n v="1"/>
    <s v="Weekday"/>
    <s v="Weekday"/>
    <x v="1"/>
    <x v="1"/>
    <n v="14.824999999999999"/>
  </r>
  <r>
    <x v="21"/>
    <d v="2025-01-03T00:00:00"/>
    <x v="1"/>
    <x v="0"/>
    <x v="0"/>
    <x v="0"/>
    <n v="14.37"/>
    <n v="0.18"/>
    <b v="0"/>
    <n v="2.5865999999999998"/>
    <x v="0"/>
    <s v="Low"/>
    <s v="Small"/>
    <s v="January"/>
    <n v="1"/>
    <s v="Weekday"/>
    <s v="Weekday"/>
    <x v="0"/>
    <x v="0"/>
    <n v="8.1849999999999987"/>
  </r>
  <r>
    <x v="22"/>
    <d v="2025-01-03T00:00:00"/>
    <x v="1"/>
    <x v="0"/>
    <x v="3"/>
    <x v="0"/>
    <n v="10.63"/>
    <n v="0.2"/>
    <b v="0"/>
    <n v="2.1260000000000003"/>
    <x v="0"/>
    <s v="Low"/>
    <s v="Small"/>
    <s v="January"/>
    <n v="1"/>
    <s v="Weekday"/>
    <s v="Weekday"/>
    <x v="0"/>
    <x v="0"/>
    <n v="6.3150000000000004"/>
  </r>
  <r>
    <x v="23"/>
    <d v="2025-01-03T00:00:00"/>
    <x v="1"/>
    <x v="0"/>
    <x v="1"/>
    <x v="2"/>
    <n v="55.67"/>
    <n v="0.25"/>
    <b v="0"/>
    <n v="13.9175"/>
    <x v="0"/>
    <s v="High"/>
    <s v="Medium"/>
    <s v="January"/>
    <n v="1"/>
    <s v="Weekday"/>
    <s v="Weekday"/>
    <x v="2"/>
    <x v="2"/>
    <n v="29.835000000000001"/>
  </r>
  <r>
    <x v="24"/>
    <d v="2025-01-03T00:00:00"/>
    <x v="1"/>
    <x v="0"/>
    <x v="1"/>
    <x v="0"/>
    <n v="15.37"/>
    <n v="0.15"/>
    <b v="0"/>
    <n v="2.3054999999999999"/>
    <x v="0"/>
    <s v="Low"/>
    <s v="Small"/>
    <s v="January"/>
    <n v="1"/>
    <s v="Weekday"/>
    <s v="Weekday"/>
    <x v="0"/>
    <x v="0"/>
    <n v="8.6849999999999987"/>
  </r>
  <r>
    <x v="25"/>
    <d v="2025-01-03T00:00:00"/>
    <x v="1"/>
    <x v="0"/>
    <x v="1"/>
    <x v="2"/>
    <n v="64.709999999999994"/>
    <n v="0.25"/>
    <b v="0"/>
    <n v="16.177499999999998"/>
    <x v="0"/>
    <s v="High"/>
    <s v="Medium"/>
    <s v="January"/>
    <n v="1"/>
    <s v="Weekday"/>
    <s v="Weekday"/>
    <x v="2"/>
    <x v="2"/>
    <n v="34.354999999999997"/>
  </r>
  <r>
    <x v="26"/>
    <d v="2025-01-03T00:00:00"/>
    <x v="1"/>
    <x v="0"/>
    <x v="0"/>
    <x v="0"/>
    <n v="31.11"/>
    <n v="0.2"/>
    <b v="1"/>
    <n v="6.2220000000000004"/>
    <x v="1"/>
    <s v="Medium"/>
    <s v="Small"/>
    <s v="January"/>
    <n v="1"/>
    <s v="Weekday"/>
    <s v="Weekday"/>
    <x v="1"/>
    <x v="1"/>
    <n v="16.555"/>
  </r>
  <r>
    <x v="27"/>
    <d v="2025-01-03T00:00:00"/>
    <x v="1"/>
    <x v="0"/>
    <x v="2"/>
    <x v="0"/>
    <n v="29.48"/>
    <n v="0.2"/>
    <b v="0"/>
    <n v="5.8960000000000008"/>
    <x v="0"/>
    <s v="Medium"/>
    <s v="Small"/>
    <s v="January"/>
    <n v="1"/>
    <s v="Weekday"/>
    <s v="Weekday"/>
    <x v="1"/>
    <x v="1"/>
    <n v="15.74"/>
  </r>
  <r>
    <x v="28"/>
    <d v="2025-01-03T00:00:00"/>
    <x v="1"/>
    <x v="0"/>
    <x v="1"/>
    <x v="0"/>
    <n v="15.51"/>
    <n v="0.2"/>
    <b v="0"/>
    <n v="3.1020000000000003"/>
    <x v="0"/>
    <s v="Low"/>
    <s v="Small"/>
    <s v="January"/>
    <n v="1"/>
    <s v="Weekday"/>
    <s v="Weekday"/>
    <x v="0"/>
    <x v="0"/>
    <n v="8.754999999999999"/>
  </r>
  <r>
    <x v="29"/>
    <d v="2025-01-03T00:00:00"/>
    <x v="1"/>
    <x v="0"/>
    <x v="0"/>
    <x v="0"/>
    <n v="20.64"/>
    <n v="0.2"/>
    <b v="0"/>
    <n v="4.1280000000000001"/>
    <x v="0"/>
    <s v="Medium"/>
    <s v="Small"/>
    <s v="January"/>
    <n v="1"/>
    <s v="Weekday"/>
    <s v="Weekday"/>
    <x v="0"/>
    <x v="0"/>
    <n v="11.32"/>
  </r>
  <r>
    <x v="30"/>
    <d v="2025-01-03T00:00:00"/>
    <x v="1"/>
    <x v="0"/>
    <x v="0"/>
    <x v="0"/>
    <n v="16.100000000000001"/>
    <n v="0.25"/>
    <b v="0"/>
    <n v="4.0250000000000004"/>
    <x v="0"/>
    <s v="Low"/>
    <s v="Small"/>
    <s v="January"/>
    <n v="1"/>
    <s v="Weekday"/>
    <s v="Weekday"/>
    <x v="0"/>
    <x v="0"/>
    <n v="9.0500000000000007"/>
  </r>
  <r>
    <x v="31"/>
    <d v="2025-01-03T00:00:00"/>
    <x v="1"/>
    <x v="0"/>
    <x v="2"/>
    <x v="2"/>
    <n v="40.03"/>
    <n v="0.2"/>
    <b v="0"/>
    <n v="8.0060000000000002"/>
    <x v="0"/>
    <s v="Medium"/>
    <s v="Medium"/>
    <s v="January"/>
    <n v="1"/>
    <s v="Weekday"/>
    <s v="Weekday"/>
    <x v="1"/>
    <x v="1"/>
    <n v="22.015000000000001"/>
  </r>
  <r>
    <x v="32"/>
    <d v="2025-01-03T00:00:00"/>
    <x v="1"/>
    <x v="0"/>
    <x v="2"/>
    <x v="0"/>
    <n v="34.590000000000003"/>
    <n v="0.15"/>
    <b v="0"/>
    <n v="5.1885000000000003"/>
    <x v="0"/>
    <s v="Medium"/>
    <s v="Small"/>
    <s v="January"/>
    <n v="1"/>
    <s v="Weekday"/>
    <s v="Weekday"/>
    <x v="1"/>
    <x v="1"/>
    <n v="18.295000000000002"/>
  </r>
  <r>
    <x v="33"/>
    <d v="2025-01-03T00:00:00"/>
    <x v="1"/>
    <x v="0"/>
    <x v="3"/>
    <x v="2"/>
    <n v="52.89"/>
    <n v="0.18"/>
    <b v="0"/>
    <n v="9.5201999999999991"/>
    <x v="0"/>
    <s v="High"/>
    <s v="Medium"/>
    <s v="January"/>
    <n v="1"/>
    <s v="Weekday"/>
    <s v="Weekday"/>
    <x v="2"/>
    <x v="2"/>
    <n v="28.445"/>
  </r>
  <r>
    <x v="34"/>
    <d v="2025-01-03T00:00:00"/>
    <x v="1"/>
    <x v="0"/>
    <x v="2"/>
    <x v="0"/>
    <n v="36.22"/>
    <n v="0.2"/>
    <b v="1"/>
    <n v="7.2439999999999998"/>
    <x v="1"/>
    <s v="Medium"/>
    <s v="Small"/>
    <s v="January"/>
    <n v="1"/>
    <s v="Weekday"/>
    <s v="Weekday"/>
    <x v="1"/>
    <x v="1"/>
    <n v="19.11"/>
  </r>
  <r>
    <x v="35"/>
    <d v="2025-01-03T00:00:00"/>
    <x v="1"/>
    <x v="0"/>
    <x v="2"/>
    <x v="1"/>
    <n v="36.619999999999997"/>
    <n v="0.15"/>
    <b v="1"/>
    <n v="5.4929999999999994"/>
    <x v="1"/>
    <s v="Medium"/>
    <s v="Medium"/>
    <s v="January"/>
    <n v="1"/>
    <s v="Weekday"/>
    <s v="Weekday"/>
    <x v="1"/>
    <x v="1"/>
    <n v="19.809999999999999"/>
  </r>
  <r>
    <x v="36"/>
    <d v="2025-01-03T00:00:00"/>
    <x v="1"/>
    <x v="0"/>
    <x v="2"/>
    <x v="1"/>
    <n v="35.729999999999997"/>
    <n v="0.18"/>
    <b v="0"/>
    <n v="6.4313999999999991"/>
    <x v="0"/>
    <s v="Medium"/>
    <s v="Medium"/>
    <s v="January"/>
    <n v="1"/>
    <s v="Weekday"/>
    <s v="Weekday"/>
    <x v="1"/>
    <x v="1"/>
    <n v="19.364999999999998"/>
  </r>
  <r>
    <x v="37"/>
    <d v="2025-01-03T00:00:00"/>
    <x v="1"/>
    <x v="0"/>
    <x v="2"/>
    <x v="1"/>
    <n v="51.16"/>
    <n v="0.18"/>
    <b v="0"/>
    <n v="9.2087999999999983"/>
    <x v="0"/>
    <s v="High"/>
    <s v="Medium"/>
    <s v="January"/>
    <n v="1"/>
    <s v="Weekday"/>
    <s v="Weekday"/>
    <x v="2"/>
    <x v="2"/>
    <n v="27.08"/>
  </r>
  <r>
    <x v="38"/>
    <d v="2025-01-03T00:00:00"/>
    <x v="1"/>
    <x v="0"/>
    <x v="0"/>
    <x v="1"/>
    <n v="50.68"/>
    <n v="0.2"/>
    <b v="0"/>
    <n v="10.136000000000001"/>
    <x v="0"/>
    <s v="High"/>
    <s v="Medium"/>
    <s v="January"/>
    <n v="1"/>
    <s v="Weekday"/>
    <s v="Weekday"/>
    <x v="2"/>
    <x v="2"/>
    <n v="26.84"/>
  </r>
  <r>
    <x v="39"/>
    <d v="2025-01-03T00:00:00"/>
    <x v="1"/>
    <x v="0"/>
    <x v="0"/>
    <x v="1"/>
    <n v="37.25"/>
    <n v="0.1"/>
    <b v="0"/>
    <n v="3.7250000000000001"/>
    <x v="0"/>
    <s v="Medium"/>
    <s v="Medium"/>
    <s v="January"/>
    <n v="1"/>
    <s v="Weekday"/>
    <s v="Weekday"/>
    <x v="1"/>
    <x v="1"/>
    <n v="20.125"/>
  </r>
  <r>
    <x v="40"/>
    <d v="2025-01-03T00:00:00"/>
    <x v="1"/>
    <x v="0"/>
    <x v="2"/>
    <x v="1"/>
    <n v="22.38"/>
    <n v="0.15"/>
    <b v="0"/>
    <n v="3.3569999999999998"/>
    <x v="0"/>
    <s v="Medium"/>
    <s v="Medium"/>
    <s v="January"/>
    <n v="1"/>
    <s v="Weekday"/>
    <s v="Weekday"/>
    <x v="0"/>
    <x v="0"/>
    <n v="12.69"/>
  </r>
  <r>
    <x v="41"/>
    <d v="2025-01-04T00:00:00"/>
    <x v="2"/>
    <x v="0"/>
    <x v="2"/>
    <x v="0"/>
    <n v="23.16"/>
    <n v="0.2"/>
    <b v="1"/>
    <n v="4.6320000000000006"/>
    <x v="1"/>
    <s v="Medium"/>
    <s v="Small"/>
    <s v="January"/>
    <n v="1"/>
    <s v="Weekend"/>
    <s v="Weekend"/>
    <x v="0"/>
    <x v="0"/>
    <n v="12.58"/>
  </r>
  <r>
    <x v="42"/>
    <d v="2025-01-04T00:00:00"/>
    <x v="2"/>
    <x v="0"/>
    <x v="3"/>
    <x v="0"/>
    <n v="19.46"/>
    <n v="0.1"/>
    <b v="1"/>
    <n v="1.9460000000000002"/>
    <x v="1"/>
    <s v="Low"/>
    <s v="Small"/>
    <s v="January"/>
    <n v="1"/>
    <s v="Weekend"/>
    <s v="Weekend"/>
    <x v="0"/>
    <x v="0"/>
    <n v="10.73"/>
  </r>
  <r>
    <x v="43"/>
    <d v="2025-01-04T00:00:00"/>
    <x v="2"/>
    <x v="0"/>
    <x v="0"/>
    <x v="0"/>
    <n v="27.81"/>
    <n v="0.25"/>
    <b v="1"/>
    <n v="6.9524999999999997"/>
    <x v="1"/>
    <s v="Medium"/>
    <s v="Small"/>
    <s v="January"/>
    <n v="1"/>
    <s v="Weekend"/>
    <s v="Weekend"/>
    <x v="1"/>
    <x v="1"/>
    <n v="14.904999999999999"/>
  </r>
  <r>
    <x v="44"/>
    <d v="2025-01-04T00:00:00"/>
    <x v="2"/>
    <x v="0"/>
    <x v="3"/>
    <x v="2"/>
    <n v="52.87"/>
    <n v="0.18"/>
    <b v="0"/>
    <n v="9.5165999999999986"/>
    <x v="0"/>
    <s v="High"/>
    <s v="Medium"/>
    <s v="January"/>
    <n v="1"/>
    <s v="Weekend"/>
    <s v="Weekend"/>
    <x v="2"/>
    <x v="2"/>
    <n v="28.434999999999999"/>
  </r>
  <r>
    <x v="45"/>
    <d v="2025-01-04T00:00:00"/>
    <x v="2"/>
    <x v="0"/>
    <x v="3"/>
    <x v="0"/>
    <n v="19.23"/>
    <n v="0.2"/>
    <b v="0"/>
    <n v="3.8460000000000001"/>
    <x v="0"/>
    <s v="Low"/>
    <s v="Small"/>
    <s v="January"/>
    <n v="1"/>
    <s v="Weekend"/>
    <s v="Weekend"/>
    <x v="0"/>
    <x v="0"/>
    <n v="10.615"/>
  </r>
  <r>
    <x v="46"/>
    <d v="2025-01-04T00:00:00"/>
    <x v="2"/>
    <x v="0"/>
    <x v="3"/>
    <x v="0"/>
    <n v="28.09"/>
    <n v="0.2"/>
    <b v="0"/>
    <n v="5.6180000000000003"/>
    <x v="0"/>
    <s v="Medium"/>
    <s v="Small"/>
    <s v="January"/>
    <n v="1"/>
    <s v="Weekend"/>
    <s v="Weekend"/>
    <x v="1"/>
    <x v="1"/>
    <n v="15.045"/>
  </r>
  <r>
    <x v="47"/>
    <d v="2025-01-04T00:00:00"/>
    <x v="2"/>
    <x v="0"/>
    <x v="1"/>
    <x v="2"/>
    <n v="67.22"/>
    <n v="0.15"/>
    <b v="1"/>
    <n v="10.083"/>
    <x v="1"/>
    <s v="High"/>
    <s v="Medium"/>
    <s v="January"/>
    <n v="1"/>
    <s v="Weekend"/>
    <s v="Weekend"/>
    <x v="2"/>
    <x v="2"/>
    <n v="35.61"/>
  </r>
  <r>
    <x v="48"/>
    <d v="2025-01-04T00:00:00"/>
    <x v="2"/>
    <x v="0"/>
    <x v="3"/>
    <x v="1"/>
    <n v="17.649999999999999"/>
    <n v="0.15"/>
    <b v="0"/>
    <n v="2.6474999999999995"/>
    <x v="0"/>
    <s v="Low"/>
    <s v="Medium"/>
    <s v="January"/>
    <n v="1"/>
    <s v="Weekend"/>
    <s v="Weekend"/>
    <x v="0"/>
    <x v="0"/>
    <n v="10.324999999999999"/>
  </r>
  <r>
    <x v="49"/>
    <d v="2025-01-04T00:00:00"/>
    <x v="2"/>
    <x v="0"/>
    <x v="2"/>
    <x v="0"/>
    <n v="20.77"/>
    <n v="0.2"/>
    <b v="0"/>
    <n v="4.1539999999999999"/>
    <x v="0"/>
    <s v="Medium"/>
    <s v="Small"/>
    <s v="January"/>
    <n v="1"/>
    <s v="Weekend"/>
    <s v="Weekend"/>
    <x v="0"/>
    <x v="0"/>
    <n v="11.385"/>
  </r>
  <r>
    <x v="50"/>
    <d v="2025-01-04T00:00:00"/>
    <x v="2"/>
    <x v="0"/>
    <x v="3"/>
    <x v="0"/>
    <n v="22.38"/>
    <n v="0.15"/>
    <b v="0"/>
    <n v="3.3569999999999998"/>
    <x v="0"/>
    <s v="Medium"/>
    <s v="Small"/>
    <s v="January"/>
    <n v="1"/>
    <s v="Weekend"/>
    <s v="Weekend"/>
    <x v="0"/>
    <x v="0"/>
    <n v="12.19"/>
  </r>
  <r>
    <x v="51"/>
    <d v="2025-01-04T00:00:00"/>
    <x v="2"/>
    <x v="0"/>
    <x v="1"/>
    <x v="0"/>
    <n v="12.95"/>
    <n v="0.25"/>
    <b v="0"/>
    <n v="3.2374999999999998"/>
    <x v="0"/>
    <s v="Low"/>
    <s v="Small"/>
    <s v="January"/>
    <n v="1"/>
    <s v="Weekend"/>
    <s v="Weekend"/>
    <x v="0"/>
    <x v="0"/>
    <n v="7.4749999999999996"/>
  </r>
  <r>
    <x v="52"/>
    <d v="2025-01-04T00:00:00"/>
    <x v="2"/>
    <x v="0"/>
    <x v="1"/>
    <x v="2"/>
    <n v="54.23"/>
    <n v="0.18"/>
    <b v="0"/>
    <n v="9.7613999999999983"/>
    <x v="0"/>
    <s v="High"/>
    <s v="Medium"/>
    <s v="January"/>
    <n v="1"/>
    <s v="Weekend"/>
    <s v="Weekend"/>
    <x v="2"/>
    <x v="2"/>
    <n v="29.114999999999998"/>
  </r>
  <r>
    <x v="53"/>
    <d v="2025-01-04T00:00:00"/>
    <x v="2"/>
    <x v="0"/>
    <x v="1"/>
    <x v="0"/>
    <n v="30.23"/>
    <n v="0.2"/>
    <b v="0"/>
    <n v="6.0460000000000003"/>
    <x v="0"/>
    <s v="Medium"/>
    <s v="Small"/>
    <s v="January"/>
    <n v="1"/>
    <s v="Weekend"/>
    <s v="Weekend"/>
    <x v="1"/>
    <x v="1"/>
    <n v="16.115000000000002"/>
  </r>
  <r>
    <x v="54"/>
    <d v="2025-01-04T00:00:00"/>
    <x v="2"/>
    <x v="0"/>
    <x v="2"/>
    <x v="2"/>
    <n v="43.6"/>
    <n v="0.25"/>
    <b v="0"/>
    <n v="10.9"/>
    <x v="0"/>
    <s v="Medium"/>
    <s v="Medium"/>
    <s v="January"/>
    <n v="1"/>
    <s v="Weekend"/>
    <s v="Weekend"/>
    <x v="1"/>
    <x v="1"/>
    <n v="23.8"/>
  </r>
  <r>
    <x v="55"/>
    <d v="2025-01-04T00:00:00"/>
    <x v="2"/>
    <x v="0"/>
    <x v="3"/>
    <x v="0"/>
    <n v="27.24"/>
    <n v="0.1"/>
    <b v="0"/>
    <n v="2.7240000000000002"/>
    <x v="0"/>
    <s v="Medium"/>
    <s v="Small"/>
    <s v="January"/>
    <n v="1"/>
    <s v="Weekend"/>
    <s v="Weekend"/>
    <x v="1"/>
    <x v="1"/>
    <n v="14.62"/>
  </r>
  <r>
    <x v="56"/>
    <d v="2025-01-04T00:00:00"/>
    <x v="2"/>
    <x v="1"/>
    <x v="2"/>
    <x v="2"/>
    <n v="81.150000000000006"/>
    <n v="0.15"/>
    <b v="0"/>
    <n v="12.172500000000001"/>
    <x v="0"/>
    <s v="High"/>
    <s v="Medium"/>
    <s v="January"/>
    <n v="1"/>
    <s v="Weekend"/>
    <s v="Weekend"/>
    <x v="3"/>
    <x v="3"/>
    <n v="42.575000000000003"/>
  </r>
  <r>
    <x v="57"/>
    <d v="2025-01-04T00:00:00"/>
    <x v="2"/>
    <x v="1"/>
    <x v="3"/>
    <x v="0"/>
    <n v="26.82"/>
    <n v="0.2"/>
    <b v="0"/>
    <n v="5.3640000000000008"/>
    <x v="0"/>
    <s v="Medium"/>
    <s v="Small"/>
    <s v="January"/>
    <n v="1"/>
    <s v="Weekend"/>
    <s v="Weekend"/>
    <x v="1"/>
    <x v="1"/>
    <n v="14.41"/>
  </r>
  <r>
    <x v="58"/>
    <d v="2025-01-04T00:00:00"/>
    <x v="2"/>
    <x v="1"/>
    <x v="3"/>
    <x v="0"/>
    <n v="20.85"/>
    <n v="0.2"/>
    <b v="0"/>
    <n v="4.1700000000000008"/>
    <x v="0"/>
    <s v="Medium"/>
    <s v="Small"/>
    <s v="January"/>
    <n v="1"/>
    <s v="Weekend"/>
    <s v="Weekend"/>
    <x v="0"/>
    <x v="0"/>
    <n v="11.425000000000001"/>
  </r>
  <r>
    <x v="59"/>
    <d v="2025-01-04T00:00:00"/>
    <x v="2"/>
    <x v="1"/>
    <x v="2"/>
    <x v="2"/>
    <n v="50.36"/>
    <n v="0.25"/>
    <b v="0"/>
    <n v="12.59"/>
    <x v="0"/>
    <s v="High"/>
    <s v="Medium"/>
    <s v="January"/>
    <n v="1"/>
    <s v="Weekend"/>
    <s v="Weekend"/>
    <x v="2"/>
    <x v="2"/>
    <n v="27.18"/>
  </r>
  <r>
    <x v="60"/>
    <d v="2025-01-04T00:00:00"/>
    <x v="2"/>
    <x v="1"/>
    <x v="0"/>
    <x v="0"/>
    <n v="20.73"/>
    <n v="0.15"/>
    <b v="1"/>
    <n v="3.1095000000000002"/>
    <x v="1"/>
    <s v="Medium"/>
    <s v="Small"/>
    <s v="January"/>
    <n v="1"/>
    <s v="Weekend"/>
    <s v="Weekend"/>
    <x v="0"/>
    <x v="0"/>
    <n v="11.365"/>
  </r>
  <r>
    <x v="61"/>
    <d v="2025-01-04T00:00:00"/>
    <x v="2"/>
    <x v="1"/>
    <x v="2"/>
    <x v="0"/>
    <n v="30.1"/>
    <n v="0.2"/>
    <b v="0"/>
    <n v="6.0200000000000005"/>
    <x v="0"/>
    <s v="Medium"/>
    <s v="Small"/>
    <s v="January"/>
    <n v="1"/>
    <s v="Weekend"/>
    <s v="Weekend"/>
    <x v="1"/>
    <x v="1"/>
    <n v="16.05"/>
  </r>
  <r>
    <x v="62"/>
    <d v="2025-01-04T00:00:00"/>
    <x v="2"/>
    <x v="1"/>
    <x v="0"/>
    <x v="0"/>
    <n v="17.309999999999999"/>
    <n v="0.15"/>
    <b v="0"/>
    <n v="2.5964999999999998"/>
    <x v="0"/>
    <s v="Low"/>
    <s v="Small"/>
    <s v="January"/>
    <n v="1"/>
    <s v="Weekend"/>
    <s v="Weekend"/>
    <x v="0"/>
    <x v="0"/>
    <n v="9.6549999999999994"/>
  </r>
  <r>
    <x v="63"/>
    <d v="2025-01-04T00:00:00"/>
    <x v="2"/>
    <x v="1"/>
    <x v="3"/>
    <x v="2"/>
    <n v="54.52"/>
    <n v="0.18"/>
    <b v="0"/>
    <n v="9.813600000000001"/>
    <x v="0"/>
    <s v="High"/>
    <s v="Medium"/>
    <s v="January"/>
    <n v="1"/>
    <s v="Weekend"/>
    <s v="Weekend"/>
    <x v="2"/>
    <x v="2"/>
    <n v="29.26"/>
  </r>
  <r>
    <x v="64"/>
    <d v="2025-01-04T00:00:00"/>
    <x v="2"/>
    <x v="1"/>
    <x v="2"/>
    <x v="1"/>
    <n v="52"/>
    <n v="0.1"/>
    <b v="0"/>
    <n v="5.2"/>
    <x v="0"/>
    <s v="High"/>
    <s v="Medium"/>
    <s v="January"/>
    <n v="1"/>
    <s v="Weekend"/>
    <s v="Weekend"/>
    <x v="2"/>
    <x v="2"/>
    <n v="27.5"/>
  </r>
  <r>
    <x v="65"/>
    <d v="2025-01-04T00:00:00"/>
    <x v="2"/>
    <x v="1"/>
    <x v="2"/>
    <x v="1"/>
    <n v="38.200000000000003"/>
    <n v="0.18"/>
    <b v="1"/>
    <n v="6.8760000000000003"/>
    <x v="1"/>
    <s v="Medium"/>
    <s v="Medium"/>
    <s v="January"/>
    <n v="1"/>
    <s v="Weekend"/>
    <s v="Weekend"/>
    <x v="1"/>
    <x v="1"/>
    <n v="20.6"/>
  </r>
  <r>
    <x v="66"/>
    <d v="2025-01-04T00:00:00"/>
    <x v="2"/>
    <x v="1"/>
    <x v="2"/>
    <x v="0"/>
    <n v="23.21"/>
    <n v="0.2"/>
    <b v="0"/>
    <n v="4.6420000000000003"/>
    <x v="0"/>
    <s v="Medium"/>
    <s v="Small"/>
    <s v="January"/>
    <n v="1"/>
    <s v="Weekend"/>
    <s v="Weekend"/>
    <x v="0"/>
    <x v="0"/>
    <n v="12.605"/>
  </r>
  <r>
    <x v="67"/>
    <d v="2025-01-04T00:00:00"/>
    <x v="2"/>
    <x v="1"/>
    <x v="3"/>
    <x v="3"/>
    <n v="12.82"/>
    <n v="0.25"/>
    <b v="0"/>
    <n v="3.2050000000000001"/>
    <x v="0"/>
    <s v="Low"/>
    <s v="Small"/>
    <s v="January"/>
    <n v="1"/>
    <s v="Weekend"/>
    <s v="Weekend"/>
    <x v="0"/>
    <x v="0"/>
    <n v="6.91"/>
  </r>
  <r>
    <x v="68"/>
    <d v="2025-01-04T00:00:00"/>
    <x v="2"/>
    <x v="1"/>
    <x v="3"/>
    <x v="0"/>
    <n v="15.12"/>
    <n v="0.18"/>
    <b v="0"/>
    <n v="2.7215999999999996"/>
    <x v="0"/>
    <s v="Low"/>
    <s v="Small"/>
    <s v="January"/>
    <n v="1"/>
    <s v="Weekend"/>
    <s v="Weekend"/>
    <x v="0"/>
    <x v="0"/>
    <n v="8.5599999999999987"/>
  </r>
  <r>
    <x v="69"/>
    <d v="2025-01-04T00:00:00"/>
    <x v="2"/>
    <x v="1"/>
    <x v="1"/>
    <x v="0"/>
    <n v="19.62"/>
    <n v="0.2"/>
    <b v="1"/>
    <n v="3.9240000000000004"/>
    <x v="1"/>
    <s v="Low"/>
    <s v="Small"/>
    <s v="January"/>
    <n v="1"/>
    <s v="Weekend"/>
    <s v="Weekend"/>
    <x v="0"/>
    <x v="0"/>
    <n v="10.81"/>
  </r>
  <r>
    <x v="70"/>
    <d v="2025-01-04T00:00:00"/>
    <x v="2"/>
    <x v="1"/>
    <x v="2"/>
    <x v="0"/>
    <n v="12.62"/>
    <n v="0.1"/>
    <b v="0"/>
    <n v="1.262"/>
    <x v="0"/>
    <s v="Low"/>
    <s v="Small"/>
    <s v="January"/>
    <n v="1"/>
    <s v="Weekend"/>
    <s v="Weekend"/>
    <x v="0"/>
    <x v="0"/>
    <n v="7.31"/>
  </r>
  <r>
    <x v="71"/>
    <d v="2025-01-04T00:00:00"/>
    <x v="2"/>
    <x v="1"/>
    <x v="2"/>
    <x v="1"/>
    <n v="42.93"/>
    <n v="0.2"/>
    <b v="1"/>
    <n v="8.5860000000000003"/>
    <x v="1"/>
    <s v="Medium"/>
    <s v="Medium"/>
    <s v="January"/>
    <n v="1"/>
    <s v="Weekend"/>
    <s v="Weekend"/>
    <x v="1"/>
    <x v="1"/>
    <n v="22.965"/>
  </r>
  <r>
    <x v="72"/>
    <d v="2025-01-04T00:00:00"/>
    <x v="2"/>
    <x v="1"/>
    <x v="0"/>
    <x v="0"/>
    <n v="23.31"/>
    <n v="0.2"/>
    <b v="0"/>
    <n v="4.6619999999999999"/>
    <x v="0"/>
    <s v="Medium"/>
    <s v="Small"/>
    <s v="January"/>
    <n v="1"/>
    <s v="Weekend"/>
    <s v="Weekend"/>
    <x v="0"/>
    <x v="0"/>
    <n v="12.654999999999999"/>
  </r>
  <r>
    <x v="73"/>
    <d v="2025-01-04T00:00:00"/>
    <x v="2"/>
    <x v="1"/>
    <x v="1"/>
    <x v="0"/>
    <n v="20.51"/>
    <n v="0.25"/>
    <b v="0"/>
    <n v="5.1275000000000004"/>
    <x v="0"/>
    <s v="Medium"/>
    <s v="Small"/>
    <s v="January"/>
    <n v="1"/>
    <s v="Weekend"/>
    <s v="Weekend"/>
    <x v="0"/>
    <x v="0"/>
    <n v="11.255000000000001"/>
  </r>
  <r>
    <x v="74"/>
    <d v="2025-01-04T00:00:00"/>
    <x v="2"/>
    <x v="1"/>
    <x v="3"/>
    <x v="0"/>
    <n v="11.81"/>
    <n v="0.2"/>
    <b v="0"/>
    <n v="2.3620000000000001"/>
    <x v="0"/>
    <s v="Low"/>
    <s v="Small"/>
    <s v="January"/>
    <n v="1"/>
    <s v="Weekend"/>
    <s v="Weekend"/>
    <x v="0"/>
    <x v="0"/>
    <n v="6.9050000000000002"/>
  </r>
  <r>
    <x v="75"/>
    <d v="2025-01-04T00:00:00"/>
    <x v="2"/>
    <x v="1"/>
    <x v="1"/>
    <x v="0"/>
    <n v="32.11"/>
    <n v="0.2"/>
    <b v="0"/>
    <n v="6.4220000000000006"/>
    <x v="0"/>
    <s v="Medium"/>
    <s v="Small"/>
    <s v="January"/>
    <n v="1"/>
    <s v="Weekend"/>
    <s v="Weekend"/>
    <x v="1"/>
    <x v="1"/>
    <n v="17.055"/>
  </r>
  <r>
    <x v="76"/>
    <d v="2025-01-04T00:00:00"/>
    <x v="2"/>
    <x v="1"/>
    <x v="3"/>
    <x v="0"/>
    <n v="9"/>
    <n v="0.2"/>
    <b v="1"/>
    <n v="1.8"/>
    <x v="1"/>
    <s v="Low"/>
    <s v="Small"/>
    <s v="January"/>
    <n v="1"/>
    <s v="Weekend"/>
    <s v="Weekend"/>
    <x v="0"/>
    <x v="0"/>
    <n v="5.5"/>
  </r>
  <r>
    <x v="77"/>
    <d v="2025-01-05T00:00:00"/>
    <x v="3"/>
    <x v="2"/>
    <x v="3"/>
    <x v="2"/>
    <n v="52.57"/>
    <n v="0.18"/>
    <b v="1"/>
    <n v="9.4626000000000001"/>
    <x v="1"/>
    <s v="High"/>
    <s v="Medium"/>
    <s v="January"/>
    <n v="2"/>
    <s v="Weekend"/>
    <s v="Weekend"/>
    <x v="2"/>
    <x v="2"/>
    <n v="28.285"/>
  </r>
  <r>
    <x v="78"/>
    <d v="2025-01-05T00:00:00"/>
    <x v="3"/>
    <x v="2"/>
    <x v="0"/>
    <x v="0"/>
    <n v="37.520000000000003"/>
    <n v="0.18"/>
    <b v="0"/>
    <n v="6.7536000000000005"/>
    <x v="0"/>
    <s v="Medium"/>
    <s v="Small"/>
    <s v="January"/>
    <n v="2"/>
    <s v="Weekend"/>
    <s v="Weekend"/>
    <x v="1"/>
    <x v="1"/>
    <n v="19.760000000000002"/>
  </r>
  <r>
    <x v="79"/>
    <d v="2025-01-05T00:00:00"/>
    <x v="3"/>
    <x v="2"/>
    <x v="0"/>
    <x v="0"/>
    <n v="26.34"/>
    <n v="0.2"/>
    <b v="0"/>
    <n v="5.2680000000000007"/>
    <x v="0"/>
    <s v="Medium"/>
    <s v="Small"/>
    <s v="January"/>
    <n v="2"/>
    <s v="Weekend"/>
    <s v="Weekend"/>
    <x v="1"/>
    <x v="1"/>
    <n v="14.17"/>
  </r>
  <r>
    <x v="80"/>
    <d v="2025-01-05T00:00:00"/>
    <x v="3"/>
    <x v="2"/>
    <x v="1"/>
    <x v="0"/>
    <n v="26.85"/>
    <n v="0.15"/>
    <b v="1"/>
    <n v="4.0274999999999999"/>
    <x v="1"/>
    <s v="Medium"/>
    <s v="Small"/>
    <s v="January"/>
    <n v="2"/>
    <s v="Weekend"/>
    <s v="Weekend"/>
    <x v="1"/>
    <x v="1"/>
    <n v="14.425000000000001"/>
  </r>
  <r>
    <x v="81"/>
    <d v="2025-01-05T00:00:00"/>
    <x v="3"/>
    <x v="2"/>
    <x v="3"/>
    <x v="0"/>
    <n v="15.21"/>
    <n v="0.1"/>
    <b v="0"/>
    <n v="1.5210000000000001"/>
    <x v="0"/>
    <s v="Low"/>
    <s v="Small"/>
    <s v="January"/>
    <n v="2"/>
    <s v="Weekend"/>
    <s v="Weekend"/>
    <x v="0"/>
    <x v="0"/>
    <n v="8.6050000000000004"/>
  </r>
  <r>
    <x v="82"/>
    <d v="2025-01-05T00:00:00"/>
    <x v="3"/>
    <x v="2"/>
    <x v="2"/>
    <x v="3"/>
    <n v="13.37"/>
    <n v="0.18"/>
    <b v="0"/>
    <n v="2.4065999999999996"/>
    <x v="0"/>
    <s v="Low"/>
    <s v="Small"/>
    <s v="January"/>
    <n v="2"/>
    <s v="Weekend"/>
    <s v="Weekend"/>
    <x v="0"/>
    <x v="0"/>
    <n v="7.1849999999999996"/>
  </r>
  <r>
    <x v="83"/>
    <d v="2025-01-05T00:00:00"/>
    <x v="3"/>
    <x v="2"/>
    <x v="1"/>
    <x v="0"/>
    <n v="18.68"/>
    <n v="0.18"/>
    <b v="1"/>
    <n v="3.3623999999999996"/>
    <x v="1"/>
    <s v="Low"/>
    <s v="Small"/>
    <s v="January"/>
    <n v="2"/>
    <s v="Weekend"/>
    <s v="Weekend"/>
    <x v="0"/>
    <x v="0"/>
    <n v="10.34"/>
  </r>
  <r>
    <x v="84"/>
    <d v="2025-01-05T00:00:00"/>
    <x v="3"/>
    <x v="2"/>
    <x v="0"/>
    <x v="0"/>
    <n v="28.59"/>
    <n v="0.18"/>
    <b v="0"/>
    <n v="5.1461999999999994"/>
    <x v="0"/>
    <s v="Medium"/>
    <s v="Small"/>
    <s v="January"/>
    <n v="2"/>
    <s v="Weekend"/>
    <s v="Weekend"/>
    <x v="1"/>
    <x v="1"/>
    <n v="15.295"/>
  </r>
  <r>
    <x v="85"/>
    <d v="2025-01-05T00:00:00"/>
    <x v="3"/>
    <x v="2"/>
    <x v="1"/>
    <x v="2"/>
    <n v="33.72"/>
    <n v="0.2"/>
    <b v="0"/>
    <n v="6.7439999999999998"/>
    <x v="0"/>
    <s v="Medium"/>
    <s v="Medium"/>
    <s v="January"/>
    <n v="2"/>
    <s v="Weekend"/>
    <s v="Weekend"/>
    <x v="1"/>
    <x v="1"/>
    <n v="18.86"/>
  </r>
  <r>
    <x v="86"/>
    <d v="2025-01-05T00:00:00"/>
    <x v="3"/>
    <x v="2"/>
    <x v="1"/>
    <x v="0"/>
    <n v="28.82"/>
    <n v="0.18"/>
    <b v="0"/>
    <n v="5.1875999999999998"/>
    <x v="0"/>
    <s v="Medium"/>
    <s v="Small"/>
    <s v="January"/>
    <n v="2"/>
    <s v="Weekend"/>
    <s v="Weekend"/>
    <x v="1"/>
    <x v="1"/>
    <n v="15.41"/>
  </r>
  <r>
    <x v="87"/>
    <d v="2025-01-05T00:00:00"/>
    <x v="3"/>
    <x v="2"/>
    <x v="3"/>
    <x v="0"/>
    <n v="16.23"/>
    <n v="0.15"/>
    <b v="0"/>
    <n v="2.4344999999999999"/>
    <x v="0"/>
    <s v="Low"/>
    <s v="Small"/>
    <s v="January"/>
    <n v="2"/>
    <s v="Weekend"/>
    <s v="Weekend"/>
    <x v="0"/>
    <x v="0"/>
    <n v="9.1150000000000002"/>
  </r>
  <r>
    <x v="88"/>
    <d v="2025-01-05T00:00:00"/>
    <x v="3"/>
    <x v="2"/>
    <x v="3"/>
    <x v="0"/>
    <n v="44.59"/>
    <n v="0.15"/>
    <b v="0"/>
    <n v="6.6885000000000003"/>
    <x v="0"/>
    <s v="Medium"/>
    <s v="Small"/>
    <s v="January"/>
    <n v="2"/>
    <s v="Weekend"/>
    <s v="Weekend"/>
    <x v="1"/>
    <x v="1"/>
    <n v="23.295000000000002"/>
  </r>
  <r>
    <x v="89"/>
    <d v="2025-01-05T00:00:00"/>
    <x v="3"/>
    <x v="2"/>
    <x v="1"/>
    <x v="0"/>
    <n v="12.8"/>
    <n v="0.18"/>
    <b v="0"/>
    <n v="2.3039999999999998"/>
    <x v="0"/>
    <s v="Low"/>
    <s v="Small"/>
    <s v="January"/>
    <n v="2"/>
    <s v="Weekend"/>
    <s v="Weekend"/>
    <x v="0"/>
    <x v="0"/>
    <n v="7.4"/>
  </r>
  <r>
    <x v="90"/>
    <d v="2025-01-05T00:00:00"/>
    <x v="3"/>
    <x v="1"/>
    <x v="2"/>
    <x v="0"/>
    <n v="22.9"/>
    <n v="0.18"/>
    <b v="0"/>
    <n v="4.1219999999999999"/>
    <x v="0"/>
    <s v="Medium"/>
    <s v="Small"/>
    <s v="January"/>
    <n v="2"/>
    <s v="Weekend"/>
    <s v="Weekend"/>
    <x v="0"/>
    <x v="0"/>
    <n v="12.45"/>
  </r>
  <r>
    <x v="91"/>
    <d v="2025-01-05T00:00:00"/>
    <x v="3"/>
    <x v="1"/>
    <x v="3"/>
    <x v="0"/>
    <n v="23.66"/>
    <n v="0.25"/>
    <b v="0"/>
    <n v="5.915"/>
    <x v="0"/>
    <s v="Medium"/>
    <s v="Small"/>
    <s v="January"/>
    <n v="2"/>
    <s v="Weekend"/>
    <s v="Weekend"/>
    <x v="0"/>
    <x v="0"/>
    <n v="12.83"/>
  </r>
  <r>
    <x v="92"/>
    <d v="2025-01-05T00:00:00"/>
    <x v="3"/>
    <x v="1"/>
    <x v="0"/>
    <x v="0"/>
    <n v="19.579999999999998"/>
    <n v="0.2"/>
    <b v="0"/>
    <n v="3.9159999999999999"/>
    <x v="0"/>
    <s v="Low"/>
    <s v="Small"/>
    <s v="January"/>
    <n v="2"/>
    <s v="Weekend"/>
    <s v="Weekend"/>
    <x v="0"/>
    <x v="0"/>
    <n v="10.79"/>
  </r>
  <r>
    <x v="93"/>
    <d v="2025-01-05T00:00:00"/>
    <x v="3"/>
    <x v="1"/>
    <x v="0"/>
    <x v="0"/>
    <n v="31.69"/>
    <n v="0.18"/>
    <b v="0"/>
    <n v="5.7042000000000002"/>
    <x v="0"/>
    <s v="Medium"/>
    <s v="Small"/>
    <s v="January"/>
    <n v="2"/>
    <s v="Weekend"/>
    <s v="Weekend"/>
    <x v="1"/>
    <x v="1"/>
    <n v="16.844999999999999"/>
  </r>
  <r>
    <x v="94"/>
    <d v="2025-01-05T00:00:00"/>
    <x v="3"/>
    <x v="1"/>
    <x v="1"/>
    <x v="0"/>
    <n v="42.3"/>
    <n v="0.15"/>
    <b v="0"/>
    <n v="6.3449999999999998"/>
    <x v="0"/>
    <s v="Medium"/>
    <s v="Small"/>
    <s v="January"/>
    <n v="2"/>
    <s v="Weekend"/>
    <s v="Weekend"/>
    <x v="1"/>
    <x v="1"/>
    <n v="22.15"/>
  </r>
  <r>
    <x v="95"/>
    <d v="2025-01-05T00:00:00"/>
    <x v="3"/>
    <x v="1"/>
    <x v="0"/>
    <x v="2"/>
    <n v="35.950000000000003"/>
    <n v="0.25"/>
    <b v="0"/>
    <n v="8.9875000000000007"/>
    <x v="0"/>
    <s v="Medium"/>
    <s v="Medium"/>
    <s v="January"/>
    <n v="2"/>
    <s v="Weekend"/>
    <s v="Weekend"/>
    <x v="1"/>
    <x v="1"/>
    <n v="19.975000000000001"/>
  </r>
  <r>
    <x v="96"/>
    <d v="2025-01-05T00:00:00"/>
    <x v="3"/>
    <x v="1"/>
    <x v="0"/>
    <x v="0"/>
    <n v="24.46"/>
    <n v="0.2"/>
    <b v="0"/>
    <n v="4.8920000000000003"/>
    <x v="0"/>
    <s v="Medium"/>
    <s v="Small"/>
    <s v="January"/>
    <n v="2"/>
    <s v="Weekend"/>
    <s v="Weekend"/>
    <x v="0"/>
    <x v="0"/>
    <n v="13.23"/>
  </r>
  <r>
    <x v="97"/>
    <d v="2025-01-05T00:00:00"/>
    <x v="3"/>
    <x v="1"/>
    <x v="3"/>
    <x v="0"/>
    <n v="32.78"/>
    <n v="0.15"/>
    <b v="0"/>
    <n v="4.9169999999999998"/>
    <x v="0"/>
    <s v="Medium"/>
    <s v="Small"/>
    <s v="January"/>
    <n v="2"/>
    <s v="Weekend"/>
    <s v="Weekend"/>
    <x v="1"/>
    <x v="1"/>
    <n v="17.39"/>
  </r>
  <r>
    <x v="98"/>
    <d v="2025-01-05T00:00:00"/>
    <x v="3"/>
    <x v="1"/>
    <x v="0"/>
    <x v="0"/>
    <n v="20.38"/>
    <n v="0.15"/>
    <b v="0"/>
    <n v="3.0569999999999999"/>
    <x v="0"/>
    <s v="Medium"/>
    <s v="Small"/>
    <s v="January"/>
    <n v="2"/>
    <s v="Weekend"/>
    <s v="Weekend"/>
    <x v="0"/>
    <x v="0"/>
    <n v="11.19"/>
  </r>
  <r>
    <x v="99"/>
    <d v="2025-01-05T00:00:00"/>
    <x v="3"/>
    <x v="1"/>
    <x v="1"/>
    <x v="0"/>
    <n v="14.63"/>
    <n v="0.2"/>
    <b v="1"/>
    <n v="2.9260000000000002"/>
    <x v="1"/>
    <s v="Low"/>
    <s v="Small"/>
    <s v="January"/>
    <n v="2"/>
    <s v="Weekend"/>
    <s v="Weekend"/>
    <x v="0"/>
    <x v="0"/>
    <n v="8.3150000000000013"/>
  </r>
  <r>
    <x v="100"/>
    <d v="2025-01-05T00:00:00"/>
    <x v="3"/>
    <x v="1"/>
    <x v="3"/>
    <x v="0"/>
    <n v="8.5399999999999991"/>
    <n v="0.1"/>
    <b v="1"/>
    <n v="0.85399999999999998"/>
    <x v="1"/>
    <s v="Low"/>
    <s v="Small"/>
    <s v="January"/>
    <n v="2"/>
    <s v="Weekend"/>
    <s v="Weekend"/>
    <x v="0"/>
    <x v="0"/>
    <n v="5.27"/>
  </r>
  <r>
    <x v="101"/>
    <d v="2025-01-05T00:00:00"/>
    <x v="3"/>
    <x v="1"/>
    <x v="3"/>
    <x v="0"/>
    <n v="27.88"/>
    <n v="0.18"/>
    <b v="0"/>
    <n v="5.0183999999999997"/>
    <x v="0"/>
    <s v="Medium"/>
    <s v="Small"/>
    <s v="January"/>
    <n v="2"/>
    <s v="Weekend"/>
    <s v="Weekend"/>
    <x v="1"/>
    <x v="1"/>
    <n v="14.94"/>
  </r>
  <r>
    <x v="102"/>
    <d v="2025-01-09T00:00:00"/>
    <x v="0"/>
    <x v="0"/>
    <x v="0"/>
    <x v="1"/>
    <n v="23.5"/>
    <n v="0.2"/>
    <b v="0"/>
    <n v="4.7"/>
    <x v="0"/>
    <s v="Medium"/>
    <s v="Medium"/>
    <s v="January"/>
    <n v="2"/>
    <s v="Weekday"/>
    <s v="Weekday"/>
    <x v="0"/>
    <x v="0"/>
    <n v="13.25"/>
  </r>
  <r>
    <x v="103"/>
    <d v="2025-01-09T00:00:00"/>
    <x v="0"/>
    <x v="0"/>
    <x v="0"/>
    <x v="0"/>
    <n v="35.6"/>
    <n v="0.2"/>
    <b v="0"/>
    <n v="7.120000000000001"/>
    <x v="0"/>
    <s v="Medium"/>
    <s v="Small"/>
    <s v="January"/>
    <n v="2"/>
    <s v="Weekday"/>
    <s v="Weekday"/>
    <x v="1"/>
    <x v="1"/>
    <n v="18.8"/>
  </r>
  <r>
    <x v="104"/>
    <d v="2025-01-09T00:00:00"/>
    <x v="0"/>
    <x v="0"/>
    <x v="3"/>
    <x v="0"/>
    <n v="28.08"/>
    <n v="0.15"/>
    <b v="1"/>
    <n v="4.2119999999999997"/>
    <x v="1"/>
    <s v="Medium"/>
    <s v="Small"/>
    <s v="January"/>
    <n v="2"/>
    <s v="Weekday"/>
    <s v="Weekday"/>
    <x v="1"/>
    <x v="1"/>
    <n v="15.04"/>
  </r>
  <r>
    <x v="105"/>
    <d v="2025-01-09T00:00:00"/>
    <x v="0"/>
    <x v="0"/>
    <x v="2"/>
    <x v="0"/>
    <n v="35.549999999999997"/>
    <n v="0.2"/>
    <b v="0"/>
    <n v="7.1099999999999994"/>
    <x v="0"/>
    <s v="Medium"/>
    <s v="Small"/>
    <s v="January"/>
    <n v="2"/>
    <s v="Weekday"/>
    <s v="Weekday"/>
    <x v="1"/>
    <x v="1"/>
    <n v="18.774999999999999"/>
  </r>
  <r>
    <x v="106"/>
    <d v="2025-01-09T00:00:00"/>
    <x v="0"/>
    <x v="0"/>
    <x v="3"/>
    <x v="0"/>
    <n v="26.9"/>
    <n v="0.15"/>
    <b v="0"/>
    <n v="4.0349999999999993"/>
    <x v="0"/>
    <s v="Medium"/>
    <s v="Small"/>
    <s v="January"/>
    <n v="2"/>
    <s v="Weekday"/>
    <s v="Weekday"/>
    <x v="1"/>
    <x v="1"/>
    <n v="14.45"/>
  </r>
  <r>
    <x v="107"/>
    <d v="2025-01-09T00:00:00"/>
    <x v="0"/>
    <x v="0"/>
    <x v="1"/>
    <x v="0"/>
    <n v="25.72"/>
    <n v="0.18"/>
    <b v="1"/>
    <n v="4.6295999999999999"/>
    <x v="1"/>
    <s v="Medium"/>
    <s v="Small"/>
    <s v="January"/>
    <n v="2"/>
    <s v="Weekday"/>
    <s v="Weekday"/>
    <x v="1"/>
    <x v="1"/>
    <n v="13.86"/>
  </r>
  <r>
    <x v="108"/>
    <d v="2025-01-09T00:00:00"/>
    <x v="0"/>
    <x v="0"/>
    <x v="1"/>
    <x v="0"/>
    <n v="41.46"/>
    <n v="0.15"/>
    <b v="0"/>
    <n v="6.2190000000000003"/>
    <x v="0"/>
    <s v="Medium"/>
    <s v="Small"/>
    <s v="January"/>
    <n v="2"/>
    <s v="Weekday"/>
    <s v="Weekday"/>
    <x v="1"/>
    <x v="1"/>
    <n v="21.73"/>
  </r>
  <r>
    <x v="109"/>
    <d v="2025-01-09T00:00:00"/>
    <x v="0"/>
    <x v="0"/>
    <x v="3"/>
    <x v="0"/>
    <n v="12.35"/>
    <n v="0.1"/>
    <b v="0"/>
    <n v="1.2350000000000001"/>
    <x v="0"/>
    <s v="Low"/>
    <s v="Small"/>
    <s v="January"/>
    <n v="2"/>
    <s v="Weekday"/>
    <s v="Weekday"/>
    <x v="0"/>
    <x v="0"/>
    <n v="7.1749999999999998"/>
  </r>
  <r>
    <x v="110"/>
    <d v="2025-01-09T00:00:00"/>
    <x v="0"/>
    <x v="0"/>
    <x v="2"/>
    <x v="0"/>
    <n v="9.23"/>
    <n v="0.2"/>
    <b v="0"/>
    <n v="1.8460000000000001"/>
    <x v="0"/>
    <s v="Low"/>
    <s v="Small"/>
    <s v="January"/>
    <n v="2"/>
    <s v="Weekday"/>
    <s v="Weekday"/>
    <x v="0"/>
    <x v="0"/>
    <n v="5.6150000000000002"/>
  </r>
  <r>
    <x v="111"/>
    <d v="2025-01-09T00:00:00"/>
    <x v="0"/>
    <x v="0"/>
    <x v="3"/>
    <x v="3"/>
    <n v="13.78"/>
    <n v="0.2"/>
    <b v="0"/>
    <n v="2.7560000000000002"/>
    <x v="0"/>
    <s v="Low"/>
    <s v="Small"/>
    <s v="January"/>
    <n v="2"/>
    <s v="Weekday"/>
    <s v="Weekday"/>
    <x v="0"/>
    <x v="0"/>
    <n v="7.39"/>
  </r>
  <r>
    <x v="112"/>
    <d v="2025-01-10T00:00:00"/>
    <x v="1"/>
    <x v="0"/>
    <x v="0"/>
    <x v="1"/>
    <n v="22.03"/>
    <n v="0.15"/>
    <b v="0"/>
    <n v="3.3045"/>
    <x v="0"/>
    <s v="Medium"/>
    <s v="Medium"/>
    <s v="January"/>
    <n v="2"/>
    <s v="Weekday"/>
    <s v="Weekday"/>
    <x v="0"/>
    <x v="0"/>
    <n v="12.515000000000001"/>
  </r>
  <r>
    <x v="113"/>
    <d v="2025-01-10T00:00:00"/>
    <x v="1"/>
    <x v="0"/>
    <x v="1"/>
    <x v="0"/>
    <n v="28.77"/>
    <n v="0.18"/>
    <b v="0"/>
    <n v="5.1785999999999994"/>
    <x v="0"/>
    <s v="Medium"/>
    <s v="Small"/>
    <s v="January"/>
    <n v="2"/>
    <s v="Weekday"/>
    <s v="Weekday"/>
    <x v="1"/>
    <x v="1"/>
    <n v="15.385"/>
  </r>
  <r>
    <x v="114"/>
    <d v="2025-01-10T00:00:00"/>
    <x v="1"/>
    <x v="0"/>
    <x v="1"/>
    <x v="1"/>
    <n v="17.399999999999999"/>
    <n v="0.15"/>
    <b v="0"/>
    <n v="2.61"/>
    <x v="0"/>
    <s v="Low"/>
    <s v="Medium"/>
    <s v="January"/>
    <n v="2"/>
    <s v="Weekday"/>
    <s v="Weekday"/>
    <x v="0"/>
    <x v="0"/>
    <n v="10.199999999999999"/>
  </r>
  <r>
    <x v="115"/>
    <d v="2025-01-10T00:00:00"/>
    <x v="1"/>
    <x v="0"/>
    <x v="0"/>
    <x v="0"/>
    <n v="20.86"/>
    <n v="0.18"/>
    <b v="0"/>
    <n v="3.7547999999999999"/>
    <x v="0"/>
    <s v="Medium"/>
    <s v="Small"/>
    <s v="January"/>
    <n v="2"/>
    <s v="Weekday"/>
    <s v="Weekday"/>
    <x v="0"/>
    <x v="0"/>
    <n v="11.43"/>
  </r>
  <r>
    <x v="116"/>
    <d v="2025-01-10T00:00:00"/>
    <x v="1"/>
    <x v="0"/>
    <x v="2"/>
    <x v="2"/>
    <n v="64.84"/>
    <n v="0.2"/>
    <b v="0"/>
    <n v="12.968000000000002"/>
    <x v="0"/>
    <s v="High"/>
    <s v="Medium"/>
    <s v="January"/>
    <n v="2"/>
    <s v="Weekday"/>
    <s v="Weekday"/>
    <x v="2"/>
    <x v="2"/>
    <n v="34.42"/>
  </r>
  <r>
    <x v="117"/>
    <d v="2025-01-11T00:00:00"/>
    <x v="2"/>
    <x v="0"/>
    <x v="0"/>
    <x v="0"/>
    <n v="14.19"/>
    <n v="0.18"/>
    <b v="0"/>
    <n v="2.5541999999999998"/>
    <x v="0"/>
    <s v="Low"/>
    <s v="Small"/>
    <s v="January"/>
    <n v="2"/>
    <s v="Weekend"/>
    <s v="Weekend"/>
    <x v="0"/>
    <x v="0"/>
    <n v="8.0949999999999989"/>
  </r>
  <r>
    <x v="118"/>
    <d v="2025-01-11T00:00:00"/>
    <x v="2"/>
    <x v="0"/>
    <x v="3"/>
    <x v="0"/>
    <n v="15.95"/>
    <n v="0.18"/>
    <b v="0"/>
    <n v="2.8709999999999996"/>
    <x v="0"/>
    <s v="Low"/>
    <s v="Small"/>
    <s v="January"/>
    <n v="2"/>
    <s v="Weekend"/>
    <s v="Weekend"/>
    <x v="0"/>
    <x v="0"/>
    <n v="8.9749999999999996"/>
  </r>
  <r>
    <x v="119"/>
    <d v="2025-01-11T00:00:00"/>
    <x v="2"/>
    <x v="0"/>
    <x v="1"/>
    <x v="2"/>
    <n v="36.83"/>
    <n v="0.25"/>
    <b v="0"/>
    <n v="9.2074999999999996"/>
    <x v="0"/>
    <s v="Medium"/>
    <s v="Medium"/>
    <s v="January"/>
    <n v="2"/>
    <s v="Weekend"/>
    <s v="Weekend"/>
    <x v="1"/>
    <x v="1"/>
    <n v="20.414999999999999"/>
  </r>
  <r>
    <x v="120"/>
    <d v="2025-01-11T00:00:00"/>
    <x v="2"/>
    <x v="0"/>
    <x v="2"/>
    <x v="0"/>
    <n v="17.739999999999998"/>
    <n v="0.2"/>
    <b v="0"/>
    <n v="3.548"/>
    <x v="0"/>
    <s v="Low"/>
    <s v="Small"/>
    <s v="January"/>
    <n v="2"/>
    <s v="Weekend"/>
    <s v="Weekend"/>
    <x v="0"/>
    <x v="0"/>
    <n v="9.8699999999999992"/>
  </r>
  <r>
    <x v="121"/>
    <d v="2025-01-11T00:00:00"/>
    <x v="2"/>
    <x v="0"/>
    <x v="3"/>
    <x v="0"/>
    <n v="18.010000000000002"/>
    <n v="0.15"/>
    <b v="0"/>
    <n v="2.7015000000000002"/>
    <x v="0"/>
    <s v="Low"/>
    <s v="Small"/>
    <s v="January"/>
    <n v="2"/>
    <s v="Weekend"/>
    <s v="Weekend"/>
    <x v="0"/>
    <x v="0"/>
    <n v="10.005000000000001"/>
  </r>
  <r>
    <x v="122"/>
    <d v="2025-01-11T00:00:00"/>
    <x v="2"/>
    <x v="0"/>
    <x v="0"/>
    <x v="0"/>
    <n v="18.190000000000001"/>
    <n v="0.15"/>
    <b v="0"/>
    <n v="2.7284999999999999"/>
    <x v="0"/>
    <s v="Low"/>
    <s v="Small"/>
    <s v="January"/>
    <n v="2"/>
    <s v="Weekend"/>
    <s v="Weekend"/>
    <x v="0"/>
    <x v="0"/>
    <n v="10.095000000000001"/>
  </r>
  <r>
    <x v="123"/>
    <d v="2025-01-11T00:00:00"/>
    <x v="2"/>
    <x v="0"/>
    <x v="2"/>
    <x v="0"/>
    <n v="24.06"/>
    <n v="0.18"/>
    <b v="0"/>
    <n v="4.3308"/>
    <x v="0"/>
    <s v="Medium"/>
    <s v="Small"/>
    <s v="January"/>
    <n v="2"/>
    <s v="Weekend"/>
    <s v="Weekend"/>
    <x v="0"/>
    <x v="0"/>
    <n v="13.03"/>
  </r>
  <r>
    <x v="124"/>
    <d v="2025-01-11T00:00:00"/>
    <x v="2"/>
    <x v="0"/>
    <x v="0"/>
    <x v="0"/>
    <n v="26.51"/>
    <n v="0.18"/>
    <b v="0"/>
    <n v="4.7717999999999998"/>
    <x v="0"/>
    <s v="Medium"/>
    <s v="Small"/>
    <s v="January"/>
    <n v="2"/>
    <s v="Weekend"/>
    <s v="Weekend"/>
    <x v="1"/>
    <x v="1"/>
    <n v="14.255000000000001"/>
  </r>
  <r>
    <x v="125"/>
    <d v="2025-01-11T00:00:00"/>
    <x v="2"/>
    <x v="0"/>
    <x v="0"/>
    <x v="4"/>
    <n v="70.680000000000007"/>
    <n v="0.2"/>
    <b v="0"/>
    <n v="14.136000000000003"/>
    <x v="0"/>
    <s v="High"/>
    <s v="Large"/>
    <s v="January"/>
    <n v="2"/>
    <s v="Weekend"/>
    <s v="Weekend"/>
    <x v="2"/>
    <x v="2"/>
    <n v="38.340000000000003"/>
  </r>
  <r>
    <x v="126"/>
    <d v="2025-01-11T00:00:00"/>
    <x v="2"/>
    <x v="0"/>
    <x v="2"/>
    <x v="0"/>
    <n v="25.47"/>
    <n v="0.2"/>
    <b v="0"/>
    <n v="5.0940000000000003"/>
    <x v="0"/>
    <s v="Medium"/>
    <s v="Small"/>
    <s v="January"/>
    <n v="2"/>
    <s v="Weekend"/>
    <s v="Weekend"/>
    <x v="1"/>
    <x v="1"/>
    <n v="13.734999999999999"/>
  </r>
  <r>
    <x v="127"/>
    <d v="2025-01-11T00:00:00"/>
    <x v="2"/>
    <x v="0"/>
    <x v="1"/>
    <x v="0"/>
    <n v="23.05"/>
    <n v="0.15"/>
    <b v="0"/>
    <n v="3.4575"/>
    <x v="0"/>
    <s v="Medium"/>
    <s v="Small"/>
    <s v="January"/>
    <n v="2"/>
    <s v="Weekend"/>
    <s v="Weekend"/>
    <x v="0"/>
    <x v="0"/>
    <n v="12.525"/>
  </r>
  <r>
    <x v="128"/>
    <d v="2025-01-11T00:00:00"/>
    <x v="2"/>
    <x v="0"/>
    <x v="2"/>
    <x v="0"/>
    <n v="28.35"/>
    <n v="0.2"/>
    <b v="0"/>
    <n v="5.6700000000000008"/>
    <x v="0"/>
    <s v="Medium"/>
    <s v="Small"/>
    <s v="January"/>
    <n v="2"/>
    <s v="Weekend"/>
    <s v="Weekend"/>
    <x v="1"/>
    <x v="1"/>
    <n v="15.175000000000001"/>
  </r>
  <r>
    <x v="129"/>
    <d v="2025-01-11T00:00:00"/>
    <x v="2"/>
    <x v="0"/>
    <x v="1"/>
    <x v="1"/>
    <n v="47.3"/>
    <n v="0.18"/>
    <b v="0"/>
    <n v="8.5139999999999993"/>
    <x v="0"/>
    <s v="Medium"/>
    <s v="Medium"/>
    <s v="January"/>
    <n v="2"/>
    <s v="Weekend"/>
    <s v="Weekend"/>
    <x v="1"/>
    <x v="1"/>
    <n v="25.15"/>
  </r>
  <r>
    <x v="130"/>
    <d v="2025-01-11T00:00:00"/>
    <x v="2"/>
    <x v="0"/>
    <x v="3"/>
    <x v="0"/>
    <n v="19.760000000000002"/>
    <n v="0.2"/>
    <b v="0"/>
    <n v="3.9520000000000004"/>
    <x v="0"/>
    <s v="Low"/>
    <s v="Small"/>
    <s v="January"/>
    <n v="2"/>
    <s v="Weekend"/>
    <s v="Weekend"/>
    <x v="0"/>
    <x v="0"/>
    <n v="10.88"/>
  </r>
  <r>
    <x v="131"/>
    <d v="2025-01-11T00:00:00"/>
    <x v="2"/>
    <x v="0"/>
    <x v="0"/>
    <x v="0"/>
    <n v="20.92"/>
    <n v="0.18"/>
    <b v="0"/>
    <n v="3.7656000000000001"/>
    <x v="0"/>
    <s v="Medium"/>
    <s v="Small"/>
    <s v="January"/>
    <n v="2"/>
    <s v="Weekend"/>
    <s v="Weekend"/>
    <x v="0"/>
    <x v="0"/>
    <n v="11.46"/>
  </r>
  <r>
    <x v="132"/>
    <d v="2025-01-11T00:00:00"/>
    <x v="2"/>
    <x v="0"/>
    <x v="0"/>
    <x v="0"/>
    <n v="23.29"/>
    <n v="0.1"/>
    <b v="0"/>
    <n v="2.3290000000000002"/>
    <x v="0"/>
    <s v="Medium"/>
    <s v="Small"/>
    <s v="January"/>
    <n v="2"/>
    <s v="Weekend"/>
    <s v="Weekend"/>
    <x v="0"/>
    <x v="0"/>
    <n v="12.645"/>
  </r>
  <r>
    <x v="133"/>
    <d v="2025-01-11T00:00:00"/>
    <x v="2"/>
    <x v="0"/>
    <x v="0"/>
    <x v="0"/>
    <n v="47.79"/>
    <n v="0.18"/>
    <b v="0"/>
    <n v="8.6021999999999998"/>
    <x v="0"/>
    <s v="Medium"/>
    <s v="Small"/>
    <s v="January"/>
    <n v="2"/>
    <s v="Weekend"/>
    <s v="Weekend"/>
    <x v="1"/>
    <x v="1"/>
    <n v="24.895"/>
  </r>
  <r>
    <x v="134"/>
    <d v="2025-01-11T00:00:00"/>
    <x v="2"/>
    <x v="0"/>
    <x v="0"/>
    <x v="0"/>
    <n v="19.73"/>
    <n v="0.1"/>
    <b v="0"/>
    <n v="1.9730000000000001"/>
    <x v="0"/>
    <s v="Low"/>
    <s v="Small"/>
    <s v="January"/>
    <n v="2"/>
    <s v="Weekend"/>
    <s v="Weekend"/>
    <x v="0"/>
    <x v="0"/>
    <n v="10.865"/>
  </r>
  <r>
    <x v="135"/>
    <d v="2025-01-11T00:00:00"/>
    <x v="2"/>
    <x v="0"/>
    <x v="3"/>
    <x v="0"/>
    <n v="25.36"/>
    <n v="0.18"/>
    <b v="0"/>
    <n v="4.5648"/>
    <x v="0"/>
    <s v="Medium"/>
    <s v="Small"/>
    <s v="January"/>
    <n v="2"/>
    <s v="Weekend"/>
    <s v="Weekend"/>
    <x v="1"/>
    <x v="1"/>
    <n v="13.68"/>
  </r>
  <r>
    <x v="136"/>
    <d v="2025-01-11T00:00:00"/>
    <x v="2"/>
    <x v="0"/>
    <x v="0"/>
    <x v="0"/>
    <n v="28.96"/>
    <n v="0.18"/>
    <b v="1"/>
    <n v="5.2127999999999997"/>
    <x v="1"/>
    <s v="Medium"/>
    <s v="Small"/>
    <s v="January"/>
    <n v="2"/>
    <s v="Weekend"/>
    <s v="Weekend"/>
    <x v="1"/>
    <x v="1"/>
    <n v="15.48"/>
  </r>
  <r>
    <x v="137"/>
    <d v="2025-01-11T00:00:00"/>
    <x v="2"/>
    <x v="0"/>
    <x v="1"/>
    <x v="0"/>
    <n v="32.86"/>
    <n v="0.15"/>
    <b v="0"/>
    <n v="4.9289999999999994"/>
    <x v="0"/>
    <s v="Medium"/>
    <s v="Small"/>
    <s v="January"/>
    <n v="2"/>
    <s v="Weekend"/>
    <s v="Weekend"/>
    <x v="1"/>
    <x v="1"/>
    <n v="17.43"/>
  </r>
  <r>
    <x v="138"/>
    <d v="2025-01-11T00:00:00"/>
    <x v="2"/>
    <x v="0"/>
    <x v="2"/>
    <x v="0"/>
    <n v="14.57"/>
    <n v="0.18"/>
    <b v="1"/>
    <n v="2.6225999999999998"/>
    <x v="1"/>
    <s v="Low"/>
    <s v="Small"/>
    <s v="January"/>
    <n v="2"/>
    <s v="Weekend"/>
    <s v="Weekend"/>
    <x v="0"/>
    <x v="0"/>
    <n v="8.2850000000000001"/>
  </r>
  <r>
    <x v="139"/>
    <d v="2025-01-11T00:00:00"/>
    <x v="2"/>
    <x v="0"/>
    <x v="2"/>
    <x v="0"/>
    <n v="17.02"/>
    <n v="0.15"/>
    <b v="0"/>
    <n v="2.5529999999999999"/>
    <x v="0"/>
    <s v="Low"/>
    <s v="Small"/>
    <s v="January"/>
    <n v="2"/>
    <s v="Weekend"/>
    <s v="Weekend"/>
    <x v="0"/>
    <x v="0"/>
    <n v="9.51"/>
  </r>
  <r>
    <x v="140"/>
    <d v="2025-01-11T00:00:00"/>
    <x v="2"/>
    <x v="0"/>
    <x v="1"/>
    <x v="0"/>
    <n v="26.54"/>
    <n v="0.18"/>
    <b v="0"/>
    <n v="4.7771999999999997"/>
    <x v="0"/>
    <s v="Medium"/>
    <s v="Small"/>
    <s v="January"/>
    <n v="2"/>
    <s v="Weekend"/>
    <s v="Weekend"/>
    <x v="1"/>
    <x v="1"/>
    <n v="14.27"/>
  </r>
  <r>
    <x v="141"/>
    <d v="2025-01-11T00:00:00"/>
    <x v="2"/>
    <x v="0"/>
    <x v="0"/>
    <x v="4"/>
    <n v="98.61"/>
    <n v="0.18"/>
    <b v="0"/>
    <n v="17.7498"/>
    <x v="0"/>
    <s v="High"/>
    <s v="Large"/>
    <s v="January"/>
    <n v="2"/>
    <s v="Weekend"/>
    <s v="Weekend"/>
    <x v="3"/>
    <x v="3"/>
    <n v="52.305"/>
  </r>
  <r>
    <x v="142"/>
    <d v="2025-01-11T00:00:00"/>
    <x v="2"/>
    <x v="0"/>
    <x v="1"/>
    <x v="5"/>
    <n v="54.03"/>
    <n v="0.18"/>
    <b v="0"/>
    <n v="9.7254000000000005"/>
    <x v="0"/>
    <s v="High"/>
    <s v="Large"/>
    <s v="January"/>
    <n v="2"/>
    <s v="Weekend"/>
    <s v="Weekend"/>
    <x v="2"/>
    <x v="2"/>
    <n v="29.515000000000001"/>
  </r>
  <r>
    <x v="143"/>
    <d v="2025-01-11T00:00:00"/>
    <x v="2"/>
    <x v="0"/>
    <x v="2"/>
    <x v="4"/>
    <n v="25.82"/>
    <n v="0.25"/>
    <b v="1"/>
    <n v="6.4550000000000001"/>
    <x v="1"/>
    <s v="Medium"/>
    <s v="Large"/>
    <s v="January"/>
    <n v="2"/>
    <s v="Weekend"/>
    <s v="Weekend"/>
    <x v="1"/>
    <x v="1"/>
    <n v="15.91"/>
  </r>
  <r>
    <x v="144"/>
    <d v="2025-01-11T00:00:00"/>
    <x v="2"/>
    <x v="0"/>
    <x v="2"/>
    <x v="0"/>
    <n v="24.66"/>
    <n v="0.25"/>
    <b v="0"/>
    <n v="6.165"/>
    <x v="0"/>
    <s v="Medium"/>
    <s v="Small"/>
    <s v="January"/>
    <n v="2"/>
    <s v="Weekend"/>
    <s v="Weekend"/>
    <x v="0"/>
    <x v="0"/>
    <n v="13.33"/>
  </r>
  <r>
    <x v="145"/>
    <d v="2025-01-11T00:00:00"/>
    <x v="2"/>
    <x v="0"/>
    <x v="2"/>
    <x v="0"/>
    <n v="6"/>
    <n v="0.2"/>
    <b v="0"/>
    <n v="1.2000000000000002"/>
    <x v="0"/>
    <s v="Low"/>
    <s v="Small"/>
    <s v="January"/>
    <n v="2"/>
    <s v="Weekend"/>
    <s v="Weekend"/>
    <x v="0"/>
    <x v="0"/>
    <n v="4"/>
  </r>
  <r>
    <x v="146"/>
    <d v="2025-01-11T00:00:00"/>
    <x v="2"/>
    <x v="0"/>
    <x v="1"/>
    <x v="1"/>
    <n v="24.59"/>
    <n v="0.2"/>
    <b v="0"/>
    <n v="4.9180000000000001"/>
    <x v="0"/>
    <s v="Medium"/>
    <s v="Medium"/>
    <s v="January"/>
    <n v="2"/>
    <s v="Weekend"/>
    <s v="Weekend"/>
    <x v="0"/>
    <x v="0"/>
    <n v="13.795"/>
  </r>
  <r>
    <x v="147"/>
    <d v="2025-01-11T00:00:00"/>
    <x v="2"/>
    <x v="0"/>
    <x v="3"/>
    <x v="0"/>
    <n v="31.96"/>
    <n v="0.18"/>
    <b v="0"/>
    <n v="5.7527999999999997"/>
    <x v="0"/>
    <s v="Medium"/>
    <s v="Small"/>
    <s v="January"/>
    <n v="2"/>
    <s v="Weekend"/>
    <s v="Weekend"/>
    <x v="1"/>
    <x v="1"/>
    <n v="16.98"/>
  </r>
  <r>
    <x v="148"/>
    <d v="2025-01-11T00:00:00"/>
    <x v="2"/>
    <x v="0"/>
    <x v="1"/>
    <x v="0"/>
    <n v="38.450000000000003"/>
    <n v="0.18"/>
    <b v="0"/>
    <n v="6.9210000000000003"/>
    <x v="0"/>
    <s v="Medium"/>
    <s v="Small"/>
    <s v="January"/>
    <n v="2"/>
    <s v="Weekend"/>
    <s v="Weekend"/>
    <x v="1"/>
    <x v="1"/>
    <n v="20.225000000000001"/>
  </r>
  <r>
    <x v="149"/>
    <d v="2025-01-11T00:00:00"/>
    <x v="2"/>
    <x v="0"/>
    <x v="1"/>
    <x v="0"/>
    <n v="37.450000000000003"/>
    <n v="0.18"/>
    <b v="0"/>
    <n v="6.7410000000000005"/>
    <x v="0"/>
    <s v="Medium"/>
    <s v="Small"/>
    <s v="January"/>
    <n v="2"/>
    <s v="Weekend"/>
    <s v="Weekend"/>
    <x v="1"/>
    <x v="1"/>
    <n v="19.725000000000001"/>
  </r>
  <r>
    <x v="150"/>
    <d v="2025-01-11T00:00:00"/>
    <x v="2"/>
    <x v="1"/>
    <x v="1"/>
    <x v="0"/>
    <n v="28.37"/>
    <n v="0.18"/>
    <b v="0"/>
    <n v="5.1066000000000003"/>
    <x v="0"/>
    <s v="Medium"/>
    <s v="Small"/>
    <s v="January"/>
    <n v="2"/>
    <s v="Weekend"/>
    <s v="Weekend"/>
    <x v="1"/>
    <x v="1"/>
    <n v="15.185"/>
  </r>
  <r>
    <x v="151"/>
    <d v="2025-01-11T00:00:00"/>
    <x v="2"/>
    <x v="1"/>
    <x v="1"/>
    <x v="0"/>
    <n v="19.899999999999999"/>
    <n v="0.2"/>
    <b v="1"/>
    <n v="3.98"/>
    <x v="1"/>
    <s v="Low"/>
    <s v="Small"/>
    <s v="January"/>
    <n v="2"/>
    <s v="Weekend"/>
    <s v="Weekend"/>
    <x v="0"/>
    <x v="0"/>
    <n v="10.95"/>
  </r>
  <r>
    <x v="152"/>
    <d v="2025-01-11T00:00:00"/>
    <x v="2"/>
    <x v="1"/>
    <x v="0"/>
    <x v="1"/>
    <n v="36.03"/>
    <n v="0.18"/>
    <b v="0"/>
    <n v="6.4854000000000003"/>
    <x v="0"/>
    <s v="Medium"/>
    <s v="Medium"/>
    <s v="January"/>
    <n v="2"/>
    <s v="Weekend"/>
    <s v="Weekend"/>
    <x v="1"/>
    <x v="1"/>
    <n v="19.515000000000001"/>
  </r>
  <r>
    <x v="153"/>
    <d v="2025-01-11T00:00:00"/>
    <x v="2"/>
    <x v="1"/>
    <x v="3"/>
    <x v="2"/>
    <n v="29.06"/>
    <n v="0.2"/>
    <b v="1"/>
    <n v="5.8120000000000003"/>
    <x v="1"/>
    <s v="Medium"/>
    <s v="Medium"/>
    <s v="January"/>
    <n v="2"/>
    <s v="Weekend"/>
    <s v="Weekend"/>
    <x v="1"/>
    <x v="1"/>
    <n v="16.53"/>
  </r>
  <r>
    <x v="154"/>
    <d v="2025-01-11T00:00:00"/>
    <x v="2"/>
    <x v="1"/>
    <x v="2"/>
    <x v="2"/>
    <n v="31.56"/>
    <n v="0.15"/>
    <b v="1"/>
    <n v="4.734"/>
    <x v="1"/>
    <s v="Medium"/>
    <s v="Medium"/>
    <s v="January"/>
    <n v="2"/>
    <s v="Weekend"/>
    <s v="Weekend"/>
    <x v="1"/>
    <x v="1"/>
    <n v="17.78"/>
  </r>
  <r>
    <x v="155"/>
    <d v="2025-01-11T00:00:00"/>
    <x v="2"/>
    <x v="1"/>
    <x v="0"/>
    <x v="5"/>
    <n v="59.25"/>
    <n v="0.18"/>
    <b v="0"/>
    <n v="10.664999999999999"/>
    <x v="0"/>
    <s v="High"/>
    <s v="Large"/>
    <s v="January"/>
    <n v="2"/>
    <s v="Weekend"/>
    <s v="Weekend"/>
    <x v="2"/>
    <x v="2"/>
    <n v="32.125"/>
  </r>
  <r>
    <x v="156"/>
    <d v="2025-01-11T00:00:00"/>
    <x v="2"/>
    <x v="1"/>
    <x v="2"/>
    <x v="4"/>
    <n v="77.31"/>
    <n v="0.2"/>
    <b v="1"/>
    <n v="15.462000000000002"/>
    <x v="1"/>
    <s v="High"/>
    <s v="Large"/>
    <s v="January"/>
    <n v="2"/>
    <s v="Weekend"/>
    <s v="Weekend"/>
    <x v="3"/>
    <x v="3"/>
    <n v="41.655000000000001"/>
  </r>
  <r>
    <x v="157"/>
    <d v="2025-01-11T00:00:00"/>
    <x v="2"/>
    <x v="1"/>
    <x v="2"/>
    <x v="2"/>
    <n v="45.53"/>
    <n v="0.18"/>
    <b v="0"/>
    <n v="8.1953999999999994"/>
    <x v="0"/>
    <s v="Medium"/>
    <s v="Medium"/>
    <s v="January"/>
    <n v="2"/>
    <s v="Weekend"/>
    <s v="Weekend"/>
    <x v="1"/>
    <x v="1"/>
    <n v="24.765000000000001"/>
  </r>
  <r>
    <x v="158"/>
    <d v="2025-01-11T00:00:00"/>
    <x v="2"/>
    <x v="1"/>
    <x v="3"/>
    <x v="0"/>
    <n v="20.28"/>
    <n v="0.2"/>
    <b v="0"/>
    <n v="4.056"/>
    <x v="0"/>
    <s v="Medium"/>
    <s v="Small"/>
    <s v="January"/>
    <n v="2"/>
    <s v="Weekend"/>
    <s v="Weekend"/>
    <x v="0"/>
    <x v="0"/>
    <n v="11.14"/>
  </r>
  <r>
    <x v="159"/>
    <d v="2025-01-11T00:00:00"/>
    <x v="2"/>
    <x v="1"/>
    <x v="2"/>
    <x v="2"/>
    <n v="66.53"/>
    <n v="0.2"/>
    <b v="0"/>
    <n v="13.306000000000001"/>
    <x v="0"/>
    <s v="High"/>
    <s v="Medium"/>
    <s v="January"/>
    <n v="2"/>
    <s v="Weekend"/>
    <s v="Weekend"/>
    <x v="2"/>
    <x v="2"/>
    <n v="35.265000000000001"/>
  </r>
  <r>
    <x v="160"/>
    <d v="2025-01-11T00:00:00"/>
    <x v="2"/>
    <x v="1"/>
    <x v="2"/>
    <x v="2"/>
    <n v="43.25"/>
    <n v="0.25"/>
    <b v="0"/>
    <n v="10.8125"/>
    <x v="0"/>
    <s v="Medium"/>
    <s v="Medium"/>
    <s v="January"/>
    <n v="2"/>
    <s v="Weekend"/>
    <s v="Weekend"/>
    <x v="1"/>
    <x v="1"/>
    <n v="23.625"/>
  </r>
  <r>
    <x v="161"/>
    <d v="2025-01-11T00:00:00"/>
    <x v="2"/>
    <x v="1"/>
    <x v="3"/>
    <x v="0"/>
    <n v="12.41"/>
    <n v="0.15"/>
    <b v="1"/>
    <n v="1.8614999999999999"/>
    <x v="1"/>
    <s v="Low"/>
    <s v="Small"/>
    <s v="January"/>
    <n v="2"/>
    <s v="Weekend"/>
    <s v="Weekend"/>
    <x v="0"/>
    <x v="0"/>
    <n v="7.2050000000000001"/>
  </r>
  <r>
    <x v="162"/>
    <d v="2025-01-11T00:00:00"/>
    <x v="2"/>
    <x v="1"/>
    <x v="0"/>
    <x v="1"/>
    <n v="51.25"/>
    <n v="0.2"/>
    <b v="0"/>
    <n v="10.25"/>
    <x v="0"/>
    <s v="High"/>
    <s v="Medium"/>
    <s v="January"/>
    <n v="2"/>
    <s v="Weekend"/>
    <s v="Weekend"/>
    <x v="2"/>
    <x v="2"/>
    <n v="27.125"/>
  </r>
  <r>
    <x v="163"/>
    <d v="2025-01-11T00:00:00"/>
    <x v="2"/>
    <x v="1"/>
    <x v="1"/>
    <x v="0"/>
    <n v="20.93"/>
    <n v="0.18"/>
    <b v="0"/>
    <n v="3.7673999999999999"/>
    <x v="0"/>
    <s v="Medium"/>
    <s v="Small"/>
    <s v="January"/>
    <n v="2"/>
    <s v="Weekend"/>
    <s v="Weekend"/>
    <x v="0"/>
    <x v="0"/>
    <n v="11.465"/>
  </r>
  <r>
    <x v="164"/>
    <d v="2025-01-11T00:00:00"/>
    <x v="2"/>
    <x v="1"/>
    <x v="3"/>
    <x v="0"/>
    <n v="34.03"/>
    <n v="0.15"/>
    <b v="0"/>
    <n v="5.1044999999999998"/>
    <x v="0"/>
    <s v="Medium"/>
    <s v="Small"/>
    <s v="January"/>
    <n v="2"/>
    <s v="Weekend"/>
    <s v="Weekend"/>
    <x v="1"/>
    <x v="1"/>
    <n v="18.015000000000001"/>
  </r>
  <r>
    <x v="165"/>
    <d v="2025-01-11T00:00:00"/>
    <x v="2"/>
    <x v="1"/>
    <x v="1"/>
    <x v="1"/>
    <n v="42.92"/>
    <n v="0.25"/>
    <b v="0"/>
    <n v="10.73"/>
    <x v="0"/>
    <s v="Medium"/>
    <s v="Medium"/>
    <s v="January"/>
    <n v="2"/>
    <s v="Weekend"/>
    <s v="Weekend"/>
    <x v="1"/>
    <x v="1"/>
    <n v="22.96"/>
  </r>
  <r>
    <x v="166"/>
    <d v="2025-01-11T00:00:00"/>
    <x v="2"/>
    <x v="1"/>
    <x v="0"/>
    <x v="0"/>
    <n v="24.15"/>
    <n v="0.15"/>
    <b v="0"/>
    <n v="3.6224999999999996"/>
    <x v="0"/>
    <s v="Medium"/>
    <s v="Small"/>
    <s v="January"/>
    <n v="2"/>
    <s v="Weekend"/>
    <s v="Weekend"/>
    <x v="0"/>
    <x v="0"/>
    <n v="13.074999999999999"/>
  </r>
  <r>
    <x v="167"/>
    <d v="2025-01-11T00:00:00"/>
    <x v="2"/>
    <x v="1"/>
    <x v="2"/>
    <x v="2"/>
    <n v="40.18"/>
    <n v="0.2"/>
    <b v="0"/>
    <n v="8.0359999999999996"/>
    <x v="0"/>
    <s v="Medium"/>
    <s v="Medium"/>
    <s v="January"/>
    <n v="2"/>
    <s v="Weekend"/>
    <s v="Weekend"/>
    <x v="1"/>
    <x v="1"/>
    <n v="22.09"/>
  </r>
  <r>
    <x v="168"/>
    <d v="2025-01-12T00:00:00"/>
    <x v="3"/>
    <x v="2"/>
    <x v="2"/>
    <x v="0"/>
    <n v="31.55"/>
    <n v="0.2"/>
    <b v="0"/>
    <n v="6.3100000000000005"/>
    <x v="0"/>
    <s v="Medium"/>
    <s v="Small"/>
    <s v="January"/>
    <n v="3"/>
    <s v="Weekend"/>
    <s v="Weekend"/>
    <x v="1"/>
    <x v="1"/>
    <n v="16.774999999999999"/>
  </r>
  <r>
    <x v="169"/>
    <d v="2025-01-12T00:00:00"/>
    <x v="3"/>
    <x v="2"/>
    <x v="1"/>
    <x v="0"/>
    <n v="31.72"/>
    <n v="0.18"/>
    <b v="0"/>
    <n v="5.7096"/>
    <x v="0"/>
    <s v="Medium"/>
    <s v="Small"/>
    <s v="January"/>
    <n v="3"/>
    <s v="Weekend"/>
    <s v="Weekend"/>
    <x v="1"/>
    <x v="1"/>
    <n v="16.86"/>
  </r>
  <r>
    <x v="170"/>
    <d v="2025-01-12T00:00:00"/>
    <x v="3"/>
    <x v="2"/>
    <x v="2"/>
    <x v="1"/>
    <n v="53.78"/>
    <n v="0.18"/>
    <b v="0"/>
    <n v="9.6804000000000006"/>
    <x v="0"/>
    <s v="High"/>
    <s v="Medium"/>
    <s v="January"/>
    <n v="3"/>
    <s v="Weekend"/>
    <s v="Weekend"/>
    <x v="2"/>
    <x v="2"/>
    <n v="28.39"/>
  </r>
  <r>
    <x v="171"/>
    <d v="2025-01-12T00:00:00"/>
    <x v="3"/>
    <x v="2"/>
    <x v="0"/>
    <x v="0"/>
    <n v="37.25"/>
    <n v="0.25"/>
    <b v="0"/>
    <n v="9.3125"/>
    <x v="0"/>
    <s v="Medium"/>
    <s v="Small"/>
    <s v="January"/>
    <n v="3"/>
    <s v="Weekend"/>
    <s v="Weekend"/>
    <x v="1"/>
    <x v="1"/>
    <n v="19.625"/>
  </r>
  <r>
    <x v="172"/>
    <d v="2025-01-12T00:00:00"/>
    <x v="3"/>
    <x v="1"/>
    <x v="3"/>
    <x v="0"/>
    <n v="24.88"/>
    <n v="0.18"/>
    <b v="0"/>
    <n v="4.4783999999999997"/>
    <x v="0"/>
    <s v="Medium"/>
    <s v="Small"/>
    <s v="January"/>
    <n v="3"/>
    <s v="Weekend"/>
    <s v="Weekend"/>
    <x v="0"/>
    <x v="0"/>
    <n v="13.44"/>
  </r>
  <r>
    <x v="173"/>
    <d v="2025-01-12T00:00:00"/>
    <x v="3"/>
    <x v="1"/>
    <x v="3"/>
    <x v="0"/>
    <n v="25.33"/>
    <n v="0.15"/>
    <b v="0"/>
    <n v="3.7994999999999997"/>
    <x v="0"/>
    <s v="Medium"/>
    <s v="Small"/>
    <s v="January"/>
    <n v="3"/>
    <s v="Weekend"/>
    <s v="Weekend"/>
    <x v="1"/>
    <x v="1"/>
    <n v="13.664999999999999"/>
  </r>
  <r>
    <x v="174"/>
    <d v="2025-01-12T00:00:00"/>
    <x v="3"/>
    <x v="1"/>
    <x v="2"/>
    <x v="0"/>
    <n v="33.15"/>
    <n v="0.15"/>
    <b v="0"/>
    <n v="4.9724999999999993"/>
    <x v="0"/>
    <s v="Medium"/>
    <s v="Small"/>
    <s v="January"/>
    <n v="3"/>
    <s v="Weekend"/>
    <s v="Weekend"/>
    <x v="1"/>
    <x v="1"/>
    <n v="17.574999999999999"/>
  </r>
  <r>
    <x v="175"/>
    <d v="2025-01-12T00:00:00"/>
    <x v="3"/>
    <x v="1"/>
    <x v="1"/>
    <x v="0"/>
    <n v="26.28"/>
    <n v="0.18"/>
    <b v="1"/>
    <n v="4.7304000000000004"/>
    <x v="1"/>
    <s v="Medium"/>
    <s v="Small"/>
    <s v="January"/>
    <n v="3"/>
    <s v="Weekend"/>
    <s v="Weekend"/>
    <x v="1"/>
    <x v="1"/>
    <n v="14.14"/>
  </r>
  <r>
    <x v="176"/>
    <d v="2025-01-12T00:00:00"/>
    <x v="3"/>
    <x v="1"/>
    <x v="0"/>
    <x v="0"/>
    <n v="21.44"/>
    <n v="0.15"/>
    <b v="0"/>
    <n v="3.2160000000000002"/>
    <x v="0"/>
    <s v="Medium"/>
    <s v="Small"/>
    <s v="January"/>
    <n v="3"/>
    <s v="Weekend"/>
    <s v="Weekend"/>
    <x v="0"/>
    <x v="0"/>
    <n v="11.72"/>
  </r>
  <r>
    <x v="177"/>
    <d v="2025-01-12T00:00:00"/>
    <x v="3"/>
    <x v="1"/>
    <x v="3"/>
    <x v="0"/>
    <n v="35.53"/>
    <n v="0.2"/>
    <b v="0"/>
    <n v="7.1060000000000008"/>
    <x v="0"/>
    <s v="Medium"/>
    <s v="Small"/>
    <s v="January"/>
    <n v="3"/>
    <s v="Weekend"/>
    <s v="Weekend"/>
    <x v="1"/>
    <x v="1"/>
    <n v="18.765000000000001"/>
  </r>
  <r>
    <x v="178"/>
    <d v="2025-01-12T00:00:00"/>
    <x v="3"/>
    <x v="1"/>
    <x v="0"/>
    <x v="0"/>
    <n v="28.76"/>
    <n v="0.18"/>
    <b v="0"/>
    <n v="5.1768000000000001"/>
    <x v="0"/>
    <s v="Medium"/>
    <s v="Small"/>
    <s v="January"/>
    <n v="3"/>
    <s v="Weekend"/>
    <s v="Weekend"/>
    <x v="1"/>
    <x v="1"/>
    <n v="15.38"/>
  </r>
  <r>
    <x v="179"/>
    <d v="2025-01-12T00:00:00"/>
    <x v="3"/>
    <x v="1"/>
    <x v="3"/>
    <x v="0"/>
    <n v="25.65"/>
    <n v="0.18"/>
    <b v="0"/>
    <n v="4.617"/>
    <x v="0"/>
    <s v="Medium"/>
    <s v="Small"/>
    <s v="January"/>
    <n v="3"/>
    <s v="Weekend"/>
    <s v="Weekend"/>
    <x v="1"/>
    <x v="1"/>
    <n v="13.824999999999999"/>
  </r>
  <r>
    <x v="180"/>
    <d v="2025-01-12T00:00:00"/>
    <x v="3"/>
    <x v="1"/>
    <x v="2"/>
    <x v="2"/>
    <n v="38.159999999999997"/>
    <n v="0.2"/>
    <b v="0"/>
    <n v="7.6319999999999997"/>
    <x v="0"/>
    <s v="Medium"/>
    <s v="Medium"/>
    <s v="January"/>
    <n v="3"/>
    <s v="Weekend"/>
    <s v="Weekend"/>
    <x v="1"/>
    <x v="1"/>
    <n v="21.08"/>
  </r>
  <r>
    <x v="181"/>
    <d v="2025-01-12T00:00:00"/>
    <x v="3"/>
    <x v="1"/>
    <x v="1"/>
    <x v="0"/>
    <n v="25.3"/>
    <n v="0.2"/>
    <b v="0"/>
    <n v="5.0600000000000005"/>
    <x v="0"/>
    <s v="Medium"/>
    <s v="Small"/>
    <s v="January"/>
    <n v="3"/>
    <s v="Weekend"/>
    <s v="Weekend"/>
    <x v="1"/>
    <x v="1"/>
    <n v="13.65"/>
  </r>
  <r>
    <x v="182"/>
    <d v="2025-01-12T00:00:00"/>
    <x v="3"/>
    <x v="1"/>
    <x v="3"/>
    <x v="1"/>
    <n v="19.53"/>
    <n v="0.15"/>
    <b v="0"/>
    <n v="2.9295"/>
    <x v="0"/>
    <s v="Low"/>
    <s v="Medium"/>
    <s v="January"/>
    <n v="3"/>
    <s v="Weekend"/>
    <s v="Weekend"/>
    <x v="0"/>
    <x v="0"/>
    <n v="11.265000000000001"/>
  </r>
  <r>
    <x v="183"/>
    <d v="2025-01-12T00:00:00"/>
    <x v="3"/>
    <x v="1"/>
    <x v="2"/>
    <x v="2"/>
    <n v="43.73"/>
    <n v="0.2"/>
    <b v="1"/>
    <n v="8.7460000000000004"/>
    <x v="1"/>
    <s v="Medium"/>
    <s v="Medium"/>
    <s v="January"/>
    <n v="3"/>
    <s v="Weekend"/>
    <s v="Weekend"/>
    <x v="1"/>
    <x v="1"/>
    <n v="23.864999999999998"/>
  </r>
  <r>
    <x v="184"/>
    <d v="2025-01-12T00:00:00"/>
    <x v="3"/>
    <x v="1"/>
    <x v="2"/>
    <x v="0"/>
    <n v="40.61"/>
    <n v="0.15"/>
    <b v="1"/>
    <n v="6.0914999999999999"/>
    <x v="1"/>
    <s v="Medium"/>
    <s v="Small"/>
    <s v="January"/>
    <n v="3"/>
    <s v="Weekend"/>
    <s v="Weekend"/>
    <x v="1"/>
    <x v="1"/>
    <n v="21.305"/>
  </r>
  <r>
    <x v="185"/>
    <d v="2025-01-12T00:00:00"/>
    <x v="3"/>
    <x v="1"/>
    <x v="1"/>
    <x v="5"/>
    <n v="86.69"/>
    <n v="0.15"/>
    <b v="1"/>
    <n v="13.003499999999999"/>
    <x v="1"/>
    <s v="High"/>
    <s v="Large"/>
    <s v="January"/>
    <n v="3"/>
    <s v="Weekend"/>
    <s v="Weekend"/>
    <x v="3"/>
    <x v="3"/>
    <n v="45.844999999999999"/>
  </r>
  <r>
    <x v="186"/>
    <d v="2025-01-12T00:00:00"/>
    <x v="3"/>
    <x v="1"/>
    <x v="2"/>
    <x v="1"/>
    <n v="48.43"/>
    <n v="0.15"/>
    <b v="1"/>
    <n v="7.2645"/>
    <x v="1"/>
    <s v="Medium"/>
    <s v="Medium"/>
    <s v="January"/>
    <n v="3"/>
    <s v="Weekend"/>
    <s v="Weekend"/>
    <x v="1"/>
    <x v="1"/>
    <n v="25.715"/>
  </r>
  <r>
    <x v="187"/>
    <d v="2025-01-12T00:00:00"/>
    <x v="3"/>
    <x v="1"/>
    <x v="2"/>
    <x v="5"/>
    <n v="72.150000000000006"/>
    <n v="0.15"/>
    <b v="1"/>
    <n v="10.8225"/>
    <x v="1"/>
    <s v="High"/>
    <s v="Large"/>
    <s v="January"/>
    <n v="3"/>
    <s v="Weekend"/>
    <s v="Weekend"/>
    <x v="2"/>
    <x v="2"/>
    <n v="38.575000000000003"/>
  </r>
  <r>
    <x v="188"/>
    <d v="2025-01-12T00:00:00"/>
    <x v="3"/>
    <x v="1"/>
    <x v="3"/>
    <x v="1"/>
    <n v="43.83"/>
    <n v="0.2"/>
    <b v="0"/>
    <n v="8.766"/>
    <x v="0"/>
    <s v="Medium"/>
    <s v="Medium"/>
    <s v="January"/>
    <n v="3"/>
    <s v="Weekend"/>
    <s v="Weekend"/>
    <x v="1"/>
    <x v="1"/>
    <n v="23.414999999999999"/>
  </r>
  <r>
    <x v="189"/>
    <d v="2025-01-12T00:00:00"/>
    <x v="3"/>
    <x v="1"/>
    <x v="3"/>
    <x v="1"/>
    <n v="34.54"/>
    <n v="0.2"/>
    <b v="0"/>
    <n v="6.9080000000000004"/>
    <x v="0"/>
    <s v="Medium"/>
    <s v="Medium"/>
    <s v="January"/>
    <n v="3"/>
    <s v="Weekend"/>
    <s v="Weekend"/>
    <x v="1"/>
    <x v="1"/>
    <n v="18.77"/>
  </r>
  <r>
    <x v="190"/>
    <d v="2025-01-12T00:00:00"/>
    <x v="3"/>
    <x v="1"/>
    <x v="2"/>
    <x v="0"/>
    <n v="39.950000000000003"/>
    <n v="0.18"/>
    <b v="0"/>
    <n v="7.1909999999999998"/>
    <x v="0"/>
    <s v="Medium"/>
    <s v="Small"/>
    <s v="January"/>
    <n v="3"/>
    <s v="Weekend"/>
    <s v="Weekend"/>
    <x v="1"/>
    <x v="1"/>
    <n v="20.975000000000001"/>
  </r>
  <r>
    <x v="191"/>
    <d v="2025-01-16T00:00:00"/>
    <x v="0"/>
    <x v="0"/>
    <x v="0"/>
    <x v="0"/>
    <n v="26.51"/>
    <n v="0.2"/>
    <b v="0"/>
    <n v="5.3020000000000005"/>
    <x v="0"/>
    <s v="Medium"/>
    <s v="Small"/>
    <s v="January"/>
    <n v="3"/>
    <s v="Weekday"/>
    <s v="Weekday"/>
    <x v="1"/>
    <x v="1"/>
    <n v="14.255000000000001"/>
  </r>
  <r>
    <x v="192"/>
    <d v="2025-01-16T00:00:00"/>
    <x v="0"/>
    <x v="0"/>
    <x v="2"/>
    <x v="0"/>
    <n v="14.95"/>
    <n v="0.2"/>
    <b v="1"/>
    <n v="2.99"/>
    <x v="1"/>
    <s v="Low"/>
    <s v="Small"/>
    <s v="January"/>
    <n v="3"/>
    <s v="Weekday"/>
    <s v="Weekday"/>
    <x v="0"/>
    <x v="0"/>
    <n v="8.4749999999999996"/>
  </r>
  <r>
    <x v="193"/>
    <d v="2025-01-16T00:00:00"/>
    <x v="0"/>
    <x v="0"/>
    <x v="3"/>
    <x v="0"/>
    <n v="36.04"/>
    <n v="0.18"/>
    <b v="0"/>
    <n v="6.4871999999999996"/>
    <x v="0"/>
    <s v="Medium"/>
    <s v="Small"/>
    <s v="January"/>
    <n v="3"/>
    <s v="Weekday"/>
    <s v="Weekday"/>
    <x v="1"/>
    <x v="1"/>
    <n v="19.02"/>
  </r>
  <r>
    <x v="194"/>
    <d v="2025-01-16T00:00:00"/>
    <x v="0"/>
    <x v="0"/>
    <x v="2"/>
    <x v="0"/>
    <n v="21.25"/>
    <n v="0.15"/>
    <b v="1"/>
    <n v="3.1875"/>
    <x v="1"/>
    <s v="Medium"/>
    <s v="Small"/>
    <s v="January"/>
    <n v="3"/>
    <s v="Weekday"/>
    <s v="Weekday"/>
    <x v="0"/>
    <x v="0"/>
    <n v="11.625"/>
  </r>
  <r>
    <x v="195"/>
    <d v="2025-01-16T00:00:00"/>
    <x v="0"/>
    <x v="0"/>
    <x v="3"/>
    <x v="0"/>
    <n v="23.3"/>
    <n v="0.2"/>
    <b v="0"/>
    <n v="4.66"/>
    <x v="0"/>
    <s v="Medium"/>
    <s v="Small"/>
    <s v="January"/>
    <n v="3"/>
    <s v="Weekday"/>
    <s v="Weekday"/>
    <x v="0"/>
    <x v="0"/>
    <n v="12.65"/>
  </r>
  <r>
    <x v="196"/>
    <d v="2025-01-16T00:00:00"/>
    <x v="0"/>
    <x v="0"/>
    <x v="1"/>
    <x v="0"/>
    <n v="21.57"/>
    <n v="0.18"/>
    <b v="0"/>
    <n v="3.8826000000000001"/>
    <x v="0"/>
    <s v="Medium"/>
    <s v="Small"/>
    <s v="January"/>
    <n v="3"/>
    <s v="Weekday"/>
    <s v="Weekday"/>
    <x v="0"/>
    <x v="0"/>
    <n v="11.785"/>
  </r>
  <r>
    <x v="197"/>
    <d v="2025-01-16T00:00:00"/>
    <x v="0"/>
    <x v="0"/>
    <x v="3"/>
    <x v="2"/>
    <n v="32.75"/>
    <n v="0.2"/>
    <b v="0"/>
    <n v="6.5500000000000007"/>
    <x v="0"/>
    <s v="Medium"/>
    <s v="Medium"/>
    <s v="January"/>
    <n v="3"/>
    <s v="Weekday"/>
    <s v="Weekday"/>
    <x v="1"/>
    <x v="1"/>
    <n v="18.375"/>
  </r>
  <r>
    <x v="198"/>
    <d v="2025-01-16T00:00:00"/>
    <x v="0"/>
    <x v="0"/>
    <x v="2"/>
    <x v="0"/>
    <n v="24.98"/>
    <n v="0.2"/>
    <b v="0"/>
    <n v="4.9960000000000004"/>
    <x v="0"/>
    <s v="Medium"/>
    <s v="Small"/>
    <s v="January"/>
    <n v="3"/>
    <s v="Weekday"/>
    <s v="Weekday"/>
    <x v="0"/>
    <x v="0"/>
    <n v="13.49"/>
  </r>
  <r>
    <x v="199"/>
    <d v="2025-01-16T00:00:00"/>
    <x v="0"/>
    <x v="0"/>
    <x v="2"/>
    <x v="0"/>
    <n v="13.62"/>
    <n v="0.15"/>
    <b v="0"/>
    <n v="2.0429999999999997"/>
    <x v="0"/>
    <s v="Low"/>
    <s v="Small"/>
    <s v="January"/>
    <n v="3"/>
    <s v="Weekday"/>
    <s v="Weekday"/>
    <x v="0"/>
    <x v="0"/>
    <n v="7.81"/>
  </r>
  <r>
    <x v="200"/>
    <d v="2025-01-16T00:00:00"/>
    <x v="0"/>
    <x v="0"/>
    <x v="0"/>
    <x v="1"/>
    <n v="43.84"/>
    <n v="0.2"/>
    <b v="0"/>
    <n v="8.7680000000000007"/>
    <x v="0"/>
    <s v="Medium"/>
    <s v="Medium"/>
    <s v="January"/>
    <n v="3"/>
    <s v="Weekday"/>
    <s v="Weekday"/>
    <x v="1"/>
    <x v="1"/>
    <n v="23.42"/>
  </r>
  <r>
    <x v="201"/>
    <d v="2025-01-16T00:00:00"/>
    <x v="0"/>
    <x v="0"/>
    <x v="3"/>
    <x v="0"/>
    <n v="14.37"/>
    <n v="0.18"/>
    <b v="0"/>
    <n v="2.5865999999999998"/>
    <x v="0"/>
    <s v="Low"/>
    <s v="Small"/>
    <s v="January"/>
    <n v="3"/>
    <s v="Weekday"/>
    <s v="Weekday"/>
    <x v="0"/>
    <x v="0"/>
    <n v="8.1849999999999987"/>
  </r>
  <r>
    <x v="202"/>
    <d v="2025-01-16T00:00:00"/>
    <x v="0"/>
    <x v="0"/>
    <x v="2"/>
    <x v="0"/>
    <n v="11"/>
    <n v="0.15"/>
    <b v="0"/>
    <n v="1.65"/>
    <x v="0"/>
    <s v="Low"/>
    <s v="Small"/>
    <s v="January"/>
    <n v="3"/>
    <s v="Weekday"/>
    <s v="Weekday"/>
    <x v="0"/>
    <x v="0"/>
    <n v="6.5"/>
  </r>
  <r>
    <x v="203"/>
    <d v="2025-01-16T00:00:00"/>
    <x v="0"/>
    <x v="0"/>
    <x v="2"/>
    <x v="0"/>
    <n v="28.04"/>
    <n v="0.18"/>
    <b v="0"/>
    <n v="5.0471999999999992"/>
    <x v="0"/>
    <s v="Medium"/>
    <s v="Small"/>
    <s v="January"/>
    <n v="3"/>
    <s v="Weekday"/>
    <s v="Weekday"/>
    <x v="1"/>
    <x v="1"/>
    <n v="15.02"/>
  </r>
  <r>
    <x v="204"/>
    <d v="2025-01-16T00:00:00"/>
    <x v="0"/>
    <x v="0"/>
    <x v="1"/>
    <x v="2"/>
    <n v="76.37"/>
    <n v="0.18"/>
    <b v="1"/>
    <n v="13.746600000000001"/>
    <x v="1"/>
    <s v="High"/>
    <s v="Medium"/>
    <s v="January"/>
    <n v="3"/>
    <s v="Weekday"/>
    <s v="Weekday"/>
    <x v="3"/>
    <x v="3"/>
    <n v="40.185000000000002"/>
  </r>
  <r>
    <x v="205"/>
    <d v="2025-01-16T00:00:00"/>
    <x v="0"/>
    <x v="0"/>
    <x v="3"/>
    <x v="1"/>
    <n v="29"/>
    <n v="0.25"/>
    <b v="0"/>
    <n v="7.25"/>
    <x v="0"/>
    <s v="Medium"/>
    <s v="Medium"/>
    <s v="January"/>
    <n v="3"/>
    <s v="Weekday"/>
    <s v="Weekday"/>
    <x v="1"/>
    <x v="1"/>
    <n v="16"/>
  </r>
  <r>
    <x v="206"/>
    <d v="2025-01-17T00:00:00"/>
    <x v="1"/>
    <x v="0"/>
    <x v="2"/>
    <x v="1"/>
    <n v="50.15"/>
    <n v="0.18"/>
    <b v="0"/>
    <n v="9.0269999999999992"/>
    <x v="0"/>
    <s v="High"/>
    <s v="Medium"/>
    <s v="January"/>
    <n v="3"/>
    <s v="Weekday"/>
    <s v="Weekday"/>
    <x v="2"/>
    <x v="2"/>
    <n v="26.574999999999999"/>
  </r>
  <r>
    <x v="207"/>
    <d v="2025-01-17T00:00:00"/>
    <x v="1"/>
    <x v="0"/>
    <x v="3"/>
    <x v="2"/>
    <n v="32.380000000000003"/>
    <n v="0.15"/>
    <b v="1"/>
    <n v="4.8570000000000002"/>
    <x v="1"/>
    <s v="Medium"/>
    <s v="Medium"/>
    <s v="January"/>
    <n v="3"/>
    <s v="Weekday"/>
    <s v="Weekday"/>
    <x v="1"/>
    <x v="1"/>
    <n v="18.190000000000001"/>
  </r>
  <r>
    <x v="208"/>
    <d v="2025-01-17T00:00:00"/>
    <x v="1"/>
    <x v="0"/>
    <x v="2"/>
    <x v="0"/>
    <n v="39.950000000000003"/>
    <n v="0.15"/>
    <b v="0"/>
    <n v="5.9925000000000006"/>
    <x v="0"/>
    <s v="Medium"/>
    <s v="Small"/>
    <s v="January"/>
    <n v="3"/>
    <s v="Weekday"/>
    <s v="Weekday"/>
    <x v="1"/>
    <x v="1"/>
    <n v="20.975000000000001"/>
  </r>
  <r>
    <x v="209"/>
    <d v="2025-01-17T00:00:00"/>
    <x v="1"/>
    <x v="0"/>
    <x v="1"/>
    <x v="0"/>
    <n v="38.33"/>
    <n v="0.2"/>
    <b v="0"/>
    <n v="7.6660000000000004"/>
    <x v="0"/>
    <s v="Medium"/>
    <s v="Small"/>
    <s v="January"/>
    <n v="3"/>
    <s v="Weekday"/>
    <s v="Weekday"/>
    <x v="1"/>
    <x v="1"/>
    <n v="20.164999999999999"/>
  </r>
  <r>
    <x v="210"/>
    <d v="2025-01-17T00:00:00"/>
    <x v="1"/>
    <x v="0"/>
    <x v="0"/>
    <x v="1"/>
    <n v="55.08"/>
    <n v="0.2"/>
    <b v="1"/>
    <n v="11.016"/>
    <x v="1"/>
    <s v="High"/>
    <s v="Medium"/>
    <s v="January"/>
    <n v="3"/>
    <s v="Weekday"/>
    <s v="Weekday"/>
    <x v="2"/>
    <x v="2"/>
    <n v="29.04"/>
  </r>
  <r>
    <x v="211"/>
    <d v="2025-01-17T00:00:00"/>
    <x v="1"/>
    <x v="0"/>
    <x v="3"/>
    <x v="2"/>
    <n v="31.84"/>
    <n v="0.2"/>
    <b v="0"/>
    <n v="6.3680000000000003"/>
    <x v="0"/>
    <s v="Medium"/>
    <s v="Medium"/>
    <s v="January"/>
    <n v="3"/>
    <s v="Weekday"/>
    <s v="Weekday"/>
    <x v="1"/>
    <x v="1"/>
    <n v="17.920000000000002"/>
  </r>
  <r>
    <x v="212"/>
    <d v="2025-01-17T00:00:00"/>
    <x v="1"/>
    <x v="0"/>
    <x v="1"/>
    <x v="2"/>
    <n v="34.64"/>
    <n v="0.18"/>
    <b v="0"/>
    <n v="6.2351999999999999"/>
    <x v="0"/>
    <s v="Medium"/>
    <s v="Medium"/>
    <s v="January"/>
    <n v="3"/>
    <s v="Weekday"/>
    <s v="Weekday"/>
    <x v="1"/>
    <x v="1"/>
    <n v="19.32"/>
  </r>
  <r>
    <x v="213"/>
    <d v="2025-01-17T00:00:00"/>
    <x v="1"/>
    <x v="0"/>
    <x v="1"/>
    <x v="0"/>
    <n v="22.85"/>
    <n v="0.2"/>
    <b v="0"/>
    <n v="4.57"/>
    <x v="0"/>
    <s v="Medium"/>
    <s v="Small"/>
    <s v="January"/>
    <n v="3"/>
    <s v="Weekday"/>
    <s v="Weekday"/>
    <x v="0"/>
    <x v="0"/>
    <n v="12.425000000000001"/>
  </r>
  <r>
    <x v="214"/>
    <d v="2025-01-17T00:00:00"/>
    <x v="1"/>
    <x v="0"/>
    <x v="3"/>
    <x v="1"/>
    <n v="19.34"/>
    <n v="0.15"/>
    <b v="0"/>
    <n v="2.9009999999999998"/>
    <x v="0"/>
    <s v="Low"/>
    <s v="Medium"/>
    <s v="January"/>
    <n v="3"/>
    <s v="Weekday"/>
    <s v="Weekday"/>
    <x v="0"/>
    <x v="0"/>
    <n v="11.17"/>
  </r>
  <r>
    <x v="215"/>
    <d v="2025-01-17T00:00:00"/>
    <x v="1"/>
    <x v="0"/>
    <x v="0"/>
    <x v="0"/>
    <n v="29.04"/>
    <n v="0.18"/>
    <b v="0"/>
    <n v="5.2271999999999998"/>
    <x v="0"/>
    <s v="Medium"/>
    <s v="Small"/>
    <s v="January"/>
    <n v="3"/>
    <s v="Weekday"/>
    <s v="Weekday"/>
    <x v="1"/>
    <x v="1"/>
    <n v="15.52"/>
  </r>
  <r>
    <x v="216"/>
    <d v="2025-01-17T00:00:00"/>
    <x v="1"/>
    <x v="0"/>
    <x v="3"/>
    <x v="5"/>
    <n v="80.3"/>
    <n v="0.2"/>
    <b v="0"/>
    <n v="16.059999999999999"/>
    <x v="0"/>
    <s v="High"/>
    <s v="Large"/>
    <s v="January"/>
    <n v="3"/>
    <s v="Weekday"/>
    <s v="Weekday"/>
    <x v="3"/>
    <x v="3"/>
    <n v="42.65"/>
  </r>
  <r>
    <x v="217"/>
    <d v="2025-01-17T00:00:00"/>
    <x v="1"/>
    <x v="0"/>
    <x v="2"/>
    <x v="0"/>
    <n v="21.64"/>
    <n v="0.25"/>
    <b v="1"/>
    <n v="5.41"/>
    <x v="1"/>
    <s v="Medium"/>
    <s v="Small"/>
    <s v="January"/>
    <n v="3"/>
    <s v="Weekday"/>
    <s v="Weekday"/>
    <x v="0"/>
    <x v="0"/>
    <n v="11.82"/>
  </r>
  <r>
    <x v="218"/>
    <d v="2025-01-17T00:00:00"/>
    <x v="1"/>
    <x v="0"/>
    <x v="3"/>
    <x v="0"/>
    <n v="27.55"/>
    <n v="0.25"/>
    <b v="0"/>
    <n v="6.8875000000000002"/>
    <x v="0"/>
    <s v="Medium"/>
    <s v="Small"/>
    <s v="January"/>
    <n v="3"/>
    <s v="Weekday"/>
    <s v="Weekday"/>
    <x v="1"/>
    <x v="1"/>
    <n v="14.775"/>
  </r>
  <r>
    <x v="219"/>
    <d v="2025-01-17T00:00:00"/>
    <x v="1"/>
    <x v="0"/>
    <x v="1"/>
    <x v="2"/>
    <n v="55.25"/>
    <n v="0.25"/>
    <b v="1"/>
    <n v="13.8125"/>
    <x v="1"/>
    <s v="High"/>
    <s v="Medium"/>
    <s v="January"/>
    <n v="3"/>
    <s v="Weekday"/>
    <s v="Weekday"/>
    <x v="2"/>
    <x v="2"/>
    <n v="29.625"/>
  </r>
  <r>
    <x v="220"/>
    <d v="2025-01-18T00:00:00"/>
    <x v="2"/>
    <x v="0"/>
    <x v="2"/>
    <x v="0"/>
    <n v="39.21"/>
    <n v="0.25"/>
    <b v="0"/>
    <n v="9.8025000000000002"/>
    <x v="0"/>
    <s v="Medium"/>
    <s v="Small"/>
    <s v="January"/>
    <n v="3"/>
    <s v="Weekend"/>
    <s v="Weekend"/>
    <x v="1"/>
    <x v="1"/>
    <n v="20.605"/>
  </r>
  <r>
    <x v="221"/>
    <d v="2025-01-18T00:00:00"/>
    <x v="2"/>
    <x v="0"/>
    <x v="2"/>
    <x v="0"/>
    <n v="41.82"/>
    <n v="0.2"/>
    <b v="1"/>
    <n v="8.3640000000000008"/>
    <x v="1"/>
    <s v="Medium"/>
    <s v="Small"/>
    <s v="January"/>
    <n v="3"/>
    <s v="Weekend"/>
    <s v="Weekend"/>
    <x v="1"/>
    <x v="1"/>
    <n v="21.91"/>
  </r>
  <r>
    <x v="222"/>
    <d v="2025-01-18T00:00:00"/>
    <x v="2"/>
    <x v="0"/>
    <x v="1"/>
    <x v="3"/>
    <n v="12.33"/>
    <n v="0.2"/>
    <b v="0"/>
    <n v="2.4660000000000002"/>
    <x v="0"/>
    <s v="Low"/>
    <s v="Small"/>
    <s v="January"/>
    <n v="3"/>
    <s v="Weekend"/>
    <s v="Weekend"/>
    <x v="0"/>
    <x v="0"/>
    <n v="6.665"/>
  </r>
  <r>
    <x v="223"/>
    <d v="2025-01-18T00:00:00"/>
    <x v="2"/>
    <x v="0"/>
    <x v="2"/>
    <x v="1"/>
    <n v="31.11"/>
    <n v="0.2"/>
    <b v="1"/>
    <n v="6.2220000000000004"/>
    <x v="1"/>
    <s v="Medium"/>
    <s v="Medium"/>
    <s v="January"/>
    <n v="3"/>
    <s v="Weekend"/>
    <s v="Weekend"/>
    <x v="1"/>
    <x v="1"/>
    <n v="17.055"/>
  </r>
  <r>
    <x v="224"/>
    <d v="2025-01-18T00:00:00"/>
    <x v="2"/>
    <x v="0"/>
    <x v="0"/>
    <x v="0"/>
    <n v="16.28"/>
    <n v="0.1"/>
    <b v="0"/>
    <n v="1.6280000000000001"/>
    <x v="0"/>
    <s v="Low"/>
    <s v="Small"/>
    <s v="January"/>
    <n v="3"/>
    <s v="Weekend"/>
    <s v="Weekend"/>
    <x v="0"/>
    <x v="0"/>
    <n v="9.14"/>
  </r>
  <r>
    <x v="225"/>
    <d v="2025-01-18T00:00:00"/>
    <x v="2"/>
    <x v="0"/>
    <x v="1"/>
    <x v="0"/>
    <n v="34.06"/>
    <n v="0.18"/>
    <b v="0"/>
    <n v="6.1307999999999998"/>
    <x v="0"/>
    <s v="Medium"/>
    <s v="Small"/>
    <s v="January"/>
    <n v="3"/>
    <s v="Weekend"/>
    <s v="Weekend"/>
    <x v="1"/>
    <x v="1"/>
    <n v="18.03"/>
  </r>
  <r>
    <x v="226"/>
    <d v="2025-01-18T00:00:00"/>
    <x v="2"/>
    <x v="0"/>
    <x v="0"/>
    <x v="0"/>
    <n v="35.64"/>
    <n v="0.1"/>
    <b v="1"/>
    <n v="3.5640000000000001"/>
    <x v="1"/>
    <s v="Medium"/>
    <s v="Small"/>
    <s v="January"/>
    <n v="3"/>
    <s v="Weekend"/>
    <s v="Weekend"/>
    <x v="1"/>
    <x v="1"/>
    <n v="18.82"/>
  </r>
  <r>
    <x v="227"/>
    <d v="2025-01-18T00:00:00"/>
    <x v="2"/>
    <x v="1"/>
    <x v="0"/>
    <x v="2"/>
    <n v="63.99"/>
    <n v="0.18"/>
    <b v="0"/>
    <n v="11.5182"/>
    <x v="0"/>
    <s v="High"/>
    <s v="Medium"/>
    <s v="January"/>
    <n v="3"/>
    <s v="Weekend"/>
    <s v="Weekend"/>
    <x v="2"/>
    <x v="2"/>
    <n v="33.995000000000005"/>
  </r>
  <r>
    <x v="228"/>
    <d v="2025-01-18T00:00:00"/>
    <x v="2"/>
    <x v="1"/>
    <x v="2"/>
    <x v="0"/>
    <n v="30.48"/>
    <n v="0.2"/>
    <b v="0"/>
    <n v="6.0960000000000001"/>
    <x v="0"/>
    <s v="Medium"/>
    <s v="Small"/>
    <s v="January"/>
    <n v="3"/>
    <s v="Weekend"/>
    <s v="Weekend"/>
    <x v="1"/>
    <x v="1"/>
    <n v="16.240000000000002"/>
  </r>
  <r>
    <x v="229"/>
    <d v="2025-01-18T00:00:00"/>
    <x v="2"/>
    <x v="1"/>
    <x v="0"/>
    <x v="0"/>
    <n v="21.58"/>
    <n v="0.1"/>
    <b v="0"/>
    <n v="2.1579999999999999"/>
    <x v="0"/>
    <s v="Medium"/>
    <s v="Small"/>
    <s v="January"/>
    <n v="3"/>
    <s v="Weekend"/>
    <s v="Weekend"/>
    <x v="0"/>
    <x v="0"/>
    <n v="11.79"/>
  </r>
  <r>
    <x v="230"/>
    <d v="2025-01-18T00:00:00"/>
    <x v="2"/>
    <x v="1"/>
    <x v="2"/>
    <x v="2"/>
    <n v="46.93"/>
    <n v="0.15"/>
    <b v="0"/>
    <n v="7.0394999999999994"/>
    <x v="0"/>
    <s v="Medium"/>
    <s v="Medium"/>
    <s v="January"/>
    <n v="3"/>
    <s v="Weekend"/>
    <s v="Weekend"/>
    <x v="1"/>
    <x v="1"/>
    <n v="25.465"/>
  </r>
  <r>
    <x v="231"/>
    <d v="2025-01-18T00:00:00"/>
    <x v="2"/>
    <x v="1"/>
    <x v="3"/>
    <x v="1"/>
    <n v="21.52"/>
    <n v="0.18"/>
    <b v="1"/>
    <n v="3.8735999999999997"/>
    <x v="1"/>
    <s v="Medium"/>
    <s v="Medium"/>
    <s v="January"/>
    <n v="3"/>
    <s v="Weekend"/>
    <s v="Weekend"/>
    <x v="0"/>
    <x v="0"/>
    <n v="12.26"/>
  </r>
  <r>
    <x v="232"/>
    <d v="2025-01-18T00:00:00"/>
    <x v="2"/>
    <x v="1"/>
    <x v="2"/>
    <x v="0"/>
    <n v="22.45"/>
    <n v="0.25"/>
    <b v="0"/>
    <n v="5.6124999999999998"/>
    <x v="0"/>
    <s v="Medium"/>
    <s v="Small"/>
    <s v="January"/>
    <n v="3"/>
    <s v="Weekend"/>
    <s v="Weekend"/>
    <x v="0"/>
    <x v="0"/>
    <n v="12.225"/>
  </r>
  <r>
    <x v="233"/>
    <d v="2025-01-18T00:00:00"/>
    <x v="2"/>
    <x v="1"/>
    <x v="1"/>
    <x v="0"/>
    <n v="10.97"/>
    <n v="0.18"/>
    <b v="0"/>
    <n v="1.9746000000000001"/>
    <x v="0"/>
    <s v="Low"/>
    <s v="Small"/>
    <s v="January"/>
    <n v="3"/>
    <s v="Weekend"/>
    <s v="Weekend"/>
    <x v="0"/>
    <x v="0"/>
    <n v="6.4850000000000003"/>
  </r>
  <r>
    <x v="234"/>
    <d v="2025-01-18T00:00:00"/>
    <x v="2"/>
    <x v="1"/>
    <x v="1"/>
    <x v="0"/>
    <n v="25.04"/>
    <n v="0.2"/>
    <b v="0"/>
    <n v="5.008"/>
    <x v="0"/>
    <s v="Medium"/>
    <s v="Small"/>
    <s v="January"/>
    <n v="3"/>
    <s v="Weekend"/>
    <s v="Weekend"/>
    <x v="1"/>
    <x v="1"/>
    <n v="13.52"/>
  </r>
  <r>
    <x v="235"/>
    <d v="2025-01-18T00:00:00"/>
    <x v="2"/>
    <x v="1"/>
    <x v="1"/>
    <x v="0"/>
    <n v="42.34"/>
    <n v="0.2"/>
    <b v="1"/>
    <n v="8.4680000000000017"/>
    <x v="1"/>
    <s v="Medium"/>
    <s v="Small"/>
    <s v="January"/>
    <n v="3"/>
    <s v="Weekend"/>
    <s v="Weekend"/>
    <x v="1"/>
    <x v="1"/>
    <n v="22.17"/>
  </r>
  <r>
    <x v="236"/>
    <d v="2025-01-18T00:00:00"/>
    <x v="2"/>
    <x v="1"/>
    <x v="1"/>
    <x v="0"/>
    <n v="15.45"/>
    <n v="0.2"/>
    <b v="0"/>
    <n v="3.09"/>
    <x v="0"/>
    <s v="Low"/>
    <s v="Small"/>
    <s v="January"/>
    <n v="3"/>
    <s v="Weekend"/>
    <s v="Weekend"/>
    <x v="0"/>
    <x v="0"/>
    <n v="8.7249999999999996"/>
  </r>
  <r>
    <x v="237"/>
    <d v="2025-01-18T00:00:00"/>
    <x v="2"/>
    <x v="1"/>
    <x v="0"/>
    <x v="0"/>
    <n v="6"/>
    <n v="0.1"/>
    <b v="0"/>
    <n v="0.60000000000000009"/>
    <x v="0"/>
    <s v="Low"/>
    <s v="Small"/>
    <s v="January"/>
    <n v="3"/>
    <s v="Weekend"/>
    <s v="Weekend"/>
    <x v="0"/>
    <x v="0"/>
    <n v="4"/>
  </r>
  <r>
    <x v="238"/>
    <d v="2025-01-18T00:00:00"/>
    <x v="2"/>
    <x v="1"/>
    <x v="3"/>
    <x v="1"/>
    <n v="51.23"/>
    <n v="0.15"/>
    <b v="0"/>
    <n v="7.684499999999999"/>
    <x v="0"/>
    <s v="High"/>
    <s v="Medium"/>
    <s v="January"/>
    <n v="3"/>
    <s v="Weekend"/>
    <s v="Weekend"/>
    <x v="2"/>
    <x v="2"/>
    <n v="27.114999999999998"/>
  </r>
  <r>
    <x v="239"/>
    <d v="2025-01-18T00:00:00"/>
    <x v="2"/>
    <x v="1"/>
    <x v="0"/>
    <x v="1"/>
    <n v="23.43"/>
    <n v="0.2"/>
    <b v="0"/>
    <n v="4.6859999999999999"/>
    <x v="0"/>
    <s v="Medium"/>
    <s v="Medium"/>
    <s v="January"/>
    <n v="3"/>
    <s v="Weekend"/>
    <s v="Weekend"/>
    <x v="0"/>
    <x v="0"/>
    <n v="13.215"/>
  </r>
  <r>
    <x v="240"/>
    <d v="2025-01-18T00:00:00"/>
    <x v="2"/>
    <x v="1"/>
    <x v="0"/>
    <x v="0"/>
    <n v="32.97"/>
    <n v="0.15"/>
    <b v="0"/>
    <n v="4.9455"/>
    <x v="0"/>
    <s v="Medium"/>
    <s v="Small"/>
    <s v="January"/>
    <n v="3"/>
    <s v="Weekend"/>
    <s v="Weekend"/>
    <x v="1"/>
    <x v="1"/>
    <n v="17.484999999999999"/>
  </r>
  <r>
    <x v="241"/>
    <d v="2025-01-18T00:00:00"/>
    <x v="2"/>
    <x v="1"/>
    <x v="0"/>
    <x v="0"/>
    <n v="34.71"/>
    <n v="0.2"/>
    <b v="0"/>
    <n v="6.9420000000000002"/>
    <x v="0"/>
    <s v="Medium"/>
    <s v="Small"/>
    <s v="January"/>
    <n v="3"/>
    <s v="Weekend"/>
    <s v="Weekend"/>
    <x v="1"/>
    <x v="1"/>
    <n v="18.355"/>
  </r>
  <r>
    <x v="242"/>
    <d v="2025-01-18T00:00:00"/>
    <x v="2"/>
    <x v="1"/>
    <x v="1"/>
    <x v="0"/>
    <n v="20.97"/>
    <n v="0.2"/>
    <b v="0"/>
    <n v="4.194"/>
    <x v="0"/>
    <s v="Medium"/>
    <s v="Small"/>
    <s v="January"/>
    <n v="3"/>
    <s v="Weekend"/>
    <s v="Weekend"/>
    <x v="0"/>
    <x v="0"/>
    <n v="11.484999999999999"/>
  </r>
  <r>
    <x v="243"/>
    <d v="2025-01-19T00:00:00"/>
    <x v="3"/>
    <x v="2"/>
    <x v="0"/>
    <x v="1"/>
    <n v="35.86"/>
    <n v="0.1"/>
    <b v="0"/>
    <n v="3.5860000000000003"/>
    <x v="0"/>
    <s v="Medium"/>
    <s v="Medium"/>
    <s v="January"/>
    <n v="4"/>
    <s v="Weekend"/>
    <s v="Weekend"/>
    <x v="1"/>
    <x v="1"/>
    <n v="19.43"/>
  </r>
  <r>
    <x v="244"/>
    <d v="2025-01-19T00:00:00"/>
    <x v="3"/>
    <x v="2"/>
    <x v="0"/>
    <x v="0"/>
    <n v="34.89"/>
    <n v="0.18"/>
    <b v="1"/>
    <n v="6.2801999999999998"/>
    <x v="1"/>
    <s v="Medium"/>
    <s v="Small"/>
    <s v="January"/>
    <n v="4"/>
    <s v="Weekend"/>
    <s v="Weekend"/>
    <x v="1"/>
    <x v="1"/>
    <n v="18.445"/>
  </r>
  <r>
    <x v="245"/>
    <d v="2025-01-19T00:00:00"/>
    <x v="3"/>
    <x v="2"/>
    <x v="1"/>
    <x v="3"/>
    <n v="13.23"/>
    <n v="0.2"/>
    <b v="0"/>
    <n v="2.6460000000000004"/>
    <x v="0"/>
    <s v="Low"/>
    <s v="Small"/>
    <s v="January"/>
    <n v="4"/>
    <s v="Weekend"/>
    <s v="Weekend"/>
    <x v="0"/>
    <x v="0"/>
    <n v="7.1150000000000002"/>
  </r>
  <r>
    <x v="246"/>
    <d v="2025-01-19T00:00:00"/>
    <x v="3"/>
    <x v="2"/>
    <x v="2"/>
    <x v="1"/>
    <n v="41.42"/>
    <n v="0.18"/>
    <b v="1"/>
    <n v="7.4556000000000004"/>
    <x v="1"/>
    <s v="Medium"/>
    <s v="Medium"/>
    <s v="January"/>
    <n v="4"/>
    <s v="Weekend"/>
    <s v="Weekend"/>
    <x v="1"/>
    <x v="1"/>
    <n v="22.21"/>
  </r>
  <r>
    <x v="247"/>
    <d v="2025-01-19T00:00:00"/>
    <x v="3"/>
    <x v="2"/>
    <x v="2"/>
    <x v="0"/>
    <n v="26.1"/>
    <n v="0.18"/>
    <b v="1"/>
    <n v="4.6980000000000004"/>
    <x v="1"/>
    <s v="Medium"/>
    <s v="Small"/>
    <s v="January"/>
    <n v="4"/>
    <s v="Weekend"/>
    <s v="Weekend"/>
    <x v="1"/>
    <x v="1"/>
    <n v="14.05"/>
  </r>
  <r>
    <x v="248"/>
    <d v="2025-01-19T00:00:00"/>
    <x v="3"/>
    <x v="2"/>
    <x v="0"/>
    <x v="3"/>
    <n v="12.05"/>
    <n v="0.18"/>
    <b v="0"/>
    <n v="2.169"/>
    <x v="0"/>
    <s v="Low"/>
    <s v="Small"/>
    <s v="January"/>
    <n v="4"/>
    <s v="Weekend"/>
    <s v="Weekend"/>
    <x v="0"/>
    <x v="0"/>
    <n v="6.5250000000000004"/>
  </r>
  <r>
    <x v="249"/>
    <d v="2025-01-19T00:00:00"/>
    <x v="3"/>
    <x v="2"/>
    <x v="2"/>
    <x v="3"/>
    <n v="6.02"/>
    <n v="0.2"/>
    <b v="0"/>
    <n v="1.204"/>
    <x v="0"/>
    <s v="Low"/>
    <s v="Small"/>
    <s v="January"/>
    <n v="4"/>
    <s v="Weekend"/>
    <s v="Weekend"/>
    <x v="0"/>
    <x v="0"/>
    <n v="3.51"/>
  </r>
  <r>
    <x v="250"/>
    <d v="2025-01-19T00:00:00"/>
    <x v="3"/>
    <x v="2"/>
    <x v="0"/>
    <x v="1"/>
    <n v="47.27"/>
    <n v="0.15"/>
    <b v="0"/>
    <n v="7.0905000000000005"/>
    <x v="0"/>
    <s v="Medium"/>
    <s v="Medium"/>
    <s v="January"/>
    <n v="4"/>
    <s v="Weekend"/>
    <s v="Weekend"/>
    <x v="1"/>
    <x v="1"/>
    <n v="25.135000000000002"/>
  </r>
  <r>
    <x v="251"/>
    <d v="2025-01-19T00:00:00"/>
    <x v="3"/>
    <x v="1"/>
    <x v="2"/>
    <x v="3"/>
    <n v="3.84"/>
    <n v="0.2"/>
    <b v="0"/>
    <n v="0.76800000000000002"/>
    <x v="0"/>
    <s v="Low"/>
    <s v="Small"/>
    <s v="January"/>
    <n v="4"/>
    <s v="Weekend"/>
    <s v="Weekend"/>
    <x v="0"/>
    <x v="0"/>
    <n v="2.42"/>
  </r>
  <r>
    <x v="252"/>
    <d v="2025-01-19T00:00:00"/>
    <x v="3"/>
    <x v="1"/>
    <x v="1"/>
    <x v="0"/>
    <n v="11.1"/>
    <n v="0.25"/>
    <b v="0"/>
    <n v="2.7749999999999999"/>
    <x v="0"/>
    <s v="Low"/>
    <s v="Small"/>
    <s v="January"/>
    <n v="4"/>
    <s v="Weekend"/>
    <s v="Weekend"/>
    <x v="0"/>
    <x v="0"/>
    <n v="6.55"/>
  </r>
  <r>
    <x v="253"/>
    <d v="2025-01-19T00:00:00"/>
    <x v="3"/>
    <x v="1"/>
    <x v="2"/>
    <x v="0"/>
    <n v="28.29"/>
    <n v="0.18"/>
    <b v="0"/>
    <n v="5.0922000000000001"/>
    <x v="0"/>
    <s v="Medium"/>
    <s v="Small"/>
    <s v="January"/>
    <n v="4"/>
    <s v="Weekend"/>
    <s v="Weekend"/>
    <x v="1"/>
    <x v="1"/>
    <n v="15.145"/>
  </r>
  <r>
    <x v="254"/>
    <d v="2025-01-19T00:00:00"/>
    <x v="3"/>
    <x v="1"/>
    <x v="2"/>
    <x v="0"/>
    <n v="15.15"/>
    <n v="0.2"/>
    <b v="0"/>
    <n v="3.0300000000000002"/>
    <x v="0"/>
    <s v="Low"/>
    <s v="Small"/>
    <s v="January"/>
    <n v="4"/>
    <s v="Weekend"/>
    <s v="Weekend"/>
    <x v="0"/>
    <x v="0"/>
    <n v="8.5749999999999993"/>
  </r>
  <r>
    <x v="255"/>
    <d v="2025-01-19T00:00:00"/>
    <x v="3"/>
    <x v="1"/>
    <x v="2"/>
    <x v="0"/>
    <n v="13.64"/>
    <n v="0.2"/>
    <b v="1"/>
    <n v="2.7280000000000002"/>
    <x v="1"/>
    <s v="Low"/>
    <s v="Small"/>
    <s v="January"/>
    <n v="4"/>
    <s v="Weekend"/>
    <s v="Weekend"/>
    <x v="0"/>
    <x v="0"/>
    <n v="7.82"/>
  </r>
  <r>
    <x v="256"/>
    <d v="2025-01-19T00:00:00"/>
    <x v="3"/>
    <x v="1"/>
    <x v="3"/>
    <x v="5"/>
    <n v="57"/>
    <n v="0.1"/>
    <b v="0"/>
    <n v="5.7"/>
    <x v="0"/>
    <s v="High"/>
    <s v="Large"/>
    <s v="January"/>
    <n v="4"/>
    <s v="Weekend"/>
    <s v="Weekend"/>
    <x v="2"/>
    <x v="2"/>
    <n v="31"/>
  </r>
  <r>
    <x v="257"/>
    <d v="2025-01-19T00:00:00"/>
    <x v="3"/>
    <x v="1"/>
    <x v="2"/>
    <x v="0"/>
    <n v="14.86"/>
    <n v="0.2"/>
    <b v="0"/>
    <n v="2.972"/>
    <x v="0"/>
    <s v="Low"/>
    <s v="Small"/>
    <s v="January"/>
    <n v="4"/>
    <s v="Weekend"/>
    <s v="Weekend"/>
    <x v="0"/>
    <x v="0"/>
    <n v="8.43"/>
  </r>
  <r>
    <x v="258"/>
    <d v="2025-01-19T00:00:00"/>
    <x v="3"/>
    <x v="1"/>
    <x v="0"/>
    <x v="1"/>
    <n v="36.51"/>
    <n v="0.15"/>
    <b v="0"/>
    <n v="5.4764999999999997"/>
    <x v="0"/>
    <s v="Medium"/>
    <s v="Medium"/>
    <s v="January"/>
    <n v="4"/>
    <s v="Weekend"/>
    <s v="Weekend"/>
    <x v="1"/>
    <x v="1"/>
    <n v="19.754999999999999"/>
  </r>
  <r>
    <x v="259"/>
    <d v="2025-01-19T00:00:00"/>
    <x v="3"/>
    <x v="1"/>
    <x v="1"/>
    <x v="1"/>
    <n v="32.07"/>
    <n v="0.18"/>
    <b v="1"/>
    <n v="5.7725999999999997"/>
    <x v="1"/>
    <s v="Medium"/>
    <s v="Medium"/>
    <s v="January"/>
    <n v="4"/>
    <s v="Weekend"/>
    <s v="Weekend"/>
    <x v="1"/>
    <x v="1"/>
    <n v="17.535"/>
  </r>
  <r>
    <x v="260"/>
    <d v="2025-01-19T00:00:00"/>
    <x v="3"/>
    <x v="1"/>
    <x v="3"/>
    <x v="1"/>
    <n v="25.42"/>
    <n v="0.15"/>
    <b v="0"/>
    <n v="3.8130000000000002"/>
    <x v="0"/>
    <s v="Medium"/>
    <s v="Medium"/>
    <s v="January"/>
    <n v="4"/>
    <s v="Weekend"/>
    <s v="Weekend"/>
    <x v="1"/>
    <x v="1"/>
    <n v="14.21"/>
  </r>
  <r>
    <x v="261"/>
    <d v="2025-01-19T00:00:00"/>
    <x v="3"/>
    <x v="1"/>
    <x v="2"/>
    <x v="0"/>
    <n v="23.48"/>
    <n v="0.25"/>
    <b v="1"/>
    <n v="5.87"/>
    <x v="1"/>
    <s v="Medium"/>
    <s v="Small"/>
    <s v="January"/>
    <n v="4"/>
    <s v="Weekend"/>
    <s v="Weekend"/>
    <x v="0"/>
    <x v="0"/>
    <n v="12.74"/>
  </r>
  <r>
    <x v="262"/>
    <d v="2025-01-19T00:00:00"/>
    <x v="3"/>
    <x v="1"/>
    <x v="3"/>
    <x v="0"/>
    <n v="30.43"/>
    <n v="0.2"/>
    <b v="1"/>
    <n v="6.0860000000000003"/>
    <x v="1"/>
    <s v="Medium"/>
    <s v="Small"/>
    <s v="January"/>
    <n v="4"/>
    <s v="Weekend"/>
    <s v="Weekend"/>
    <x v="1"/>
    <x v="1"/>
    <n v="16.215"/>
  </r>
  <r>
    <x v="263"/>
    <d v="2025-01-19T00:00:00"/>
    <x v="3"/>
    <x v="1"/>
    <x v="3"/>
    <x v="3"/>
    <n v="19.329999999999998"/>
    <n v="0.25"/>
    <b v="0"/>
    <n v="4.8324999999999996"/>
    <x v="0"/>
    <s v="Low"/>
    <s v="Small"/>
    <s v="January"/>
    <n v="4"/>
    <s v="Weekend"/>
    <s v="Weekend"/>
    <x v="0"/>
    <x v="0"/>
    <n v="10.164999999999999"/>
  </r>
  <r>
    <x v="264"/>
    <d v="2025-01-19T00:00:00"/>
    <x v="3"/>
    <x v="1"/>
    <x v="0"/>
    <x v="5"/>
    <n v="72.67"/>
    <n v="0.18"/>
    <b v="0"/>
    <n v="13.0806"/>
    <x v="0"/>
    <s v="High"/>
    <s v="Large"/>
    <s v="January"/>
    <n v="4"/>
    <s v="Weekend"/>
    <s v="Weekend"/>
    <x v="2"/>
    <x v="2"/>
    <n v="38.835000000000001"/>
  </r>
  <r>
    <x v="265"/>
    <d v="2025-01-19T00:00:00"/>
    <x v="3"/>
    <x v="1"/>
    <x v="1"/>
    <x v="1"/>
    <n v="50.05"/>
    <n v="0.2"/>
    <b v="1"/>
    <n v="10.01"/>
    <x v="1"/>
    <s v="High"/>
    <s v="Medium"/>
    <s v="January"/>
    <n v="4"/>
    <s v="Weekend"/>
    <s v="Weekend"/>
    <x v="2"/>
    <x v="2"/>
    <n v="26.524999999999999"/>
  </r>
  <r>
    <x v="266"/>
    <d v="2025-01-19T00:00:00"/>
    <x v="3"/>
    <x v="1"/>
    <x v="0"/>
    <x v="5"/>
    <n v="70.48"/>
    <n v="0.1"/>
    <b v="0"/>
    <n v="7.0480000000000009"/>
    <x v="0"/>
    <s v="High"/>
    <s v="Large"/>
    <s v="January"/>
    <n v="4"/>
    <s v="Weekend"/>
    <s v="Weekend"/>
    <x v="2"/>
    <x v="2"/>
    <n v="37.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17137-7449-4D19-96E4-4540BE93DA58}" name="ptRevenueTier"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5:G20" firstHeaderRow="1" firstDataRow="1" firstDataCol="1"/>
  <pivotFields count="20">
    <pivotField dataField="1" showAll="0"/>
    <pivotField numFmtId="14" showAll="0"/>
    <pivotField showAll="0"/>
    <pivotField showAll="0"/>
    <pivotField showAll="0"/>
    <pivotField showAll="0"/>
    <pivotField numFmtId="164" showAll="0"/>
    <pivotField numFmtId="9" showAll="0"/>
    <pivotField showAll="0"/>
    <pivotField numFmtId="164" showAll="0"/>
    <pivotField showAll="0"/>
    <pivotField showAll="0"/>
    <pivotField showAll="0"/>
    <pivotField showAll="0"/>
    <pivotField showAll="0"/>
    <pivotField showAll="0"/>
    <pivotField showAll="0"/>
    <pivotField axis="axisRow" showAll="0">
      <items count="5">
        <item x="0"/>
        <item x="2"/>
        <item x="3"/>
        <item x="1"/>
        <item t="default"/>
      </items>
    </pivotField>
    <pivotField axis="axisRow" showAll="0">
      <items count="5">
        <item sd="0" x="0"/>
        <item sd="0" x="1"/>
        <item sd="0" x="2"/>
        <item sd="0" x="3"/>
        <item t="default"/>
      </items>
    </pivotField>
    <pivotField numFmtId="164" showAll="0"/>
  </pivotFields>
  <rowFields count="2">
    <field x="18"/>
    <field x="17"/>
  </rowFields>
  <rowItems count="5">
    <i>
      <x/>
    </i>
    <i>
      <x v="1"/>
    </i>
    <i>
      <x v="2"/>
    </i>
    <i>
      <x v="3"/>
    </i>
    <i t="grand">
      <x/>
    </i>
  </rowItems>
  <colItems count="1">
    <i/>
  </colItems>
  <dataFields count="1">
    <dataField name="Count of Check #" fld="0" subtotal="count" baseField="18" baseItem="0"/>
  </dataFields>
  <formats count="18">
    <format dxfId="17">
      <pivotArea type="all" dataOnly="0" outline="0" fieldPosition="0"/>
    </format>
    <format dxfId="16">
      <pivotArea outline="0" collapsedLevelsAreSubtotals="1" fieldPosition="0"/>
    </format>
    <format dxfId="15">
      <pivotArea field="18" type="button" dataOnly="0" labelOnly="1" outline="0" axis="axisRow" fieldPosition="0"/>
    </format>
    <format dxfId="14">
      <pivotArea dataOnly="0" labelOnly="1" fieldPosition="0">
        <references count="1">
          <reference field="18"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8" type="button" dataOnly="0" labelOnly="1" outline="0" axis="axisRow" fieldPosition="0"/>
    </format>
    <format dxfId="8">
      <pivotArea dataOnly="0" labelOnly="1" fieldPosition="0">
        <references count="1">
          <reference field="18"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8" type="button" dataOnly="0" labelOnly="1" outline="0" axis="axisRow" fieldPosition="0"/>
    </format>
    <format dxfId="2">
      <pivotArea dataOnly="0" labelOnly="1" fieldPosition="0">
        <references count="1">
          <reference field="18" count="0"/>
        </references>
      </pivotArea>
    </format>
    <format dxfId="1">
      <pivotArea dataOnly="0" labelOnly="1" grandRow="1" outline="0" fieldPosition="0"/>
    </format>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B5D84F-ABE3-41FF-8332-A8A39404E028}"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3:G38" firstHeaderRow="1" firstDataRow="1" firstDataCol="1"/>
  <pivotFields count="20">
    <pivotField showAll="0"/>
    <pivotField numFmtId="14" showAll="0"/>
    <pivotField showAll="0"/>
    <pivotField showAll="0"/>
    <pivotField axis="axisRow" showAll="0">
      <items count="5">
        <item x="1"/>
        <item x="3"/>
        <item x="0"/>
        <item x="2"/>
        <item t="default"/>
      </items>
    </pivotField>
    <pivotField showAll="0"/>
    <pivotField numFmtId="164" showAll="0"/>
    <pivotField dataField="1" numFmtId="9" showAll="0"/>
    <pivotField showAll="0"/>
    <pivotField numFmtId="164" showAll="0"/>
    <pivotField showAll="0"/>
    <pivotField showAll="0"/>
    <pivotField showAll="0"/>
    <pivotField showAll="0"/>
    <pivotField showAll="0"/>
    <pivotField showAll="0"/>
    <pivotField showAll="0"/>
    <pivotField showAll="0"/>
    <pivotField showAll="0"/>
    <pivotField numFmtId="164" showAll="0"/>
  </pivotFields>
  <rowFields count="1">
    <field x="4"/>
  </rowFields>
  <rowItems count="5">
    <i>
      <x/>
    </i>
    <i>
      <x v="1"/>
    </i>
    <i>
      <x v="2"/>
    </i>
    <i>
      <x v="3"/>
    </i>
    <i t="grand">
      <x/>
    </i>
  </rowItems>
  <colItems count="1">
    <i/>
  </colItems>
  <dataFields count="1">
    <dataField name="Average of Tip %" fld="7" subtotal="average" baseField="4" baseItem="0" numFmtId="9"/>
  </dataFields>
  <formats count="19">
    <format dxfId="155">
      <pivotArea collapsedLevelsAreSubtotals="1" fieldPosition="0">
        <references count="1">
          <reference field="4" count="0"/>
        </references>
      </pivotArea>
    </format>
    <format dxfId="70">
      <pivotArea type="all" dataOnly="0" outline="0" fieldPosition="0"/>
    </format>
    <format dxfId="69">
      <pivotArea outline="0" collapsedLevelsAreSubtotals="1" fieldPosition="0"/>
    </format>
    <format dxfId="68">
      <pivotArea field="4" type="button" dataOnly="0" labelOnly="1" outline="0" axis="axisRow" fieldPosition="0"/>
    </format>
    <format dxfId="67">
      <pivotArea dataOnly="0" labelOnly="1" fieldPosition="0">
        <references count="1">
          <reference field="4" count="0"/>
        </references>
      </pivotArea>
    </format>
    <format dxfId="66">
      <pivotArea dataOnly="0" labelOnly="1" grandRow="1" outline="0" fieldPosition="0"/>
    </format>
    <format dxfId="65">
      <pivotArea dataOnly="0" labelOnly="1" outline="0" axis="axisValues" fieldPosition="0"/>
    </format>
    <format dxfId="42">
      <pivotArea type="all" dataOnly="0" outline="0" fieldPosition="0"/>
    </format>
    <format dxfId="41">
      <pivotArea outline="0" collapsedLevelsAreSubtotals="1" fieldPosition="0"/>
    </format>
    <format dxfId="40">
      <pivotArea field="4" type="button" dataOnly="0" labelOnly="1" outline="0" axis="axisRow" fieldPosition="0"/>
    </format>
    <format dxfId="39">
      <pivotArea dataOnly="0" labelOnly="1" fieldPosition="0">
        <references count="1">
          <reference field="4"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43A206-FA11-48EE-B429-5C4B8A47F98D}" name="ptPartyRevenu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3:C40" firstHeaderRow="1" firstDataRow="1" firstDataCol="1"/>
  <pivotFields count="20">
    <pivotField showAll="0"/>
    <pivotField numFmtId="14" showAll="0"/>
    <pivotField showAll="0"/>
    <pivotField showAll="0"/>
    <pivotField showAll="0"/>
    <pivotField axis="axisRow" showAll="0">
      <items count="7">
        <item x="3"/>
        <item x="0"/>
        <item x="1"/>
        <item x="2"/>
        <item x="5"/>
        <item x="4"/>
        <item t="default"/>
      </items>
    </pivotField>
    <pivotField dataField="1" numFmtId="164" showAll="0"/>
    <pivotField numFmtId="9" showAll="0"/>
    <pivotField showAll="0"/>
    <pivotField numFmtId="164" showAll="0"/>
    <pivotField showAll="0"/>
    <pivotField showAll="0"/>
    <pivotField showAll="0"/>
    <pivotField showAll="0"/>
    <pivotField showAll="0"/>
    <pivotField showAll="0"/>
    <pivotField showAll="0"/>
    <pivotField showAll="0"/>
    <pivotField showAll="0"/>
    <pivotField numFmtId="164" showAll="0"/>
  </pivotFields>
  <rowFields count="1">
    <field x="5"/>
  </rowFields>
  <rowItems count="7">
    <i>
      <x/>
    </i>
    <i>
      <x v="1"/>
    </i>
    <i>
      <x v="2"/>
    </i>
    <i>
      <x v="3"/>
    </i>
    <i>
      <x v="4"/>
    </i>
    <i>
      <x v="5"/>
    </i>
    <i t="grand">
      <x/>
    </i>
  </rowItems>
  <colItems count="1">
    <i/>
  </colItems>
  <dataFields count="1">
    <dataField name="Sum of Total Bill" fld="6" baseField="0" baseItem="0" numFmtId="164"/>
  </dataFields>
  <formats count="18">
    <format dxfId="76">
      <pivotArea type="all" dataOnly="0" outline="0" fieldPosition="0"/>
    </format>
    <format dxfId="75">
      <pivotArea outline="0" collapsedLevelsAreSubtotals="1" fieldPosition="0"/>
    </format>
    <format dxfId="74">
      <pivotArea field="5" type="button" dataOnly="0" labelOnly="1" outline="0" axis="axisRow" fieldPosition="0"/>
    </format>
    <format dxfId="73">
      <pivotArea dataOnly="0" labelOnly="1" fieldPosition="0">
        <references count="1">
          <reference field="5" count="0"/>
        </references>
      </pivotArea>
    </format>
    <format dxfId="72">
      <pivotArea dataOnly="0" labelOnly="1" grandRow="1" outline="0" fieldPosition="0"/>
    </format>
    <format dxfId="71">
      <pivotArea dataOnly="0" labelOnly="1" outline="0" axis="axisValues" fieldPosition="0"/>
    </format>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axis="axisValues" fieldPosition="0"/>
    </format>
  </format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0"/>
          </reference>
          <reference field="5" count="1" selected="0">
            <x v="3"/>
          </reference>
        </references>
      </pivotArea>
    </chartFormat>
    <chartFormat chart="4" format="13">
      <pivotArea type="data" outline="0" fieldPosition="0">
        <references count="2">
          <reference field="4294967294" count="1" selected="0">
            <x v="0"/>
          </reference>
          <reference field="5" count="1" selected="0">
            <x v="4"/>
          </reference>
        </references>
      </pivotArea>
    </chartFormat>
    <chartFormat chart="4"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358B67-EE08-4408-9064-FBF920927403}" name="ptPartyAnalysi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5:G12" firstHeaderRow="0" firstDataRow="1" firstDataCol="1"/>
  <pivotFields count="20">
    <pivotField showAll="0"/>
    <pivotField numFmtId="14" showAll="0"/>
    <pivotField showAll="0">
      <items count="5">
        <item x="3"/>
        <item x="0"/>
        <item x="1"/>
        <item x="2"/>
        <item t="default"/>
      </items>
    </pivotField>
    <pivotField showAll="0">
      <items count="4">
        <item x="2"/>
        <item x="1"/>
        <item x="0"/>
        <item t="default"/>
      </items>
    </pivotField>
    <pivotField showAll="0">
      <items count="5">
        <item x="1"/>
        <item x="3"/>
        <item x="0"/>
        <item x="2"/>
        <item t="default"/>
      </items>
    </pivotField>
    <pivotField axis="axisRow" showAll="0">
      <items count="7">
        <item x="3"/>
        <item x="0"/>
        <item x="1"/>
        <item x="2"/>
        <item x="5"/>
        <item x="4"/>
        <item t="default"/>
      </items>
    </pivotField>
    <pivotField dataField="1" numFmtId="164" showAll="0"/>
    <pivotField numFmtId="9" showAll="0"/>
    <pivotField showAll="0"/>
    <pivotField numFmtId="164" showAll="0"/>
    <pivotField showAll="0">
      <items count="3">
        <item x="0"/>
        <item x="1"/>
        <item t="default"/>
      </items>
    </pivotField>
    <pivotField showAll="0"/>
    <pivotField showAll="0"/>
    <pivotField showAll="0"/>
    <pivotField showAll="0"/>
    <pivotField showAll="0"/>
    <pivotField showAll="0"/>
    <pivotField showAll="0"/>
    <pivotField showAll="0"/>
    <pivotField numFmtId="164" showAll="0"/>
  </pivotFields>
  <rowFields count="1">
    <field x="5"/>
  </rowFields>
  <rowItems count="7">
    <i>
      <x/>
    </i>
    <i>
      <x v="1"/>
    </i>
    <i>
      <x v="2"/>
    </i>
    <i>
      <x v="3"/>
    </i>
    <i>
      <x v="4"/>
    </i>
    <i>
      <x v="5"/>
    </i>
    <i t="grand">
      <x/>
    </i>
  </rowItems>
  <colFields count="1">
    <field x="-2"/>
  </colFields>
  <colItems count="2">
    <i>
      <x/>
    </i>
    <i i="1">
      <x v="1"/>
    </i>
  </colItems>
  <dataFields count="2">
    <dataField name="Sum of Total Bill" fld="6" baseField="0" baseItem="0" numFmtId="164"/>
    <dataField name="Average of Total Bill2" fld="6" subtotal="average" baseField="5" baseItem="0" numFmtId="164"/>
  </dataFields>
  <formats count="24">
    <format dxfId="136">
      <pivotArea type="all" dataOnly="0" outline="0" fieldPosition="0"/>
    </format>
    <format dxfId="135">
      <pivotArea outline="0" collapsedLevelsAreSubtotals="1" fieldPosition="0"/>
    </format>
    <format dxfId="134">
      <pivotArea field="5" type="button" dataOnly="0" labelOnly="1" outline="0" axis="axisRow" fieldPosition="0"/>
    </format>
    <format dxfId="133">
      <pivotArea dataOnly="0" labelOnly="1" fieldPosition="0">
        <references count="1">
          <reference field="5" count="0"/>
        </references>
      </pivotArea>
    </format>
    <format dxfId="132">
      <pivotArea dataOnly="0" labelOnly="1" grandRow="1" outline="0" fieldPosition="0"/>
    </format>
    <format dxfId="131">
      <pivotArea dataOnly="0" labelOnly="1" outline="0" fieldPosition="0">
        <references count="1">
          <reference field="4294967294" count="2">
            <x v="0"/>
            <x v="1"/>
          </reference>
        </references>
      </pivotArea>
    </format>
    <format dxfId="130">
      <pivotArea type="all" dataOnly="0" outline="0" fieldPosition="0"/>
    </format>
    <format dxfId="129">
      <pivotArea outline="0" collapsedLevelsAreSubtotals="1" fieldPosition="0"/>
    </format>
    <format dxfId="128">
      <pivotArea field="5" type="button" dataOnly="0" labelOnly="1" outline="0" axis="axisRow" fieldPosition="0"/>
    </format>
    <format dxfId="127">
      <pivotArea dataOnly="0" labelOnly="1" fieldPosition="0">
        <references count="1">
          <reference field="5" count="0"/>
        </references>
      </pivotArea>
    </format>
    <format dxfId="126">
      <pivotArea dataOnly="0" labelOnly="1" grandRow="1" outline="0" fieldPosition="0"/>
    </format>
    <format dxfId="125">
      <pivotArea dataOnly="0" labelOnly="1" outline="0" fieldPosition="0">
        <references count="1">
          <reference field="4294967294" count="2">
            <x v="0"/>
            <x v="1"/>
          </reference>
        </references>
      </pivotArea>
    </format>
    <format dxfId="124">
      <pivotArea type="all" dataOnly="0" outline="0" fieldPosition="0"/>
    </format>
    <format dxfId="123">
      <pivotArea outline="0" collapsedLevelsAreSubtotals="1" fieldPosition="0"/>
    </format>
    <format dxfId="122">
      <pivotArea field="5" type="button" dataOnly="0" labelOnly="1" outline="0" axis="axisRow" fieldPosition="0"/>
    </format>
    <format dxfId="121">
      <pivotArea dataOnly="0" labelOnly="1" fieldPosition="0">
        <references count="1">
          <reference field="5" count="0"/>
        </references>
      </pivotArea>
    </format>
    <format dxfId="120">
      <pivotArea dataOnly="0" labelOnly="1" grandRow="1" outline="0" fieldPosition="0"/>
    </format>
    <format dxfId="119">
      <pivotArea dataOnly="0" labelOnly="1" outline="0" fieldPosition="0">
        <references count="1">
          <reference field="4294967294" count="2">
            <x v="0"/>
            <x v="1"/>
          </reference>
        </references>
      </pivotArea>
    </format>
    <format dxfId="112">
      <pivotArea type="all" dataOnly="0" outline="0" fieldPosition="0"/>
    </format>
    <format dxfId="111">
      <pivotArea outline="0" collapsedLevelsAreSubtotals="1" fieldPosition="0"/>
    </format>
    <format dxfId="110">
      <pivotArea field="5" type="button" dataOnly="0" labelOnly="1" outline="0" axis="axisRow" fieldPosition="0"/>
    </format>
    <format dxfId="109">
      <pivotArea dataOnly="0" labelOnly="1" fieldPosition="0">
        <references count="1">
          <reference field="5" count="0"/>
        </references>
      </pivotArea>
    </format>
    <format dxfId="108">
      <pivotArea dataOnly="0" labelOnly="1" grandRow="1" outline="0" fieldPosition="0"/>
    </format>
    <format dxfId="107">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16A9C2-416C-432F-B317-FA6C7AAE81E5}" name="ptPaymentAnalysi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3:C26" firstHeaderRow="1" firstDataRow="1" firstDataCol="1"/>
  <pivotFields count="20">
    <pivotField showAll="0"/>
    <pivotField numFmtId="14" showAll="0"/>
    <pivotField showAll="0">
      <items count="5">
        <item x="3"/>
        <item x="0"/>
        <item x="1"/>
        <item x="2"/>
        <item t="default"/>
      </items>
    </pivotField>
    <pivotField showAll="0">
      <items count="4">
        <item x="2"/>
        <item x="1"/>
        <item x="0"/>
        <item t="default"/>
      </items>
    </pivotField>
    <pivotField showAll="0">
      <items count="5">
        <item x="1"/>
        <item x="3"/>
        <item x="0"/>
        <item x="2"/>
        <item t="default"/>
      </items>
    </pivotField>
    <pivotField showAll="0"/>
    <pivotField dataField="1" numFmtId="164" showAll="0"/>
    <pivotField numFmtId="9" showAll="0"/>
    <pivotField showAll="0"/>
    <pivotField numFmtId="164" showAll="0"/>
    <pivotField axis="axisRow" showAll="0">
      <items count="3">
        <item x="0"/>
        <item x="1"/>
        <item t="default"/>
      </items>
    </pivotField>
    <pivotField showAll="0"/>
    <pivotField showAll="0"/>
    <pivotField showAll="0"/>
    <pivotField showAll="0"/>
    <pivotField showAll="0"/>
    <pivotField showAll="0"/>
    <pivotField showAll="0"/>
    <pivotField showAll="0"/>
    <pivotField numFmtId="164" showAll="0"/>
  </pivotFields>
  <rowFields count="1">
    <field x="10"/>
  </rowFields>
  <rowItems count="3">
    <i>
      <x/>
    </i>
    <i>
      <x v="1"/>
    </i>
    <i t="grand">
      <x/>
    </i>
  </rowItems>
  <colItems count="1">
    <i/>
  </colItems>
  <dataFields count="1">
    <dataField name="Sum of Total Bill" fld="6" baseField="0" baseItem="0" numFmtId="164"/>
  </dataFields>
  <formats count="13">
    <format dxfId="82">
      <pivotArea outline="0" collapsedLevelsAreSubtotals="1" fieldPosition="0"/>
    </format>
    <format dxfId="81">
      <pivotArea dataOnly="0" labelOnly="1" fieldPosition="0">
        <references count="1">
          <reference field="10" count="0"/>
        </references>
      </pivotArea>
    </format>
    <format dxfId="80">
      <pivotArea dataOnly="0" labelOnly="1" grandRow="1" outline="0" fieldPosition="0"/>
    </format>
    <format dxfId="64">
      <pivotArea type="all" dataOnly="0" outline="0" fieldPosition="0"/>
    </format>
    <format dxfId="63">
      <pivotArea outline="0" collapsedLevelsAreSubtotals="1" fieldPosition="0"/>
    </format>
    <format dxfId="62">
      <pivotArea field="10" type="button" dataOnly="0" labelOnly="1" outline="0" axis="axisRow" fieldPosition="0"/>
    </format>
    <format dxfId="61">
      <pivotArea dataOnly="0" labelOnly="1" fieldPosition="0">
        <references count="1">
          <reference field="10" count="0"/>
        </references>
      </pivotArea>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10" type="button" dataOnly="0" labelOnly="1" outline="0" axis="axisRow" fieldPosition="0"/>
    </format>
    <format dxfId="56">
      <pivotArea dataOnly="0" labelOnly="1" fieldPosition="0">
        <references count="1">
          <reference field="10" count="0"/>
        </references>
      </pivotArea>
    </format>
    <format dxfId="55">
      <pivotArea dataOnly="0" labelOnly="1" grandRow="1" outline="0" fieldPosition="0"/>
    </format>
  </format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7E30AA-C5E6-455C-83B1-1FC6D18F3143}" name="ptMealRevenu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5:C19" firstHeaderRow="1" firstDataRow="1" firstDataCol="1"/>
  <pivotFields count="20">
    <pivotField showAll="0"/>
    <pivotField numFmtId="14" showAll="0"/>
    <pivotField showAll="0">
      <items count="5">
        <item x="3"/>
        <item x="0"/>
        <item x="1"/>
        <item x="2"/>
        <item t="default"/>
      </items>
    </pivotField>
    <pivotField axis="axisRow" showAll="0">
      <items count="4">
        <item x="2"/>
        <item x="1"/>
        <item x="0"/>
        <item t="default"/>
      </items>
    </pivotField>
    <pivotField showAll="0">
      <items count="5">
        <item x="1"/>
        <item x="3"/>
        <item x="0"/>
        <item x="2"/>
        <item t="default"/>
      </items>
    </pivotField>
    <pivotField showAll="0"/>
    <pivotField dataField="1" numFmtId="164" showAll="0"/>
    <pivotField numFmtId="9" showAll="0"/>
    <pivotField showAll="0"/>
    <pivotField numFmtId="164" showAll="0"/>
    <pivotField showAll="0">
      <items count="3">
        <item x="0"/>
        <item x="1"/>
        <item t="default"/>
      </items>
    </pivotField>
    <pivotField showAll="0"/>
    <pivotField showAll="0"/>
    <pivotField showAll="0"/>
    <pivotField showAll="0"/>
    <pivotField showAll="0"/>
    <pivotField showAll="0"/>
    <pivotField showAll="0"/>
    <pivotField showAll="0"/>
    <pivotField numFmtId="164" showAll="0"/>
  </pivotFields>
  <rowFields count="1">
    <field x="3"/>
  </rowFields>
  <rowItems count="4">
    <i>
      <x/>
    </i>
    <i>
      <x v="1"/>
    </i>
    <i>
      <x v="2"/>
    </i>
    <i t="grand">
      <x/>
    </i>
  </rowItems>
  <colItems count="1">
    <i/>
  </colItems>
  <dataFields count="1">
    <dataField name="Sum of Total Bill" fld="6" baseField="0" baseItem="0" numFmtId="164"/>
  </dataFields>
  <formats count="24">
    <format dxfId="106">
      <pivotArea type="all" dataOnly="0" outline="0" fieldPosition="0"/>
    </format>
    <format dxfId="105">
      <pivotArea outline="0" collapsedLevelsAreSubtotals="1" fieldPosition="0"/>
    </format>
    <format dxfId="104">
      <pivotArea field="3" type="button" dataOnly="0" labelOnly="1" outline="0" axis="axisRow" fieldPosition="0"/>
    </format>
    <format dxfId="103">
      <pivotArea dataOnly="0" labelOnly="1" fieldPosition="0">
        <references count="1">
          <reference field="3"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fieldPosition="0">
        <references count="1">
          <reference field="3" count="0"/>
        </references>
      </pivotArea>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fieldPosition="0">
        <references count="1">
          <reference field="3" count="0"/>
        </references>
      </pivotArea>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3" type="button" dataOnly="0" labelOnly="1" outline="0" axis="axisRow" fieldPosition="0"/>
    </format>
    <format dxfId="85">
      <pivotArea dataOnly="0" labelOnly="1" fieldPosition="0">
        <references count="1">
          <reference field="3" count="0"/>
        </references>
      </pivotArea>
    </format>
    <format dxfId="84">
      <pivotArea dataOnly="0" labelOnly="1" grandRow="1" outline="0" fieldPosition="0"/>
    </format>
    <format dxfId="8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D3C363-E2DC-4409-913D-A34EF339FC0D}" name="ptRevenueByDay"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3:G28" firstHeaderRow="1" firstDataRow="1" firstDataCol="1"/>
  <pivotFields count="20">
    <pivotField showAll="0"/>
    <pivotField numFmtId="14" showAll="0"/>
    <pivotField axis="axisRow" showAll="0">
      <items count="5">
        <item x="3"/>
        <item x="0"/>
        <item x="1"/>
        <item x="2"/>
        <item t="default"/>
      </items>
    </pivotField>
    <pivotField showAll="0">
      <items count="4">
        <item x="2"/>
        <item x="1"/>
        <item x="0"/>
        <item t="default"/>
      </items>
    </pivotField>
    <pivotField showAll="0">
      <items count="5">
        <item x="1"/>
        <item x="3"/>
        <item x="0"/>
        <item x="2"/>
        <item t="default"/>
      </items>
    </pivotField>
    <pivotField showAll="0"/>
    <pivotField dataField="1" numFmtId="164" showAll="0"/>
    <pivotField numFmtId="9" showAll="0"/>
    <pivotField showAll="0"/>
    <pivotField numFmtId="164" showAll="0"/>
    <pivotField showAll="0">
      <items count="3">
        <item x="0"/>
        <item x="1"/>
        <item t="default"/>
      </items>
    </pivotField>
    <pivotField showAll="0"/>
    <pivotField showAll="0"/>
    <pivotField showAll="0"/>
    <pivotField showAll="0"/>
    <pivotField showAll="0"/>
    <pivotField showAll="0"/>
    <pivotField showAll="0"/>
    <pivotField showAll="0"/>
    <pivotField numFmtId="164" showAll="0"/>
  </pivotFields>
  <rowFields count="1">
    <field x="2"/>
  </rowFields>
  <rowItems count="5">
    <i>
      <x/>
    </i>
    <i>
      <x v="1"/>
    </i>
    <i>
      <x v="2"/>
    </i>
    <i>
      <x v="3"/>
    </i>
    <i t="grand">
      <x/>
    </i>
  </rowItems>
  <colItems count="1">
    <i/>
  </colItems>
  <dataFields count="1">
    <dataField name="Sum of Total Bill" fld="6" baseField="0" baseItem="0" numFmtId="164"/>
  </dataFields>
  <formats count="21">
    <format dxfId="156">
      <pivotArea type="all" dataOnly="0" outline="0" fieldPosition="0"/>
    </format>
    <format dxfId="157">
      <pivotArea outline="0" collapsedLevelsAreSubtotals="1" fieldPosition="0"/>
    </format>
    <format dxfId="158">
      <pivotArea field="2" type="button" dataOnly="0" labelOnly="1" outline="0" axis="axisRow" fieldPosition="0"/>
    </format>
    <format dxfId="159">
      <pivotArea dataOnly="0" labelOnly="1" fieldPosition="0">
        <references count="1">
          <reference field="2" count="0"/>
        </references>
      </pivotArea>
    </format>
    <format dxfId="160">
      <pivotArea dataOnly="0" labelOnly="1" grandRow="1" outline="0" fieldPosition="0"/>
    </format>
    <format dxfId="161">
      <pivotArea dataOnly="0" labelOnly="1" outline="0" axis="axisValues" fieldPosition="0"/>
    </format>
    <format dxfId="79">
      <pivotArea outline="0" collapsedLevelsAreSubtotals="1" fieldPosition="0"/>
    </format>
    <format dxfId="78">
      <pivotArea dataOnly="0" labelOnly="1" fieldPosition="0">
        <references count="1">
          <reference field="2" count="0"/>
        </references>
      </pivotArea>
    </format>
    <format dxfId="77">
      <pivotArea dataOnly="0" labelOnly="1" grandRow="1" outline="0" fieldPosition="0"/>
    </format>
    <format dxfId="54">
      <pivotArea type="all" dataOnly="0"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2" type="button" dataOnly="0" labelOnly="1" outline="0" axis="axisRow" fieldPosition="0"/>
    </format>
    <format dxfId="45">
      <pivotArea dataOnly="0" labelOnly="1" fieldPosition="0">
        <references count="1">
          <reference field="2" count="0"/>
        </references>
      </pivotArea>
    </format>
    <format dxfId="44">
      <pivotArea dataOnly="0" labelOnly="1" grandRow="1" outline="0" fieldPosition="0"/>
    </format>
    <format dxfId="4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C6D369-D254-4E99-A3C2-49CC0D4F7DCF}" name="ptRevenueByServer" cacheId="14"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10">
  <location ref="B5:C10" firstHeaderRow="1" firstDataRow="1" firstDataCol="1"/>
  <pivotFields count="20">
    <pivotField showAll="0"/>
    <pivotField numFmtId="14" showAll="0"/>
    <pivotField showAll="0">
      <items count="5">
        <item x="3"/>
        <item x="0"/>
        <item x="1"/>
        <item x="2"/>
        <item t="default"/>
      </items>
    </pivotField>
    <pivotField showAll="0">
      <items count="4">
        <item x="2"/>
        <item x="1"/>
        <item x="0"/>
        <item t="default"/>
      </items>
    </pivotField>
    <pivotField axis="axisRow" showAll="0" sortType="ascending">
      <items count="5">
        <item x="1"/>
        <item x="3"/>
        <item x="0"/>
        <item x="2"/>
        <item t="default"/>
      </items>
    </pivotField>
    <pivotField showAll="0"/>
    <pivotField dataField="1" numFmtId="164" showAll="0"/>
    <pivotField numFmtId="9" showAll="0"/>
    <pivotField showAll="0"/>
    <pivotField numFmtId="164" showAll="0"/>
    <pivotField showAll="0">
      <items count="3">
        <item x="0"/>
        <item x="1"/>
        <item t="default"/>
      </items>
    </pivotField>
    <pivotField showAll="0"/>
    <pivotField showAll="0"/>
    <pivotField showAll="0"/>
    <pivotField showAll="0"/>
    <pivotField showAll="0"/>
    <pivotField showAll="0"/>
    <pivotField showAll="0"/>
    <pivotField showAll="0"/>
    <pivotField numFmtId="164" showAll="0"/>
  </pivotFields>
  <rowFields count="1">
    <field x="4"/>
  </rowFields>
  <rowItems count="5">
    <i>
      <x/>
    </i>
    <i>
      <x v="1"/>
    </i>
    <i>
      <x v="2"/>
    </i>
    <i>
      <x v="3"/>
    </i>
    <i t="grand">
      <x/>
    </i>
  </rowItems>
  <colItems count="1">
    <i/>
  </colItems>
  <dataFields count="1">
    <dataField name="Sum of Total Bill" fld="6" baseField="0" baseItem="0" numFmtId="164"/>
  </dataFields>
  <formats count="30">
    <format dxfId="167">
      <pivotArea type="all" dataOnly="0" outline="0" fieldPosition="0"/>
    </format>
    <format dxfId="166">
      <pivotArea outline="0" collapsedLevelsAreSubtotals="1" fieldPosition="0"/>
    </format>
    <format dxfId="165">
      <pivotArea field="4" type="button" dataOnly="0" labelOnly="1" outline="0" axis="axisRow" fieldPosition="0"/>
    </format>
    <format dxfId="164">
      <pivotArea dataOnly="0" labelOnly="1" fieldPosition="0">
        <references count="1">
          <reference field="4" count="0"/>
        </references>
      </pivotArea>
    </format>
    <format dxfId="163">
      <pivotArea dataOnly="0" labelOnly="1" grandRow="1" outline="0" fieldPosition="0"/>
    </format>
    <format dxfId="162">
      <pivotArea dataOnly="0" labelOnly="1" outline="0" axis="axisValues" fieldPosition="0"/>
    </format>
    <format dxfId="154">
      <pivotArea type="all" dataOnly="0" outline="0" fieldPosition="0"/>
    </format>
    <format dxfId="153">
      <pivotArea outline="0" collapsedLevelsAreSubtotals="1" fieldPosition="0"/>
    </format>
    <format dxfId="152">
      <pivotArea field="4" type="button" dataOnly="0" labelOnly="1" outline="0" axis="axisRow" fieldPosition="0"/>
    </format>
    <format dxfId="151">
      <pivotArea dataOnly="0" labelOnly="1" fieldPosition="0">
        <references count="1">
          <reference field="4"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4" type="button" dataOnly="0" labelOnly="1" outline="0" axis="axisRow" fieldPosition="0"/>
    </format>
    <format dxfId="145">
      <pivotArea dataOnly="0" labelOnly="1" fieldPosition="0">
        <references count="1">
          <reference field="4" count="0"/>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4" type="button" dataOnly="0" labelOnly="1" outline="0" axis="axisRow" fieldPosition="0"/>
    </format>
    <format dxfId="139">
      <pivotArea dataOnly="0" labelOnly="1" fieldPosition="0">
        <references count="1">
          <reference field="4" count="0"/>
        </references>
      </pivotArea>
    </format>
    <format dxfId="138">
      <pivotArea dataOnly="0" labelOnly="1" grandRow="1" outline="0" fieldPosition="0"/>
    </format>
    <format dxfId="137">
      <pivotArea dataOnly="0" labelOnly="1" outline="0" axis="axisValues" fieldPosition="0"/>
    </format>
    <format dxfId="118">
      <pivotArea type="all" dataOnly="0" outline="0" fieldPosition="0"/>
    </format>
    <format dxfId="117">
      <pivotArea outline="0" collapsedLevelsAreSubtotals="1" fieldPosition="0"/>
    </format>
    <format dxfId="116">
      <pivotArea field="4" type="button" dataOnly="0" labelOnly="1" outline="0" axis="axisRow" fieldPosition="0"/>
    </format>
    <format dxfId="115">
      <pivotArea dataOnly="0" labelOnly="1" fieldPosition="0">
        <references count="1">
          <reference field="4" count="0"/>
        </references>
      </pivotArea>
    </format>
    <format dxfId="114">
      <pivotArea dataOnly="0" labelOnly="1" grandRow="1" outline="0" fieldPosition="0"/>
    </format>
    <format dxfId="11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CC4CD9D4-849E-427E-A85E-24B58E11AE23}" sourceName="Day">
  <pivotTables>
    <pivotTable tabId="6" name="ptRevenueByServer"/>
    <pivotTable tabId="6" name="ptMealRevenue"/>
    <pivotTable tabId="6" name="ptPartyAnalysis"/>
    <pivotTable tabId="6" name="ptPaymentAnalysis"/>
    <pivotTable tabId="6" name="ptRevenueByDay"/>
  </pivotTables>
  <data>
    <tabular pivotCacheId="1761775364">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C5250D07-DB25-4268-8F25-7603CCC7EA77}" sourceName="Time">
  <pivotTables>
    <pivotTable tabId="6" name="ptRevenueByServer"/>
    <pivotTable tabId="6" name="ptMealRevenue"/>
    <pivotTable tabId="6" name="ptPartyAnalysis"/>
    <pivotTable tabId="6" name="ptPaymentAnalysis"/>
    <pivotTable tabId="6" name="ptRevenueByDay"/>
  </pivotTables>
  <data>
    <tabular pivotCacheId="176177536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er" xr10:uid="{67CE41CB-4CC6-4B20-B7FF-233E23A8D41B}" sourceName="Server">
  <pivotTables>
    <pivotTable tabId="6" name="ptRevenueByServer"/>
    <pivotTable tabId="6" name="ptMealRevenue"/>
    <pivotTable tabId="6" name="ptPartyAnalysis"/>
    <pivotTable tabId="6" name="ptPaymentAnalysis"/>
    <pivotTable tabId="6" name="ptRevenueByDay"/>
  </pivotTables>
  <data>
    <tabular pivotCacheId="1761775364">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9B86A94D-3255-4AD0-9642-448CC24E1526}" sourceName="Payment Type">
  <pivotTables>
    <pivotTable tabId="6" name="ptRevenueByServer"/>
    <pivotTable tabId="6" name="ptMealRevenue"/>
    <pivotTable tabId="6" name="ptPartyAnalysis"/>
    <pivotTable tabId="6" name="ptPaymentAnalysis"/>
    <pivotTable tabId="6" name="ptRevenueByDay"/>
  </pivotTables>
  <data>
    <tabular pivotCacheId="176177536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C8BC2BBA-3F8E-4538-9E16-34932967FCC7}" cache="Slicer_Day" caption="Day" rowHeight="257175"/>
  <slicer name="Time" xr10:uid="{52135518-5A69-4F5E-BB6D-D2F2777971FF}" cache="Slicer_Time" caption="Time" rowHeight="257175"/>
  <slicer name="Server" xr10:uid="{4C744119-F4C4-4B75-9C3E-C3A098F084C5}" cache="Slicer_Server" caption="Server" rowHeight="257175"/>
  <slicer name="Payment Type" xr10:uid="{37C2C510-AE44-4971-AA81-56C4254F6685}" cache="Slicer_Payment_Type" caption="Payment 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73B9F5-E084-41F4-9E2E-B3320B1EBF90}" name="tblRestaurant" displayName="tblRestaurant" ref="A1:T268" totalsRowShown="0" headerRowDxfId="182">
  <autoFilter ref="A1:T268" xr:uid="{F773B9F5-E084-41F4-9E2E-B3320B1EBF90}"/>
  <tableColumns count="20">
    <tableColumn id="1" xr3:uid="{DA6E4820-DC78-4461-8972-730C126F2F44}" name="Check #" dataDxfId="181"/>
    <tableColumn id="2" xr3:uid="{90587B9F-CAFB-44E0-B70F-0C24FA32864B}" name="Date" dataDxfId="180"/>
    <tableColumn id="3" xr3:uid="{4FFACCED-119D-4BF2-A7FF-FD69DA2AC461}" name="Day"/>
    <tableColumn id="4" xr3:uid="{12047A45-FB56-4468-B70E-B546650DEBD1}" name="Time"/>
    <tableColumn id="10" xr3:uid="{C58B6CC1-9320-4E7D-AE2C-4258995AC7CC}" name="Server"/>
    <tableColumn id="5" xr3:uid="{2125429F-9245-46CC-9349-63D034FD1F08}" name="Party Size"/>
    <tableColumn id="6" xr3:uid="{30BA8931-9430-4B8C-9B8B-D5565975BAB0}" name="Total Bill" dataDxfId="179"/>
    <tableColumn id="7" xr3:uid="{7983DB6C-34BE-4E29-B3AD-5C73122A345E}" name="Tip %" dataDxfId="178"/>
    <tableColumn id="8" xr3:uid="{4CCC579B-6D8D-4008-9631-A4D7DF70E1A8}" name="Cash"/>
    <tableColumn id="11" xr3:uid="{1D38C271-6BC8-4F8C-84DE-7CAE58A3A4EE}" name="Tip Amount ($)" dataDxfId="177">
      <calculatedColumnFormula>tblRestaurant[[#This Row],[Total Bill]]*tblRestaurant[[#This Row],[Tip %]]</calculatedColumnFormula>
    </tableColumn>
    <tableColumn id="12" xr3:uid="{D2F4BB3B-4775-45B3-9AFE-E53F4747106C}" name="Payment Type" dataDxfId="176">
      <calculatedColumnFormula>IF(tblRestaurant[[#This Row],[Cash]]=TRUE,"Cash","Card")</calculatedColumnFormula>
    </tableColumn>
    <tableColumn id="13" xr3:uid="{52853DD2-E0C7-4A51-B2F0-7F729945D3C5}" name="Bill Category" dataDxfId="175">
      <calculatedColumnFormula>IF(tblRestaurant[[#This Row],[Total Bill]]&lt;20,"Low",IF(tblRestaurant[[#This Row],[Total Bill]]&lt;50,"Medium","High"))</calculatedColumnFormula>
    </tableColumn>
    <tableColumn id="14" xr3:uid="{3C1DD18E-1D1B-45B6-8DC3-88B928095BAA}" name="Party Category" dataDxfId="174">
      <calculatedColumnFormula>IF(tblRestaurant[[#This Row],[Party Size]]&lt;=2,"Small",IF(tblRestaurant[[#This Row],[Party Size]]&lt;=4,"Medium","Large"))</calculatedColumnFormula>
    </tableColumn>
    <tableColumn id="15" xr3:uid="{7DCAB54C-F10A-431E-8B3B-F65B25B8ED3C}" name="Month" dataDxfId="173">
      <calculatedColumnFormula>TEXT(tblRestaurant[[#This Row],[Date]],"mmmm")</calculatedColumnFormula>
    </tableColumn>
    <tableColumn id="16" xr3:uid="{303C9C1C-435E-4629-93B9-B850912C8BFA}" name="Week Number" dataDxfId="172">
      <calculatedColumnFormula>WEEKNUM(tblRestaurant[[#This Row],[Date]])</calculatedColumnFormula>
    </tableColumn>
    <tableColumn id="17" xr3:uid="{10DB7626-C17F-4EA4-81DD-BD4B0810B7E5}" name="Weekend" dataDxfId="171">
      <calculatedColumnFormula>IF(OR(tblRestaurant[[#This Row],[Day]]="Sat",tblRestaurant[[#This Row],[Day]]="Sun"),"Weekend","Weekday")</calculatedColumnFormula>
    </tableColumn>
    <tableColumn id="19" xr3:uid="{ACBC8F7A-2A35-4EB9-B2EC-992117E3464C}" name="Weekday" dataDxfId="170">
      <calculatedColumnFormula>IF(OR(tblRestaurant[[#This Row],[Day]]="Fri",tblRestaurant[[#This Row],[Day]]="Thu"),"Weekday","Weekend")</calculatedColumnFormula>
    </tableColumn>
    <tableColumn id="20" xr3:uid="{6DEA7BF5-C2C7-4620-983A-A23CB64B7A21}" name="Revenue Tier" dataDxfId="169">
      <calculatedColumnFormula>IF(tblRestaurant[[#This Row],[Total Bill]]&lt;25,"Bronze",IF(tblRestaurant[[#This Row],[Total Bill]]&lt;50,"Silver",IF(tblRestaurant[[#This Row],[Total Bill]]&lt;75,"Gold","Platinum")))</calculatedColumnFormula>
    </tableColumn>
    <tableColumn id="9" xr3:uid="{DBF9B1CA-9BEF-4DE1-9730-F379E57FDDC0}" name="Tier Order No" dataDxfId="18">
      <calculatedColumnFormula array="1">_xlfn.SWITCH(tblRestaurant[[#This Row],[Revenue Tier]],"Bronze",1,"Silver",2,"Gold",3,"Platinum",4)</calculatedColumnFormula>
    </tableColumn>
    <tableColumn id="18" xr3:uid="{8410A419-BC0B-43B0-8D54-21913150E9CD}" name="Average Spend Per Person" dataDxfId="168">
      <calculatedColumnFormula>AVERAGE(tblRestaurant[[#This Row],[Total Bill]],tblRestaurant[[#This Row],[Party Size]])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651D-BAF3-46A5-83F9-93B290D90563}">
  <dimension ref="A1:J268"/>
  <sheetViews>
    <sheetView tabSelected="1" topLeftCell="A257" workbookViewId="0">
      <selection activeCell="H16" sqref="H16"/>
    </sheetView>
  </sheetViews>
  <sheetFormatPr defaultRowHeight="15"/>
  <cols>
    <col min="1" max="1" width="9.140625" customWidth="1"/>
    <col min="2" max="2" width="10.7109375" customWidth="1"/>
    <col min="4" max="4" width="9.140625" customWidth="1"/>
    <col min="5" max="5" width="9.7109375" bestFit="1" customWidth="1"/>
    <col min="6" max="6" width="9.140625" customWidth="1"/>
  </cols>
  <sheetData>
    <row r="1" spans="1:10">
      <c r="A1" s="1" t="s">
        <v>0</v>
      </c>
      <c r="B1" s="1" t="s">
        <v>1</v>
      </c>
      <c r="C1" s="1" t="s">
        <v>2</v>
      </c>
      <c r="D1" s="1" t="s">
        <v>3</v>
      </c>
      <c r="E1" s="1" t="s">
        <v>5</v>
      </c>
      <c r="F1" s="1" t="s">
        <v>6</v>
      </c>
      <c r="G1" s="1" t="s">
        <v>7</v>
      </c>
      <c r="H1" s="1" t="s">
        <v>8</v>
      </c>
      <c r="I1" s="1" t="s">
        <v>4</v>
      </c>
    </row>
    <row r="2" spans="1:10">
      <c r="A2">
        <v>1</v>
      </c>
      <c r="B2" s="2">
        <v>45659</v>
      </c>
      <c r="C2" t="s">
        <v>9</v>
      </c>
      <c r="D2" t="s">
        <v>10</v>
      </c>
      <c r="E2">
        <v>2</v>
      </c>
      <c r="F2">
        <v>19.3</v>
      </c>
      <c r="G2">
        <v>0.2</v>
      </c>
      <c r="H2" t="b">
        <v>0</v>
      </c>
      <c r="I2" t="s">
        <v>11</v>
      </c>
    </row>
    <row r="3" spans="1:10">
      <c r="A3">
        <v>2</v>
      </c>
      <c r="B3" s="2">
        <v>45659</v>
      </c>
      <c r="C3" t="s">
        <v>9</v>
      </c>
      <c r="D3" t="s">
        <v>10</v>
      </c>
      <c r="E3">
        <v>3</v>
      </c>
      <c r="F3">
        <v>29.51</v>
      </c>
      <c r="G3">
        <v>0.2</v>
      </c>
      <c r="H3" t="b">
        <v>1</v>
      </c>
      <c r="I3" t="s">
        <v>13</v>
      </c>
    </row>
    <row r="4" spans="1:10">
      <c r="A4">
        <v>3</v>
      </c>
      <c r="B4" s="2">
        <v>45659</v>
      </c>
      <c r="C4" t="s">
        <v>9</v>
      </c>
      <c r="D4" t="s">
        <v>10</v>
      </c>
      <c r="E4">
        <v>3</v>
      </c>
      <c r="F4">
        <v>37.950000000000003</v>
      </c>
      <c r="G4">
        <v>0.18</v>
      </c>
      <c r="H4" t="b">
        <v>0</v>
      </c>
      <c r="I4" t="s">
        <v>11</v>
      </c>
    </row>
    <row r="5" spans="1:10">
      <c r="A5">
        <v>4</v>
      </c>
      <c r="B5" s="2">
        <v>45659</v>
      </c>
      <c r="C5" t="s">
        <v>9</v>
      </c>
      <c r="D5" t="s">
        <v>10</v>
      </c>
      <c r="E5">
        <v>2</v>
      </c>
      <c r="F5">
        <v>33.909999999999997</v>
      </c>
      <c r="G5">
        <v>0.2</v>
      </c>
      <c r="H5" t="b">
        <v>0</v>
      </c>
      <c r="I5" t="s">
        <v>14</v>
      </c>
    </row>
    <row r="6" spans="1:10">
      <c r="A6">
        <v>5</v>
      </c>
      <c r="B6" s="2">
        <v>45659</v>
      </c>
      <c r="C6" t="s">
        <v>9</v>
      </c>
      <c r="D6" t="s">
        <v>10</v>
      </c>
      <c r="E6">
        <v>4</v>
      </c>
      <c r="F6">
        <v>69.37</v>
      </c>
      <c r="G6">
        <v>0.2</v>
      </c>
      <c r="H6" t="b">
        <v>0</v>
      </c>
      <c r="I6" t="s">
        <v>11</v>
      </c>
    </row>
    <row r="7" spans="1:10">
      <c r="A7">
        <v>6</v>
      </c>
      <c r="B7" s="2">
        <v>45659</v>
      </c>
      <c r="C7" t="s">
        <v>9</v>
      </c>
      <c r="D7" t="s">
        <v>10</v>
      </c>
      <c r="E7">
        <v>4</v>
      </c>
      <c r="F7">
        <v>52.8</v>
      </c>
      <c r="G7">
        <v>0.15</v>
      </c>
      <c r="H7" t="b">
        <v>1</v>
      </c>
      <c r="I7" t="s">
        <v>13</v>
      </c>
    </row>
    <row r="8" spans="1:10">
      <c r="A8">
        <v>7</v>
      </c>
      <c r="B8" s="2">
        <v>45659</v>
      </c>
      <c r="C8" t="s">
        <v>9</v>
      </c>
      <c r="D8" t="s">
        <v>10</v>
      </c>
      <c r="E8">
        <v>2</v>
      </c>
      <c r="F8">
        <v>26.56</v>
      </c>
      <c r="G8">
        <v>0.2</v>
      </c>
      <c r="H8" t="b">
        <v>1</v>
      </c>
      <c r="I8" t="s">
        <v>13</v>
      </c>
    </row>
    <row r="9" spans="1:10">
      <c r="A9">
        <v>8</v>
      </c>
      <c r="B9" s="2">
        <v>45659</v>
      </c>
      <c r="C9" t="s">
        <v>9</v>
      </c>
      <c r="D9" t="s">
        <v>10</v>
      </c>
      <c r="E9">
        <v>4</v>
      </c>
      <c r="F9">
        <v>28.17</v>
      </c>
      <c r="G9">
        <v>0.18</v>
      </c>
      <c r="H9" t="b">
        <v>0</v>
      </c>
      <c r="I9" t="s">
        <v>11</v>
      </c>
      <c r="J9" s="3"/>
    </row>
    <row r="10" spans="1:10">
      <c r="A10">
        <v>9</v>
      </c>
      <c r="B10" s="2">
        <v>45659</v>
      </c>
      <c r="C10" t="s">
        <v>9</v>
      </c>
      <c r="D10" t="s">
        <v>10</v>
      </c>
      <c r="E10">
        <v>2</v>
      </c>
      <c r="F10">
        <v>27.36</v>
      </c>
      <c r="G10">
        <v>0.18</v>
      </c>
      <c r="H10" t="b">
        <v>0</v>
      </c>
      <c r="I10" t="s">
        <v>12</v>
      </c>
    </row>
    <row r="11" spans="1:10">
      <c r="A11">
        <v>10</v>
      </c>
      <c r="B11" s="2">
        <v>45659</v>
      </c>
      <c r="C11" t="s">
        <v>9</v>
      </c>
      <c r="D11" t="s">
        <v>10</v>
      </c>
      <c r="E11">
        <v>2</v>
      </c>
      <c r="F11">
        <v>32.07</v>
      </c>
      <c r="G11">
        <v>0.18</v>
      </c>
      <c r="H11" t="b">
        <v>0</v>
      </c>
      <c r="I11" t="s">
        <v>14</v>
      </c>
    </row>
    <row r="12" spans="1:10">
      <c r="A12">
        <v>11</v>
      </c>
      <c r="B12" s="2">
        <v>45659</v>
      </c>
      <c r="C12" t="s">
        <v>9</v>
      </c>
      <c r="D12" t="s">
        <v>10</v>
      </c>
      <c r="E12">
        <v>2</v>
      </c>
      <c r="F12">
        <v>27.14</v>
      </c>
      <c r="G12">
        <v>0.2</v>
      </c>
      <c r="H12" t="b">
        <v>1</v>
      </c>
      <c r="I12" t="s">
        <v>12</v>
      </c>
    </row>
    <row r="13" spans="1:10">
      <c r="A13">
        <v>12</v>
      </c>
      <c r="B13" s="2">
        <v>45659</v>
      </c>
      <c r="C13" t="s">
        <v>9</v>
      </c>
      <c r="D13" t="s">
        <v>10</v>
      </c>
      <c r="E13">
        <v>4</v>
      </c>
      <c r="F13">
        <v>49.93</v>
      </c>
      <c r="G13">
        <v>0.18</v>
      </c>
      <c r="H13" t="b">
        <v>0</v>
      </c>
      <c r="I13" t="s">
        <v>13</v>
      </c>
    </row>
    <row r="14" spans="1:10">
      <c r="A14">
        <v>13</v>
      </c>
      <c r="B14" s="2">
        <v>45659</v>
      </c>
      <c r="C14" t="s">
        <v>9</v>
      </c>
      <c r="D14" t="s">
        <v>10</v>
      </c>
      <c r="E14">
        <v>2</v>
      </c>
      <c r="F14">
        <v>39.090000000000003</v>
      </c>
      <c r="G14">
        <v>0.2</v>
      </c>
      <c r="H14" t="b">
        <v>0</v>
      </c>
      <c r="I14" t="s">
        <v>14</v>
      </c>
    </row>
    <row r="15" spans="1:10">
      <c r="A15">
        <v>14</v>
      </c>
      <c r="B15" s="2">
        <v>45659</v>
      </c>
      <c r="C15" t="s">
        <v>9</v>
      </c>
      <c r="D15" t="s">
        <v>10</v>
      </c>
      <c r="E15">
        <v>4</v>
      </c>
      <c r="F15">
        <v>53.5</v>
      </c>
      <c r="G15">
        <v>0.18</v>
      </c>
      <c r="H15" t="b">
        <v>1</v>
      </c>
      <c r="I15" t="s">
        <v>12</v>
      </c>
    </row>
    <row r="16" spans="1:10">
      <c r="A16">
        <v>15</v>
      </c>
      <c r="B16" s="2">
        <v>45659</v>
      </c>
      <c r="C16" t="s">
        <v>9</v>
      </c>
      <c r="D16" t="s">
        <v>10</v>
      </c>
      <c r="E16">
        <v>2</v>
      </c>
      <c r="F16">
        <v>36.42</v>
      </c>
      <c r="G16">
        <v>0.18</v>
      </c>
      <c r="H16" t="b">
        <v>0</v>
      </c>
      <c r="I16" t="s">
        <v>14</v>
      </c>
    </row>
    <row r="17" spans="1:9">
      <c r="A17">
        <v>16</v>
      </c>
      <c r="B17" s="2">
        <v>45659</v>
      </c>
      <c r="C17" t="s">
        <v>9</v>
      </c>
      <c r="D17" t="s">
        <v>10</v>
      </c>
      <c r="E17">
        <v>2</v>
      </c>
      <c r="F17">
        <v>29.41</v>
      </c>
      <c r="G17">
        <v>0.18</v>
      </c>
      <c r="H17" t="b">
        <v>0</v>
      </c>
      <c r="I17" t="s">
        <v>11</v>
      </c>
    </row>
    <row r="18" spans="1:9">
      <c r="A18">
        <v>17</v>
      </c>
      <c r="B18" s="2">
        <v>45659</v>
      </c>
      <c r="C18" t="s">
        <v>9</v>
      </c>
      <c r="D18" t="s">
        <v>10</v>
      </c>
      <c r="E18">
        <v>3</v>
      </c>
      <c r="F18">
        <v>19.36</v>
      </c>
      <c r="G18">
        <v>0.18</v>
      </c>
      <c r="H18" t="b">
        <v>0</v>
      </c>
      <c r="I18" t="s">
        <v>11</v>
      </c>
    </row>
    <row r="19" spans="1:9">
      <c r="A19">
        <v>18</v>
      </c>
      <c r="B19" s="2">
        <v>45659</v>
      </c>
      <c r="C19" t="s">
        <v>9</v>
      </c>
      <c r="D19" t="s">
        <v>10</v>
      </c>
      <c r="E19">
        <v>3</v>
      </c>
      <c r="F19">
        <v>33.82</v>
      </c>
      <c r="G19">
        <v>0.15</v>
      </c>
      <c r="H19" t="b">
        <v>0</v>
      </c>
      <c r="I19" t="s">
        <v>11</v>
      </c>
    </row>
    <row r="20" spans="1:9">
      <c r="A20">
        <v>19</v>
      </c>
      <c r="B20" s="2">
        <v>45659</v>
      </c>
      <c r="C20" t="s">
        <v>9</v>
      </c>
      <c r="D20" t="s">
        <v>10</v>
      </c>
      <c r="E20">
        <v>3</v>
      </c>
      <c r="F20">
        <v>39.97</v>
      </c>
      <c r="G20">
        <v>0.15</v>
      </c>
      <c r="H20" t="b">
        <v>0</v>
      </c>
      <c r="I20" t="s">
        <v>13</v>
      </c>
    </row>
    <row r="21" spans="1:9">
      <c r="A21">
        <v>20</v>
      </c>
      <c r="B21" s="2">
        <v>45660</v>
      </c>
      <c r="C21" t="s">
        <v>15</v>
      </c>
      <c r="D21" t="s">
        <v>10</v>
      </c>
      <c r="E21">
        <v>3</v>
      </c>
      <c r="F21">
        <v>28</v>
      </c>
      <c r="G21">
        <v>0.2</v>
      </c>
      <c r="H21" t="b">
        <v>0</v>
      </c>
      <c r="I21" t="s">
        <v>14</v>
      </c>
    </row>
    <row r="22" spans="1:9">
      <c r="A22">
        <v>21</v>
      </c>
      <c r="B22" s="2">
        <v>45660</v>
      </c>
      <c r="C22" t="s">
        <v>15</v>
      </c>
      <c r="D22" t="s">
        <v>10</v>
      </c>
      <c r="E22">
        <v>2</v>
      </c>
      <c r="F22">
        <v>27.65</v>
      </c>
      <c r="G22">
        <v>0.2</v>
      </c>
      <c r="H22" t="b">
        <v>0</v>
      </c>
      <c r="I22" t="s">
        <v>14</v>
      </c>
    </row>
    <row r="23" spans="1:9">
      <c r="A23">
        <v>22</v>
      </c>
      <c r="B23" s="2">
        <v>45660</v>
      </c>
      <c r="C23" t="s">
        <v>15</v>
      </c>
      <c r="D23" t="s">
        <v>10</v>
      </c>
      <c r="E23">
        <v>2</v>
      </c>
      <c r="F23">
        <v>14.37</v>
      </c>
      <c r="G23">
        <v>0.18</v>
      </c>
      <c r="H23" t="b">
        <v>0</v>
      </c>
      <c r="I23" t="s">
        <v>11</v>
      </c>
    </row>
    <row r="24" spans="1:9">
      <c r="A24">
        <v>23</v>
      </c>
      <c r="B24" s="2">
        <v>45660</v>
      </c>
      <c r="C24" t="s">
        <v>15</v>
      </c>
      <c r="D24" t="s">
        <v>10</v>
      </c>
      <c r="E24">
        <v>2</v>
      </c>
      <c r="F24">
        <v>10.63</v>
      </c>
      <c r="G24">
        <v>0.2</v>
      </c>
      <c r="H24" t="b">
        <v>0</v>
      </c>
      <c r="I24" t="s">
        <v>12</v>
      </c>
    </row>
    <row r="25" spans="1:9">
      <c r="A25">
        <v>24</v>
      </c>
      <c r="B25" s="2">
        <v>45660</v>
      </c>
      <c r="C25" t="s">
        <v>15</v>
      </c>
      <c r="D25" t="s">
        <v>10</v>
      </c>
      <c r="E25">
        <v>4</v>
      </c>
      <c r="F25">
        <v>55.67</v>
      </c>
      <c r="G25">
        <v>0.25</v>
      </c>
      <c r="H25" t="b">
        <v>0</v>
      </c>
      <c r="I25" t="s">
        <v>13</v>
      </c>
    </row>
    <row r="26" spans="1:9">
      <c r="A26">
        <v>25</v>
      </c>
      <c r="B26" s="2">
        <v>45660</v>
      </c>
      <c r="C26" t="s">
        <v>15</v>
      </c>
      <c r="D26" t="s">
        <v>10</v>
      </c>
      <c r="E26">
        <v>2</v>
      </c>
      <c r="F26">
        <v>15.37</v>
      </c>
      <c r="G26">
        <v>0.15</v>
      </c>
      <c r="H26" t="b">
        <v>0</v>
      </c>
      <c r="I26" t="s">
        <v>13</v>
      </c>
    </row>
    <row r="27" spans="1:9">
      <c r="A27">
        <v>26</v>
      </c>
      <c r="B27" s="2">
        <v>45660</v>
      </c>
      <c r="C27" t="s">
        <v>15</v>
      </c>
      <c r="D27" t="s">
        <v>10</v>
      </c>
      <c r="E27">
        <v>4</v>
      </c>
      <c r="F27">
        <v>64.709999999999994</v>
      </c>
      <c r="G27">
        <v>0.25</v>
      </c>
      <c r="H27" t="b">
        <v>0</v>
      </c>
      <c r="I27" t="s">
        <v>13</v>
      </c>
    </row>
    <row r="28" spans="1:9">
      <c r="A28">
        <v>27</v>
      </c>
      <c r="B28" s="2">
        <v>45660</v>
      </c>
      <c r="C28" t="s">
        <v>15</v>
      </c>
      <c r="D28" t="s">
        <v>10</v>
      </c>
      <c r="E28">
        <v>2</v>
      </c>
      <c r="F28">
        <v>31.11</v>
      </c>
      <c r="G28">
        <v>0.2</v>
      </c>
      <c r="H28" t="b">
        <v>1</v>
      </c>
      <c r="I28" t="s">
        <v>11</v>
      </c>
    </row>
    <row r="29" spans="1:9">
      <c r="A29">
        <v>28</v>
      </c>
      <c r="B29" s="2">
        <v>45660</v>
      </c>
      <c r="C29" t="s">
        <v>15</v>
      </c>
      <c r="D29" t="s">
        <v>10</v>
      </c>
      <c r="E29">
        <v>2</v>
      </c>
      <c r="F29">
        <v>29.48</v>
      </c>
      <c r="G29">
        <v>0.2</v>
      </c>
      <c r="H29" t="b">
        <v>0</v>
      </c>
      <c r="I29" t="s">
        <v>14</v>
      </c>
    </row>
    <row r="30" spans="1:9">
      <c r="A30">
        <v>29</v>
      </c>
      <c r="B30" s="2">
        <v>45660</v>
      </c>
      <c r="C30" t="s">
        <v>15</v>
      </c>
      <c r="D30" t="s">
        <v>10</v>
      </c>
      <c r="E30">
        <v>2</v>
      </c>
      <c r="F30">
        <v>15.51</v>
      </c>
      <c r="G30">
        <v>0.2</v>
      </c>
      <c r="H30" t="b">
        <v>0</v>
      </c>
      <c r="I30" t="s">
        <v>13</v>
      </c>
    </row>
    <row r="31" spans="1:9">
      <c r="A31">
        <v>30</v>
      </c>
      <c r="B31" s="2">
        <v>45660</v>
      </c>
      <c r="C31" t="s">
        <v>15</v>
      </c>
      <c r="D31" t="s">
        <v>10</v>
      </c>
      <c r="E31">
        <v>2</v>
      </c>
      <c r="F31">
        <v>20.64</v>
      </c>
      <c r="G31">
        <v>0.2</v>
      </c>
      <c r="H31" t="b">
        <v>0</v>
      </c>
      <c r="I31" t="s">
        <v>11</v>
      </c>
    </row>
    <row r="32" spans="1:9">
      <c r="A32">
        <v>31</v>
      </c>
      <c r="B32" s="2">
        <v>45660</v>
      </c>
      <c r="C32" t="s">
        <v>15</v>
      </c>
      <c r="D32" t="s">
        <v>10</v>
      </c>
      <c r="E32">
        <v>2</v>
      </c>
      <c r="F32">
        <v>16.100000000000001</v>
      </c>
      <c r="G32">
        <v>0.25</v>
      </c>
      <c r="H32" t="b">
        <v>0</v>
      </c>
      <c r="I32" t="s">
        <v>11</v>
      </c>
    </row>
    <row r="33" spans="1:9">
      <c r="A33">
        <v>32</v>
      </c>
      <c r="B33" s="2">
        <v>45660</v>
      </c>
      <c r="C33" t="s">
        <v>15</v>
      </c>
      <c r="D33" t="s">
        <v>10</v>
      </c>
      <c r="E33">
        <v>4</v>
      </c>
      <c r="F33">
        <v>40.03</v>
      </c>
      <c r="G33">
        <v>0.2</v>
      </c>
      <c r="H33" t="b">
        <v>0</v>
      </c>
      <c r="I33" t="s">
        <v>14</v>
      </c>
    </row>
    <row r="34" spans="1:9">
      <c r="A34">
        <v>33</v>
      </c>
      <c r="B34" s="2">
        <v>45660</v>
      </c>
      <c r="C34" t="s">
        <v>15</v>
      </c>
      <c r="D34" t="s">
        <v>10</v>
      </c>
      <c r="E34">
        <v>2</v>
      </c>
      <c r="F34">
        <v>34.590000000000003</v>
      </c>
      <c r="G34">
        <v>0.15</v>
      </c>
      <c r="H34" t="b">
        <v>0</v>
      </c>
      <c r="I34" t="s">
        <v>14</v>
      </c>
    </row>
    <row r="35" spans="1:9">
      <c r="A35">
        <v>34</v>
      </c>
      <c r="B35" s="2">
        <v>45660</v>
      </c>
      <c r="C35" t="s">
        <v>15</v>
      </c>
      <c r="D35" t="s">
        <v>10</v>
      </c>
      <c r="E35">
        <v>4</v>
      </c>
      <c r="F35">
        <v>52.89</v>
      </c>
      <c r="G35">
        <v>0.18</v>
      </c>
      <c r="H35" t="b">
        <v>0</v>
      </c>
      <c r="I35" t="s">
        <v>12</v>
      </c>
    </row>
    <row r="36" spans="1:9">
      <c r="A36">
        <v>35</v>
      </c>
      <c r="B36" s="2">
        <v>45660</v>
      </c>
      <c r="C36" t="s">
        <v>15</v>
      </c>
      <c r="D36" t="s">
        <v>10</v>
      </c>
      <c r="E36">
        <v>2</v>
      </c>
      <c r="F36">
        <v>36.22</v>
      </c>
      <c r="G36">
        <v>0.2</v>
      </c>
      <c r="H36" t="b">
        <v>1</v>
      </c>
      <c r="I36" t="s">
        <v>14</v>
      </c>
    </row>
    <row r="37" spans="1:9">
      <c r="A37">
        <v>36</v>
      </c>
      <c r="B37" s="2">
        <v>45660</v>
      </c>
      <c r="C37" t="s">
        <v>15</v>
      </c>
      <c r="D37" t="s">
        <v>10</v>
      </c>
      <c r="E37">
        <v>3</v>
      </c>
      <c r="F37">
        <v>36.619999999999997</v>
      </c>
      <c r="G37">
        <v>0.15</v>
      </c>
      <c r="H37" t="b">
        <v>1</v>
      </c>
      <c r="I37" t="s">
        <v>14</v>
      </c>
    </row>
    <row r="38" spans="1:9">
      <c r="A38">
        <v>37</v>
      </c>
      <c r="B38" s="2">
        <v>45660</v>
      </c>
      <c r="C38" t="s">
        <v>15</v>
      </c>
      <c r="D38" t="s">
        <v>10</v>
      </c>
      <c r="E38">
        <v>3</v>
      </c>
      <c r="F38">
        <v>35.729999999999997</v>
      </c>
      <c r="G38">
        <v>0.18</v>
      </c>
      <c r="H38" t="b">
        <v>0</v>
      </c>
      <c r="I38" t="s">
        <v>14</v>
      </c>
    </row>
    <row r="39" spans="1:9">
      <c r="A39">
        <v>38</v>
      </c>
      <c r="B39" s="2">
        <v>45660</v>
      </c>
      <c r="C39" t="s">
        <v>15</v>
      </c>
      <c r="D39" t="s">
        <v>10</v>
      </c>
      <c r="E39">
        <v>3</v>
      </c>
      <c r="F39">
        <v>51.16</v>
      </c>
      <c r="G39">
        <v>0.18</v>
      </c>
      <c r="H39" t="b">
        <v>0</v>
      </c>
      <c r="I39" t="s">
        <v>14</v>
      </c>
    </row>
    <row r="40" spans="1:9">
      <c r="A40">
        <v>39</v>
      </c>
      <c r="B40" s="2">
        <v>45660</v>
      </c>
      <c r="C40" t="s">
        <v>15</v>
      </c>
      <c r="D40" t="s">
        <v>10</v>
      </c>
      <c r="E40">
        <v>3</v>
      </c>
      <c r="F40">
        <v>50.68</v>
      </c>
      <c r="G40">
        <v>0.2</v>
      </c>
      <c r="H40" t="b">
        <v>0</v>
      </c>
      <c r="I40" t="s">
        <v>11</v>
      </c>
    </row>
    <row r="41" spans="1:9">
      <c r="A41">
        <v>40</v>
      </c>
      <c r="B41" s="2">
        <v>45660</v>
      </c>
      <c r="C41" t="s">
        <v>15</v>
      </c>
      <c r="D41" t="s">
        <v>10</v>
      </c>
      <c r="E41">
        <v>3</v>
      </c>
      <c r="F41">
        <v>37.25</v>
      </c>
      <c r="G41">
        <v>0.1</v>
      </c>
      <c r="H41" t="b">
        <v>0</v>
      </c>
      <c r="I41" t="s">
        <v>11</v>
      </c>
    </row>
    <row r="42" spans="1:9">
      <c r="A42">
        <v>41</v>
      </c>
      <c r="B42" s="2">
        <v>45660</v>
      </c>
      <c r="C42" t="s">
        <v>15</v>
      </c>
      <c r="D42" t="s">
        <v>10</v>
      </c>
      <c r="E42">
        <v>3</v>
      </c>
      <c r="F42">
        <v>22.38</v>
      </c>
      <c r="G42">
        <v>0.15</v>
      </c>
      <c r="H42" t="b">
        <v>0</v>
      </c>
      <c r="I42" t="s">
        <v>14</v>
      </c>
    </row>
    <row r="43" spans="1:9">
      <c r="A43">
        <v>42</v>
      </c>
      <c r="B43" s="2">
        <v>45661</v>
      </c>
      <c r="C43" t="s">
        <v>16</v>
      </c>
      <c r="D43" t="s">
        <v>10</v>
      </c>
      <c r="E43">
        <v>2</v>
      </c>
      <c r="F43">
        <v>23.16</v>
      </c>
      <c r="G43">
        <v>0.2</v>
      </c>
      <c r="H43" t="b">
        <v>1</v>
      </c>
      <c r="I43" t="s">
        <v>14</v>
      </c>
    </row>
    <row r="44" spans="1:9">
      <c r="A44">
        <v>43</v>
      </c>
      <c r="B44" s="2">
        <v>45661</v>
      </c>
      <c r="C44" t="s">
        <v>16</v>
      </c>
      <c r="D44" t="s">
        <v>10</v>
      </c>
      <c r="E44">
        <v>2</v>
      </c>
      <c r="F44">
        <v>19.46</v>
      </c>
      <c r="G44">
        <v>0.1</v>
      </c>
      <c r="H44" t="b">
        <v>1</v>
      </c>
      <c r="I44" t="s">
        <v>12</v>
      </c>
    </row>
    <row r="45" spans="1:9">
      <c r="A45">
        <v>44</v>
      </c>
      <c r="B45" s="2">
        <v>45661</v>
      </c>
      <c r="C45" t="s">
        <v>16</v>
      </c>
      <c r="D45" t="s">
        <v>10</v>
      </c>
      <c r="E45">
        <v>2</v>
      </c>
      <c r="F45">
        <v>27.81</v>
      </c>
      <c r="G45">
        <v>0.25</v>
      </c>
      <c r="H45" t="b">
        <v>1</v>
      </c>
      <c r="I45" t="s">
        <v>11</v>
      </c>
    </row>
    <row r="46" spans="1:9">
      <c r="A46">
        <v>45</v>
      </c>
      <c r="B46" s="2">
        <v>45661</v>
      </c>
      <c r="C46" t="s">
        <v>16</v>
      </c>
      <c r="D46" t="s">
        <v>10</v>
      </c>
      <c r="E46">
        <v>4</v>
      </c>
      <c r="F46">
        <v>52.87</v>
      </c>
      <c r="G46">
        <v>0.18</v>
      </c>
      <c r="H46" t="b">
        <v>0</v>
      </c>
      <c r="I46" t="s">
        <v>12</v>
      </c>
    </row>
    <row r="47" spans="1:9">
      <c r="A47">
        <v>46</v>
      </c>
      <c r="B47" s="2">
        <v>45661</v>
      </c>
      <c r="C47" t="s">
        <v>16</v>
      </c>
      <c r="D47" t="s">
        <v>10</v>
      </c>
      <c r="E47">
        <v>2</v>
      </c>
      <c r="F47">
        <v>19.23</v>
      </c>
      <c r="G47">
        <v>0.2</v>
      </c>
      <c r="H47" t="b">
        <v>0</v>
      </c>
      <c r="I47" t="s">
        <v>12</v>
      </c>
    </row>
    <row r="48" spans="1:9">
      <c r="A48">
        <v>47</v>
      </c>
      <c r="B48" s="2">
        <v>45661</v>
      </c>
      <c r="C48" t="s">
        <v>16</v>
      </c>
      <c r="D48" t="s">
        <v>10</v>
      </c>
      <c r="E48">
        <v>2</v>
      </c>
      <c r="F48">
        <v>28.09</v>
      </c>
      <c r="G48">
        <v>0.2</v>
      </c>
      <c r="H48" t="b">
        <v>0</v>
      </c>
      <c r="I48" t="s">
        <v>12</v>
      </c>
    </row>
    <row r="49" spans="1:9">
      <c r="A49">
        <v>48</v>
      </c>
      <c r="B49" s="2">
        <v>45661</v>
      </c>
      <c r="C49" t="s">
        <v>16</v>
      </c>
      <c r="D49" t="s">
        <v>10</v>
      </c>
      <c r="E49">
        <v>4</v>
      </c>
      <c r="F49">
        <v>67.22</v>
      </c>
      <c r="G49">
        <v>0.15</v>
      </c>
      <c r="H49" t="b">
        <v>1</v>
      </c>
      <c r="I49" t="s">
        <v>13</v>
      </c>
    </row>
    <row r="50" spans="1:9">
      <c r="A50">
        <v>49</v>
      </c>
      <c r="B50" s="2">
        <v>45661</v>
      </c>
      <c r="C50" t="s">
        <v>16</v>
      </c>
      <c r="D50" t="s">
        <v>10</v>
      </c>
      <c r="E50">
        <v>3</v>
      </c>
      <c r="F50">
        <v>17.649999999999999</v>
      </c>
      <c r="G50">
        <v>0.15</v>
      </c>
      <c r="H50" t="b">
        <v>0</v>
      </c>
      <c r="I50" t="s">
        <v>12</v>
      </c>
    </row>
    <row r="51" spans="1:9">
      <c r="A51">
        <v>50</v>
      </c>
      <c r="B51" s="2">
        <v>45661</v>
      </c>
      <c r="C51" t="s">
        <v>16</v>
      </c>
      <c r="D51" t="s">
        <v>10</v>
      </c>
      <c r="E51">
        <v>2</v>
      </c>
      <c r="F51">
        <v>20.77</v>
      </c>
      <c r="G51">
        <v>0.2</v>
      </c>
      <c r="H51" t="b">
        <v>0</v>
      </c>
      <c r="I51" t="s">
        <v>14</v>
      </c>
    </row>
    <row r="52" spans="1:9">
      <c r="A52">
        <v>51</v>
      </c>
      <c r="B52" s="2">
        <v>45661</v>
      </c>
      <c r="C52" t="s">
        <v>16</v>
      </c>
      <c r="D52" t="s">
        <v>10</v>
      </c>
      <c r="E52">
        <v>2</v>
      </c>
      <c r="F52">
        <v>22.38</v>
      </c>
      <c r="G52">
        <v>0.15</v>
      </c>
      <c r="H52" t="b">
        <v>0</v>
      </c>
      <c r="I52" t="s">
        <v>12</v>
      </c>
    </row>
    <row r="53" spans="1:9">
      <c r="A53">
        <v>52</v>
      </c>
      <c r="B53" s="2">
        <v>45661</v>
      </c>
      <c r="C53" t="s">
        <v>16</v>
      </c>
      <c r="D53" t="s">
        <v>10</v>
      </c>
      <c r="E53">
        <v>2</v>
      </c>
      <c r="F53">
        <v>12.95</v>
      </c>
      <c r="G53">
        <v>0.25</v>
      </c>
      <c r="H53" t="b">
        <v>0</v>
      </c>
      <c r="I53" t="s">
        <v>13</v>
      </c>
    </row>
    <row r="54" spans="1:9">
      <c r="A54">
        <v>53</v>
      </c>
      <c r="B54" s="2">
        <v>45661</v>
      </c>
      <c r="C54" t="s">
        <v>16</v>
      </c>
      <c r="D54" t="s">
        <v>10</v>
      </c>
      <c r="E54">
        <v>4</v>
      </c>
      <c r="F54">
        <v>54.23</v>
      </c>
      <c r="G54">
        <v>0.18</v>
      </c>
      <c r="H54" t="b">
        <v>0</v>
      </c>
      <c r="I54" t="s">
        <v>13</v>
      </c>
    </row>
    <row r="55" spans="1:9">
      <c r="A55">
        <v>54</v>
      </c>
      <c r="B55" s="2">
        <v>45661</v>
      </c>
      <c r="C55" t="s">
        <v>16</v>
      </c>
      <c r="D55" t="s">
        <v>10</v>
      </c>
      <c r="E55">
        <v>2</v>
      </c>
      <c r="F55">
        <v>30.23</v>
      </c>
      <c r="G55">
        <v>0.2</v>
      </c>
      <c r="H55" t="b">
        <v>0</v>
      </c>
      <c r="I55" t="s">
        <v>13</v>
      </c>
    </row>
    <row r="56" spans="1:9">
      <c r="A56">
        <v>55</v>
      </c>
      <c r="B56" s="2">
        <v>45661</v>
      </c>
      <c r="C56" t="s">
        <v>16</v>
      </c>
      <c r="D56" t="s">
        <v>10</v>
      </c>
      <c r="E56">
        <v>4</v>
      </c>
      <c r="F56">
        <v>43.6</v>
      </c>
      <c r="G56">
        <v>0.25</v>
      </c>
      <c r="H56" t="b">
        <v>0</v>
      </c>
      <c r="I56" t="s">
        <v>14</v>
      </c>
    </row>
    <row r="57" spans="1:9">
      <c r="A57">
        <v>56</v>
      </c>
      <c r="B57" s="2">
        <v>45661</v>
      </c>
      <c r="C57" t="s">
        <v>16</v>
      </c>
      <c r="D57" t="s">
        <v>10</v>
      </c>
      <c r="E57">
        <v>2</v>
      </c>
      <c r="F57">
        <v>27.24</v>
      </c>
      <c r="G57">
        <v>0.1</v>
      </c>
      <c r="H57" t="b">
        <v>0</v>
      </c>
      <c r="I57" t="s">
        <v>12</v>
      </c>
    </row>
    <row r="58" spans="1:9">
      <c r="A58">
        <v>57</v>
      </c>
      <c r="B58" s="2">
        <v>45661</v>
      </c>
      <c r="C58" t="s">
        <v>16</v>
      </c>
      <c r="D58" t="s">
        <v>17</v>
      </c>
      <c r="E58">
        <v>4</v>
      </c>
      <c r="F58">
        <v>81.150000000000006</v>
      </c>
      <c r="G58">
        <v>0.15</v>
      </c>
      <c r="H58" t="b">
        <v>0</v>
      </c>
      <c r="I58" t="s">
        <v>14</v>
      </c>
    </row>
    <row r="59" spans="1:9">
      <c r="A59">
        <v>58</v>
      </c>
      <c r="B59" s="2">
        <v>45661</v>
      </c>
      <c r="C59" t="s">
        <v>16</v>
      </c>
      <c r="D59" t="s">
        <v>17</v>
      </c>
      <c r="E59">
        <v>2</v>
      </c>
      <c r="F59">
        <v>26.82</v>
      </c>
      <c r="G59">
        <v>0.2</v>
      </c>
      <c r="H59" t="b">
        <v>0</v>
      </c>
      <c r="I59" t="s">
        <v>12</v>
      </c>
    </row>
    <row r="60" spans="1:9">
      <c r="A60">
        <v>59</v>
      </c>
      <c r="B60" s="2">
        <v>45661</v>
      </c>
      <c r="C60" t="s">
        <v>16</v>
      </c>
      <c r="D60" t="s">
        <v>17</v>
      </c>
      <c r="E60">
        <v>2</v>
      </c>
      <c r="F60">
        <v>20.85</v>
      </c>
      <c r="G60">
        <v>0.2</v>
      </c>
      <c r="H60" t="b">
        <v>0</v>
      </c>
      <c r="I60" t="s">
        <v>12</v>
      </c>
    </row>
    <row r="61" spans="1:9">
      <c r="A61">
        <v>60</v>
      </c>
      <c r="B61" s="2">
        <v>45661</v>
      </c>
      <c r="C61" t="s">
        <v>16</v>
      </c>
      <c r="D61" t="s">
        <v>17</v>
      </c>
      <c r="E61">
        <v>4</v>
      </c>
      <c r="F61">
        <v>50.36</v>
      </c>
      <c r="G61">
        <v>0.25</v>
      </c>
      <c r="H61" t="b">
        <v>0</v>
      </c>
      <c r="I61" t="s">
        <v>14</v>
      </c>
    </row>
    <row r="62" spans="1:9">
      <c r="A62">
        <v>61</v>
      </c>
      <c r="B62" s="2">
        <v>45661</v>
      </c>
      <c r="C62" t="s">
        <v>16</v>
      </c>
      <c r="D62" t="s">
        <v>17</v>
      </c>
      <c r="E62">
        <v>2</v>
      </c>
      <c r="F62">
        <v>20.73</v>
      </c>
      <c r="G62">
        <v>0.15</v>
      </c>
      <c r="H62" t="b">
        <v>1</v>
      </c>
      <c r="I62" t="s">
        <v>11</v>
      </c>
    </row>
    <row r="63" spans="1:9">
      <c r="A63">
        <v>62</v>
      </c>
      <c r="B63" s="2">
        <v>45661</v>
      </c>
      <c r="C63" t="s">
        <v>16</v>
      </c>
      <c r="D63" t="s">
        <v>17</v>
      </c>
      <c r="E63">
        <v>2</v>
      </c>
      <c r="F63">
        <v>30.1</v>
      </c>
      <c r="G63">
        <v>0.2</v>
      </c>
      <c r="H63" t="b">
        <v>0</v>
      </c>
      <c r="I63" t="s">
        <v>14</v>
      </c>
    </row>
    <row r="64" spans="1:9">
      <c r="A64">
        <v>63</v>
      </c>
      <c r="B64" s="2">
        <v>45661</v>
      </c>
      <c r="C64" t="s">
        <v>16</v>
      </c>
      <c r="D64" t="s">
        <v>17</v>
      </c>
      <c r="E64">
        <v>2</v>
      </c>
      <c r="F64">
        <v>17.309999999999999</v>
      </c>
      <c r="G64">
        <v>0.15</v>
      </c>
      <c r="H64" t="b">
        <v>0</v>
      </c>
      <c r="I64" t="s">
        <v>11</v>
      </c>
    </row>
    <row r="65" spans="1:9">
      <c r="A65">
        <v>64</v>
      </c>
      <c r="B65" s="2">
        <v>45661</v>
      </c>
      <c r="C65" t="s">
        <v>16</v>
      </c>
      <c r="D65" t="s">
        <v>17</v>
      </c>
      <c r="E65">
        <v>4</v>
      </c>
      <c r="F65">
        <v>54.52</v>
      </c>
      <c r="G65">
        <v>0.18</v>
      </c>
      <c r="H65" t="b">
        <v>0</v>
      </c>
      <c r="I65" t="s">
        <v>12</v>
      </c>
    </row>
    <row r="66" spans="1:9">
      <c r="A66">
        <v>65</v>
      </c>
      <c r="B66" s="2">
        <v>45661</v>
      </c>
      <c r="C66" t="s">
        <v>16</v>
      </c>
      <c r="D66" t="s">
        <v>17</v>
      </c>
      <c r="E66">
        <v>3</v>
      </c>
      <c r="F66">
        <v>52</v>
      </c>
      <c r="G66">
        <v>0.1</v>
      </c>
      <c r="H66" t="b">
        <v>0</v>
      </c>
      <c r="I66" t="s">
        <v>14</v>
      </c>
    </row>
    <row r="67" spans="1:9">
      <c r="A67">
        <v>66</v>
      </c>
      <c r="B67" s="2">
        <v>45661</v>
      </c>
      <c r="C67" t="s">
        <v>16</v>
      </c>
      <c r="D67" t="s">
        <v>17</v>
      </c>
      <c r="E67">
        <v>3</v>
      </c>
      <c r="F67">
        <v>38.200000000000003</v>
      </c>
      <c r="G67">
        <v>0.18</v>
      </c>
      <c r="H67" t="b">
        <v>1</v>
      </c>
      <c r="I67" t="s">
        <v>14</v>
      </c>
    </row>
    <row r="68" spans="1:9">
      <c r="A68">
        <v>67</v>
      </c>
      <c r="B68" s="2">
        <v>45661</v>
      </c>
      <c r="C68" t="s">
        <v>16</v>
      </c>
      <c r="D68" t="s">
        <v>17</v>
      </c>
      <c r="E68">
        <v>2</v>
      </c>
      <c r="F68">
        <v>23.21</v>
      </c>
      <c r="G68">
        <v>0.2</v>
      </c>
      <c r="H68" t="b">
        <v>0</v>
      </c>
      <c r="I68" t="s">
        <v>14</v>
      </c>
    </row>
    <row r="69" spans="1:9">
      <c r="A69">
        <v>68</v>
      </c>
      <c r="B69" s="2">
        <v>45661</v>
      </c>
      <c r="C69" t="s">
        <v>16</v>
      </c>
      <c r="D69" t="s">
        <v>17</v>
      </c>
      <c r="E69">
        <v>1</v>
      </c>
      <c r="F69">
        <v>12.82</v>
      </c>
      <c r="G69">
        <v>0.25</v>
      </c>
      <c r="H69" t="b">
        <v>0</v>
      </c>
      <c r="I69" t="s">
        <v>12</v>
      </c>
    </row>
    <row r="70" spans="1:9">
      <c r="A70">
        <v>69</v>
      </c>
      <c r="B70" s="2">
        <v>45661</v>
      </c>
      <c r="C70" t="s">
        <v>16</v>
      </c>
      <c r="D70" t="s">
        <v>17</v>
      </c>
      <c r="E70">
        <v>2</v>
      </c>
      <c r="F70">
        <v>15.12</v>
      </c>
      <c r="G70">
        <v>0.18</v>
      </c>
      <c r="H70" t="b">
        <v>0</v>
      </c>
      <c r="I70" t="s">
        <v>12</v>
      </c>
    </row>
    <row r="71" spans="1:9">
      <c r="A71">
        <v>70</v>
      </c>
      <c r="B71" s="2">
        <v>45661</v>
      </c>
      <c r="C71" t="s">
        <v>16</v>
      </c>
      <c r="D71" t="s">
        <v>17</v>
      </c>
      <c r="E71">
        <v>2</v>
      </c>
      <c r="F71">
        <v>19.62</v>
      </c>
      <c r="G71">
        <v>0.2</v>
      </c>
      <c r="H71" t="b">
        <v>1</v>
      </c>
      <c r="I71" t="s">
        <v>13</v>
      </c>
    </row>
    <row r="72" spans="1:9">
      <c r="A72">
        <v>71</v>
      </c>
      <c r="B72" s="2">
        <v>45661</v>
      </c>
      <c r="C72" t="s">
        <v>16</v>
      </c>
      <c r="D72" t="s">
        <v>17</v>
      </c>
      <c r="E72">
        <v>2</v>
      </c>
      <c r="F72">
        <v>12.62</v>
      </c>
      <c r="G72">
        <v>0.1</v>
      </c>
      <c r="H72" t="b">
        <v>0</v>
      </c>
      <c r="I72" t="s">
        <v>14</v>
      </c>
    </row>
    <row r="73" spans="1:9">
      <c r="A73">
        <v>72</v>
      </c>
      <c r="B73" s="2">
        <v>45661</v>
      </c>
      <c r="C73" t="s">
        <v>16</v>
      </c>
      <c r="D73" t="s">
        <v>17</v>
      </c>
      <c r="E73">
        <v>3</v>
      </c>
      <c r="F73">
        <v>42.93</v>
      </c>
      <c r="G73">
        <v>0.2</v>
      </c>
      <c r="H73" t="b">
        <v>1</v>
      </c>
      <c r="I73" t="s">
        <v>14</v>
      </c>
    </row>
    <row r="74" spans="1:9">
      <c r="A74">
        <v>73</v>
      </c>
      <c r="B74" s="2">
        <v>45661</v>
      </c>
      <c r="C74" t="s">
        <v>16</v>
      </c>
      <c r="D74" t="s">
        <v>17</v>
      </c>
      <c r="E74">
        <v>2</v>
      </c>
      <c r="F74">
        <v>23.31</v>
      </c>
      <c r="G74">
        <v>0.2</v>
      </c>
      <c r="H74" t="b">
        <v>0</v>
      </c>
      <c r="I74" t="s">
        <v>11</v>
      </c>
    </row>
    <row r="75" spans="1:9">
      <c r="A75">
        <v>74</v>
      </c>
      <c r="B75" s="2">
        <v>45661</v>
      </c>
      <c r="C75" t="s">
        <v>16</v>
      </c>
      <c r="D75" t="s">
        <v>17</v>
      </c>
      <c r="E75">
        <v>2</v>
      </c>
      <c r="F75">
        <v>20.51</v>
      </c>
      <c r="G75">
        <v>0.25</v>
      </c>
      <c r="H75" t="b">
        <v>0</v>
      </c>
      <c r="I75" t="s">
        <v>13</v>
      </c>
    </row>
    <row r="76" spans="1:9">
      <c r="A76">
        <v>75</v>
      </c>
      <c r="B76" s="2">
        <v>45661</v>
      </c>
      <c r="C76" t="s">
        <v>16</v>
      </c>
      <c r="D76" t="s">
        <v>17</v>
      </c>
      <c r="E76">
        <v>2</v>
      </c>
      <c r="F76">
        <v>11.81</v>
      </c>
      <c r="G76">
        <v>0.2</v>
      </c>
      <c r="H76" t="b">
        <v>0</v>
      </c>
      <c r="I76" t="s">
        <v>12</v>
      </c>
    </row>
    <row r="77" spans="1:9">
      <c r="A77">
        <v>76</v>
      </c>
      <c r="B77" s="2">
        <v>45661</v>
      </c>
      <c r="C77" t="s">
        <v>16</v>
      </c>
      <c r="D77" t="s">
        <v>17</v>
      </c>
      <c r="E77">
        <v>2</v>
      </c>
      <c r="F77">
        <v>32.11</v>
      </c>
      <c r="G77">
        <v>0.2</v>
      </c>
      <c r="H77" t="b">
        <v>0</v>
      </c>
      <c r="I77" t="s">
        <v>13</v>
      </c>
    </row>
    <row r="78" spans="1:9">
      <c r="A78">
        <v>77</v>
      </c>
      <c r="B78" s="2">
        <v>45661</v>
      </c>
      <c r="C78" t="s">
        <v>16</v>
      </c>
      <c r="D78" t="s">
        <v>17</v>
      </c>
      <c r="E78">
        <v>2</v>
      </c>
      <c r="F78">
        <v>9</v>
      </c>
      <c r="G78">
        <v>0.2</v>
      </c>
      <c r="H78" t="b">
        <v>1</v>
      </c>
      <c r="I78" t="s">
        <v>12</v>
      </c>
    </row>
    <row r="79" spans="1:9">
      <c r="A79">
        <v>78</v>
      </c>
      <c r="B79" s="2">
        <v>45662</v>
      </c>
      <c r="C79" t="s">
        <v>18</v>
      </c>
      <c r="D79" t="s">
        <v>19</v>
      </c>
      <c r="E79">
        <v>4</v>
      </c>
      <c r="F79">
        <v>52.57</v>
      </c>
      <c r="G79">
        <v>0.18</v>
      </c>
      <c r="H79" t="b">
        <v>1</v>
      </c>
      <c r="I79" t="s">
        <v>12</v>
      </c>
    </row>
    <row r="80" spans="1:9">
      <c r="A80">
        <v>79</v>
      </c>
      <c r="B80" s="2">
        <v>45662</v>
      </c>
      <c r="C80" t="s">
        <v>18</v>
      </c>
      <c r="D80" t="s">
        <v>19</v>
      </c>
      <c r="E80">
        <v>2</v>
      </c>
      <c r="F80">
        <v>37.520000000000003</v>
      </c>
      <c r="G80">
        <v>0.18</v>
      </c>
      <c r="H80" t="b">
        <v>0</v>
      </c>
      <c r="I80" t="s">
        <v>11</v>
      </c>
    </row>
    <row r="81" spans="1:9">
      <c r="A81">
        <v>80</v>
      </c>
      <c r="B81" s="2">
        <v>45662</v>
      </c>
      <c r="C81" t="s">
        <v>18</v>
      </c>
      <c r="D81" t="s">
        <v>19</v>
      </c>
      <c r="E81">
        <v>2</v>
      </c>
      <c r="F81">
        <v>26.34</v>
      </c>
      <c r="G81">
        <v>0.2</v>
      </c>
      <c r="H81" t="b">
        <v>0</v>
      </c>
      <c r="I81" t="s">
        <v>11</v>
      </c>
    </row>
    <row r="82" spans="1:9">
      <c r="A82">
        <v>81</v>
      </c>
      <c r="B82" s="2">
        <v>45662</v>
      </c>
      <c r="C82" t="s">
        <v>18</v>
      </c>
      <c r="D82" t="s">
        <v>19</v>
      </c>
      <c r="E82">
        <v>2</v>
      </c>
      <c r="F82">
        <v>26.85</v>
      </c>
      <c r="G82">
        <v>0.15</v>
      </c>
      <c r="H82" t="b">
        <v>1</v>
      </c>
      <c r="I82" t="s">
        <v>13</v>
      </c>
    </row>
    <row r="83" spans="1:9">
      <c r="A83">
        <v>82</v>
      </c>
      <c r="B83" s="2">
        <v>45662</v>
      </c>
      <c r="C83" t="s">
        <v>18</v>
      </c>
      <c r="D83" t="s">
        <v>19</v>
      </c>
      <c r="E83">
        <v>2</v>
      </c>
      <c r="F83">
        <v>15.21</v>
      </c>
      <c r="G83">
        <v>0.1</v>
      </c>
      <c r="H83" t="b">
        <v>0</v>
      </c>
      <c r="I83" t="s">
        <v>12</v>
      </c>
    </row>
    <row r="84" spans="1:9">
      <c r="A84">
        <v>83</v>
      </c>
      <c r="B84" s="2">
        <v>45662</v>
      </c>
      <c r="C84" t="s">
        <v>18</v>
      </c>
      <c r="D84" t="s">
        <v>19</v>
      </c>
      <c r="E84">
        <v>1</v>
      </c>
      <c r="F84">
        <v>13.37</v>
      </c>
      <c r="G84">
        <v>0.18</v>
      </c>
      <c r="H84" t="b">
        <v>0</v>
      </c>
      <c r="I84" t="s">
        <v>14</v>
      </c>
    </row>
    <row r="85" spans="1:9">
      <c r="A85">
        <v>84</v>
      </c>
      <c r="B85" s="2">
        <v>45662</v>
      </c>
      <c r="C85" t="s">
        <v>18</v>
      </c>
      <c r="D85" t="s">
        <v>19</v>
      </c>
      <c r="E85">
        <v>2</v>
      </c>
      <c r="F85">
        <v>18.68</v>
      </c>
      <c r="G85">
        <v>0.18</v>
      </c>
      <c r="H85" t="b">
        <v>1</v>
      </c>
      <c r="I85" t="s">
        <v>13</v>
      </c>
    </row>
    <row r="86" spans="1:9">
      <c r="A86">
        <v>85</v>
      </c>
      <c r="B86" s="2">
        <v>45662</v>
      </c>
      <c r="C86" t="s">
        <v>18</v>
      </c>
      <c r="D86" t="s">
        <v>19</v>
      </c>
      <c r="E86">
        <v>2</v>
      </c>
      <c r="F86">
        <v>28.59</v>
      </c>
      <c r="G86">
        <v>0.18</v>
      </c>
      <c r="H86" t="b">
        <v>0</v>
      </c>
      <c r="I86" t="s">
        <v>11</v>
      </c>
    </row>
    <row r="87" spans="1:9">
      <c r="A87">
        <v>86</v>
      </c>
      <c r="B87" s="2">
        <v>45662</v>
      </c>
      <c r="C87" t="s">
        <v>18</v>
      </c>
      <c r="D87" t="s">
        <v>19</v>
      </c>
      <c r="E87">
        <v>4</v>
      </c>
      <c r="F87">
        <v>33.72</v>
      </c>
      <c r="G87">
        <v>0.2</v>
      </c>
      <c r="H87" t="b">
        <v>0</v>
      </c>
      <c r="I87" t="s">
        <v>13</v>
      </c>
    </row>
    <row r="88" spans="1:9">
      <c r="A88">
        <v>87</v>
      </c>
      <c r="B88" s="2">
        <v>45662</v>
      </c>
      <c r="C88" t="s">
        <v>18</v>
      </c>
      <c r="D88" t="s">
        <v>19</v>
      </c>
      <c r="E88">
        <v>2</v>
      </c>
      <c r="F88">
        <v>28.82</v>
      </c>
      <c r="G88">
        <v>0.18</v>
      </c>
      <c r="H88" t="b">
        <v>0</v>
      </c>
      <c r="I88" t="s">
        <v>13</v>
      </c>
    </row>
    <row r="89" spans="1:9">
      <c r="A89">
        <v>88</v>
      </c>
      <c r="B89" s="2">
        <v>45662</v>
      </c>
      <c r="C89" t="s">
        <v>18</v>
      </c>
      <c r="D89" t="s">
        <v>19</v>
      </c>
      <c r="E89">
        <v>2</v>
      </c>
      <c r="F89">
        <v>16.23</v>
      </c>
      <c r="G89">
        <v>0.15</v>
      </c>
      <c r="H89" t="b">
        <v>0</v>
      </c>
      <c r="I89" t="s">
        <v>12</v>
      </c>
    </row>
    <row r="90" spans="1:9">
      <c r="A90">
        <v>89</v>
      </c>
      <c r="B90" s="2">
        <v>45662</v>
      </c>
      <c r="C90" t="s">
        <v>18</v>
      </c>
      <c r="D90" t="s">
        <v>19</v>
      </c>
      <c r="E90">
        <v>2</v>
      </c>
      <c r="F90">
        <v>44.59</v>
      </c>
      <c r="G90">
        <v>0.15</v>
      </c>
      <c r="H90" t="b">
        <v>0</v>
      </c>
      <c r="I90" t="s">
        <v>12</v>
      </c>
    </row>
    <row r="91" spans="1:9">
      <c r="A91">
        <v>90</v>
      </c>
      <c r="B91" s="2">
        <v>45662</v>
      </c>
      <c r="C91" t="s">
        <v>18</v>
      </c>
      <c r="D91" t="s">
        <v>19</v>
      </c>
      <c r="E91">
        <v>2</v>
      </c>
      <c r="F91">
        <v>12.8</v>
      </c>
      <c r="G91">
        <v>0.18</v>
      </c>
      <c r="H91" t="b">
        <v>0</v>
      </c>
      <c r="I91" t="s">
        <v>13</v>
      </c>
    </row>
    <row r="92" spans="1:9">
      <c r="A92">
        <v>91</v>
      </c>
      <c r="B92" s="2">
        <v>45662</v>
      </c>
      <c r="C92" t="s">
        <v>18</v>
      </c>
      <c r="D92" t="s">
        <v>17</v>
      </c>
      <c r="E92">
        <v>2</v>
      </c>
      <c r="F92">
        <v>22.9</v>
      </c>
      <c r="G92">
        <v>0.18</v>
      </c>
      <c r="H92" t="b">
        <v>0</v>
      </c>
      <c r="I92" t="s">
        <v>14</v>
      </c>
    </row>
    <row r="93" spans="1:9">
      <c r="A93">
        <v>92</v>
      </c>
      <c r="B93" s="2">
        <v>45662</v>
      </c>
      <c r="C93" t="s">
        <v>18</v>
      </c>
      <c r="D93" t="s">
        <v>17</v>
      </c>
      <c r="E93">
        <v>2</v>
      </c>
      <c r="F93">
        <v>23.66</v>
      </c>
      <c r="G93">
        <v>0.25</v>
      </c>
      <c r="H93" t="b">
        <v>0</v>
      </c>
      <c r="I93" t="s">
        <v>12</v>
      </c>
    </row>
    <row r="94" spans="1:9">
      <c r="A94">
        <v>93</v>
      </c>
      <c r="B94" s="2">
        <v>45662</v>
      </c>
      <c r="C94" t="s">
        <v>18</v>
      </c>
      <c r="D94" t="s">
        <v>17</v>
      </c>
      <c r="E94">
        <v>2</v>
      </c>
      <c r="F94">
        <v>19.579999999999998</v>
      </c>
      <c r="G94">
        <v>0.2</v>
      </c>
      <c r="H94" t="b">
        <v>0</v>
      </c>
      <c r="I94" t="s">
        <v>11</v>
      </c>
    </row>
    <row r="95" spans="1:9">
      <c r="A95">
        <v>94</v>
      </c>
      <c r="B95" s="2">
        <v>45662</v>
      </c>
      <c r="C95" t="s">
        <v>18</v>
      </c>
      <c r="D95" t="s">
        <v>17</v>
      </c>
      <c r="E95">
        <v>2</v>
      </c>
      <c r="F95">
        <v>31.69</v>
      </c>
      <c r="G95">
        <v>0.18</v>
      </c>
      <c r="H95" t="b">
        <v>0</v>
      </c>
      <c r="I95" t="s">
        <v>11</v>
      </c>
    </row>
    <row r="96" spans="1:9">
      <c r="A96">
        <v>95</v>
      </c>
      <c r="B96" s="2">
        <v>45662</v>
      </c>
      <c r="C96" t="s">
        <v>18</v>
      </c>
      <c r="D96" t="s">
        <v>17</v>
      </c>
      <c r="E96">
        <v>2</v>
      </c>
      <c r="F96">
        <v>42.3</v>
      </c>
      <c r="G96">
        <v>0.15</v>
      </c>
      <c r="H96" t="b">
        <v>0</v>
      </c>
      <c r="I96" t="s">
        <v>13</v>
      </c>
    </row>
    <row r="97" spans="1:9">
      <c r="A97">
        <v>96</v>
      </c>
      <c r="B97" s="2">
        <v>45662</v>
      </c>
      <c r="C97" t="s">
        <v>18</v>
      </c>
      <c r="D97" t="s">
        <v>17</v>
      </c>
      <c r="E97">
        <v>4</v>
      </c>
      <c r="F97">
        <v>35.950000000000003</v>
      </c>
      <c r="G97">
        <v>0.25</v>
      </c>
      <c r="H97" t="b">
        <v>0</v>
      </c>
      <c r="I97" t="s">
        <v>11</v>
      </c>
    </row>
    <row r="98" spans="1:9">
      <c r="A98">
        <v>97</v>
      </c>
      <c r="B98" s="2">
        <v>45662</v>
      </c>
      <c r="C98" t="s">
        <v>18</v>
      </c>
      <c r="D98" t="s">
        <v>17</v>
      </c>
      <c r="E98">
        <v>2</v>
      </c>
      <c r="F98">
        <v>24.46</v>
      </c>
      <c r="G98">
        <v>0.2</v>
      </c>
      <c r="H98" t="b">
        <v>0</v>
      </c>
      <c r="I98" t="s">
        <v>11</v>
      </c>
    </row>
    <row r="99" spans="1:9">
      <c r="A99">
        <v>98</v>
      </c>
      <c r="B99" s="2">
        <v>45662</v>
      </c>
      <c r="C99" t="s">
        <v>18</v>
      </c>
      <c r="D99" t="s">
        <v>17</v>
      </c>
      <c r="E99">
        <v>2</v>
      </c>
      <c r="F99">
        <v>32.78</v>
      </c>
      <c r="G99">
        <v>0.15</v>
      </c>
      <c r="H99" t="b">
        <v>0</v>
      </c>
      <c r="I99" t="s">
        <v>12</v>
      </c>
    </row>
    <row r="100" spans="1:9">
      <c r="A100">
        <v>99</v>
      </c>
      <c r="B100" s="2">
        <v>45662</v>
      </c>
      <c r="C100" t="s">
        <v>18</v>
      </c>
      <c r="D100" t="s">
        <v>17</v>
      </c>
      <c r="E100">
        <v>2</v>
      </c>
      <c r="F100">
        <v>20.38</v>
      </c>
      <c r="G100">
        <v>0.15</v>
      </c>
      <c r="H100" t="b">
        <v>0</v>
      </c>
      <c r="I100" t="s">
        <v>11</v>
      </c>
    </row>
    <row r="101" spans="1:9">
      <c r="A101">
        <v>100</v>
      </c>
      <c r="B101" s="2">
        <v>45662</v>
      </c>
      <c r="C101" t="s">
        <v>18</v>
      </c>
      <c r="D101" t="s">
        <v>17</v>
      </c>
      <c r="E101">
        <v>2</v>
      </c>
      <c r="F101">
        <v>14.63</v>
      </c>
      <c r="G101">
        <v>0.2</v>
      </c>
      <c r="H101" t="b">
        <v>1</v>
      </c>
      <c r="I101" t="s">
        <v>13</v>
      </c>
    </row>
    <row r="102" spans="1:9">
      <c r="A102">
        <v>101</v>
      </c>
      <c r="B102" s="2">
        <v>45662</v>
      </c>
      <c r="C102" t="s">
        <v>18</v>
      </c>
      <c r="D102" t="s">
        <v>17</v>
      </c>
      <c r="E102">
        <v>2</v>
      </c>
      <c r="F102">
        <v>8.5399999999999991</v>
      </c>
      <c r="G102">
        <v>0.1</v>
      </c>
      <c r="H102" t="b">
        <v>1</v>
      </c>
      <c r="I102" t="s">
        <v>12</v>
      </c>
    </row>
    <row r="103" spans="1:9">
      <c r="A103">
        <v>102</v>
      </c>
      <c r="B103" s="2">
        <v>45662</v>
      </c>
      <c r="C103" t="s">
        <v>18</v>
      </c>
      <c r="D103" t="s">
        <v>17</v>
      </c>
      <c r="E103">
        <v>2</v>
      </c>
      <c r="F103">
        <v>27.88</v>
      </c>
      <c r="G103">
        <v>0.18</v>
      </c>
      <c r="H103" t="b">
        <v>0</v>
      </c>
      <c r="I103" t="s">
        <v>12</v>
      </c>
    </row>
    <row r="104" spans="1:9">
      <c r="A104">
        <v>103</v>
      </c>
      <c r="B104" s="2">
        <v>45666</v>
      </c>
      <c r="C104" t="s">
        <v>9</v>
      </c>
      <c r="D104" t="s">
        <v>10</v>
      </c>
      <c r="E104">
        <v>3</v>
      </c>
      <c r="F104">
        <v>23.5</v>
      </c>
      <c r="G104">
        <v>0.2</v>
      </c>
      <c r="H104" t="b">
        <v>0</v>
      </c>
      <c r="I104" t="s">
        <v>11</v>
      </c>
    </row>
    <row r="105" spans="1:9">
      <c r="A105">
        <v>104</v>
      </c>
      <c r="B105" s="2">
        <v>45666</v>
      </c>
      <c r="C105" t="s">
        <v>9</v>
      </c>
      <c r="D105" t="s">
        <v>10</v>
      </c>
      <c r="E105">
        <v>2</v>
      </c>
      <c r="F105">
        <v>35.6</v>
      </c>
      <c r="G105">
        <v>0.2</v>
      </c>
      <c r="H105" t="b">
        <v>0</v>
      </c>
      <c r="I105" t="s">
        <v>11</v>
      </c>
    </row>
    <row r="106" spans="1:9">
      <c r="A106">
        <v>105</v>
      </c>
      <c r="B106" s="2">
        <v>45666</v>
      </c>
      <c r="C106" t="s">
        <v>9</v>
      </c>
      <c r="D106" t="s">
        <v>10</v>
      </c>
      <c r="E106">
        <v>2</v>
      </c>
      <c r="F106">
        <v>28.08</v>
      </c>
      <c r="G106">
        <v>0.15</v>
      </c>
      <c r="H106" t="b">
        <v>1</v>
      </c>
      <c r="I106" t="s">
        <v>12</v>
      </c>
    </row>
    <row r="107" spans="1:9">
      <c r="A107">
        <v>106</v>
      </c>
      <c r="B107" s="2">
        <v>45666</v>
      </c>
      <c r="C107" t="s">
        <v>9</v>
      </c>
      <c r="D107" t="s">
        <v>10</v>
      </c>
      <c r="E107">
        <v>2</v>
      </c>
      <c r="F107">
        <v>35.549999999999997</v>
      </c>
      <c r="G107">
        <v>0.2</v>
      </c>
      <c r="H107" t="b">
        <v>0</v>
      </c>
      <c r="I107" t="s">
        <v>14</v>
      </c>
    </row>
    <row r="108" spans="1:9">
      <c r="A108">
        <v>107</v>
      </c>
      <c r="B108" s="2">
        <v>45666</v>
      </c>
      <c r="C108" t="s">
        <v>9</v>
      </c>
      <c r="D108" t="s">
        <v>10</v>
      </c>
      <c r="E108">
        <v>2</v>
      </c>
      <c r="F108">
        <v>26.9</v>
      </c>
      <c r="G108">
        <v>0.15</v>
      </c>
      <c r="H108" t="b">
        <v>0</v>
      </c>
      <c r="I108" t="s">
        <v>12</v>
      </c>
    </row>
    <row r="109" spans="1:9">
      <c r="A109">
        <v>108</v>
      </c>
      <c r="B109" s="2">
        <v>45666</v>
      </c>
      <c r="C109" t="s">
        <v>9</v>
      </c>
      <c r="D109" t="s">
        <v>10</v>
      </c>
      <c r="E109">
        <v>2</v>
      </c>
      <c r="F109">
        <v>25.72</v>
      </c>
      <c r="G109">
        <v>0.18</v>
      </c>
      <c r="H109" t="b">
        <v>1</v>
      </c>
      <c r="I109" t="s">
        <v>13</v>
      </c>
    </row>
    <row r="110" spans="1:9">
      <c r="A110">
        <v>109</v>
      </c>
      <c r="B110" s="2">
        <v>45666</v>
      </c>
      <c r="C110" t="s">
        <v>9</v>
      </c>
      <c r="D110" t="s">
        <v>10</v>
      </c>
      <c r="E110">
        <v>2</v>
      </c>
      <c r="F110">
        <v>41.46</v>
      </c>
      <c r="G110">
        <v>0.15</v>
      </c>
      <c r="H110" t="b">
        <v>0</v>
      </c>
      <c r="I110" t="s">
        <v>13</v>
      </c>
    </row>
    <row r="111" spans="1:9">
      <c r="A111">
        <v>110</v>
      </c>
      <c r="B111" s="2">
        <v>45666</v>
      </c>
      <c r="C111" t="s">
        <v>9</v>
      </c>
      <c r="D111" t="s">
        <v>10</v>
      </c>
      <c r="E111">
        <v>2</v>
      </c>
      <c r="F111">
        <v>12.35</v>
      </c>
      <c r="G111">
        <v>0.1</v>
      </c>
      <c r="H111" t="b">
        <v>0</v>
      </c>
      <c r="I111" t="s">
        <v>12</v>
      </c>
    </row>
    <row r="112" spans="1:9">
      <c r="A112">
        <v>111</v>
      </c>
      <c r="B112" s="2">
        <v>45666</v>
      </c>
      <c r="C112" t="s">
        <v>9</v>
      </c>
      <c r="D112" t="s">
        <v>10</v>
      </c>
      <c r="E112">
        <v>2</v>
      </c>
      <c r="F112">
        <v>9.23</v>
      </c>
      <c r="G112">
        <v>0.2</v>
      </c>
      <c r="H112" t="b">
        <v>0</v>
      </c>
      <c r="I112" t="s">
        <v>14</v>
      </c>
    </row>
    <row r="113" spans="1:9">
      <c r="A113">
        <v>112</v>
      </c>
      <c r="B113" s="2">
        <v>45666</v>
      </c>
      <c r="C113" t="s">
        <v>9</v>
      </c>
      <c r="D113" t="s">
        <v>10</v>
      </c>
      <c r="E113">
        <v>1</v>
      </c>
      <c r="F113">
        <v>13.78</v>
      </c>
      <c r="G113">
        <v>0.2</v>
      </c>
      <c r="H113" t="b">
        <v>0</v>
      </c>
      <c r="I113" t="s">
        <v>12</v>
      </c>
    </row>
    <row r="114" spans="1:9">
      <c r="A114">
        <v>113</v>
      </c>
      <c r="B114" s="2">
        <v>45667</v>
      </c>
      <c r="C114" t="s">
        <v>15</v>
      </c>
      <c r="D114" t="s">
        <v>10</v>
      </c>
      <c r="E114">
        <v>3</v>
      </c>
      <c r="F114">
        <v>22.03</v>
      </c>
      <c r="G114">
        <v>0.15</v>
      </c>
      <c r="H114" t="b">
        <v>0</v>
      </c>
      <c r="I114" t="s">
        <v>11</v>
      </c>
    </row>
    <row r="115" spans="1:9">
      <c r="A115">
        <v>114</v>
      </c>
      <c r="B115" s="2">
        <v>45667</v>
      </c>
      <c r="C115" t="s">
        <v>15</v>
      </c>
      <c r="D115" t="s">
        <v>10</v>
      </c>
      <c r="E115">
        <v>2</v>
      </c>
      <c r="F115">
        <v>28.77</v>
      </c>
      <c r="G115">
        <v>0.18</v>
      </c>
      <c r="H115" t="b">
        <v>0</v>
      </c>
      <c r="I115" t="s">
        <v>13</v>
      </c>
    </row>
    <row r="116" spans="1:9">
      <c r="A116">
        <v>115</v>
      </c>
      <c r="B116" s="2">
        <v>45667</v>
      </c>
      <c r="C116" t="s">
        <v>15</v>
      </c>
      <c r="D116" t="s">
        <v>10</v>
      </c>
      <c r="E116">
        <v>3</v>
      </c>
      <c r="F116">
        <v>17.399999999999999</v>
      </c>
      <c r="G116">
        <v>0.15</v>
      </c>
      <c r="H116" t="b">
        <v>0</v>
      </c>
      <c r="I116" t="s">
        <v>13</v>
      </c>
    </row>
    <row r="117" spans="1:9">
      <c r="A117">
        <v>116</v>
      </c>
      <c r="B117" s="2">
        <v>45667</v>
      </c>
      <c r="C117" t="s">
        <v>15</v>
      </c>
      <c r="D117" t="s">
        <v>10</v>
      </c>
      <c r="E117">
        <v>2</v>
      </c>
      <c r="F117">
        <v>20.86</v>
      </c>
      <c r="G117">
        <v>0.18</v>
      </c>
      <c r="H117" t="b">
        <v>0</v>
      </c>
      <c r="I117" t="s">
        <v>11</v>
      </c>
    </row>
    <row r="118" spans="1:9">
      <c r="A118">
        <v>117</v>
      </c>
      <c r="B118" s="2">
        <v>45667</v>
      </c>
      <c r="C118" t="s">
        <v>15</v>
      </c>
      <c r="D118" t="s">
        <v>10</v>
      </c>
      <c r="E118">
        <v>4</v>
      </c>
      <c r="F118">
        <v>64.84</v>
      </c>
      <c r="G118">
        <v>0.2</v>
      </c>
      <c r="H118" t="b">
        <v>0</v>
      </c>
      <c r="I118" t="s">
        <v>14</v>
      </c>
    </row>
    <row r="119" spans="1:9">
      <c r="A119">
        <v>118</v>
      </c>
      <c r="B119" s="2">
        <v>45668</v>
      </c>
      <c r="C119" t="s">
        <v>16</v>
      </c>
      <c r="D119" t="s">
        <v>10</v>
      </c>
      <c r="E119">
        <v>2</v>
      </c>
      <c r="F119">
        <v>14.19</v>
      </c>
      <c r="G119">
        <v>0.18</v>
      </c>
      <c r="H119" t="b">
        <v>0</v>
      </c>
      <c r="I119" t="s">
        <v>11</v>
      </c>
    </row>
    <row r="120" spans="1:9">
      <c r="A120">
        <v>119</v>
      </c>
      <c r="B120" s="2">
        <v>45668</v>
      </c>
      <c r="C120" t="s">
        <v>16</v>
      </c>
      <c r="D120" t="s">
        <v>10</v>
      </c>
      <c r="E120">
        <v>2</v>
      </c>
      <c r="F120">
        <v>15.95</v>
      </c>
      <c r="G120">
        <v>0.18</v>
      </c>
      <c r="H120" t="b">
        <v>0</v>
      </c>
      <c r="I120" t="s">
        <v>12</v>
      </c>
    </row>
    <row r="121" spans="1:9">
      <c r="A121">
        <v>120</v>
      </c>
      <c r="B121" s="2">
        <v>45668</v>
      </c>
      <c r="C121" t="s">
        <v>16</v>
      </c>
      <c r="D121" t="s">
        <v>10</v>
      </c>
      <c r="E121">
        <v>4</v>
      </c>
      <c r="F121">
        <v>36.83</v>
      </c>
      <c r="G121">
        <v>0.25</v>
      </c>
      <c r="H121" t="b">
        <v>0</v>
      </c>
      <c r="I121" t="s">
        <v>13</v>
      </c>
    </row>
    <row r="122" spans="1:9">
      <c r="A122">
        <v>121</v>
      </c>
      <c r="B122" s="2">
        <v>45668</v>
      </c>
      <c r="C122" t="s">
        <v>16</v>
      </c>
      <c r="D122" t="s">
        <v>10</v>
      </c>
      <c r="E122">
        <v>2</v>
      </c>
      <c r="F122">
        <v>17.739999999999998</v>
      </c>
      <c r="G122">
        <v>0.2</v>
      </c>
      <c r="H122" t="b">
        <v>0</v>
      </c>
      <c r="I122" t="s">
        <v>14</v>
      </c>
    </row>
    <row r="123" spans="1:9">
      <c r="A123">
        <v>122</v>
      </c>
      <c r="B123" s="2">
        <v>45668</v>
      </c>
      <c r="C123" t="s">
        <v>16</v>
      </c>
      <c r="D123" t="s">
        <v>10</v>
      </c>
      <c r="E123">
        <v>2</v>
      </c>
      <c r="F123">
        <v>18.010000000000002</v>
      </c>
      <c r="G123">
        <v>0.15</v>
      </c>
      <c r="H123" t="b">
        <v>0</v>
      </c>
      <c r="I123" t="s">
        <v>12</v>
      </c>
    </row>
    <row r="124" spans="1:9">
      <c r="A124">
        <v>123</v>
      </c>
      <c r="B124" s="2">
        <v>45668</v>
      </c>
      <c r="C124" t="s">
        <v>16</v>
      </c>
      <c r="D124" t="s">
        <v>10</v>
      </c>
      <c r="E124">
        <v>2</v>
      </c>
      <c r="F124">
        <v>18.190000000000001</v>
      </c>
      <c r="G124">
        <v>0.15</v>
      </c>
      <c r="H124" t="b">
        <v>0</v>
      </c>
      <c r="I124" t="s">
        <v>11</v>
      </c>
    </row>
    <row r="125" spans="1:9">
      <c r="A125">
        <v>124</v>
      </c>
      <c r="B125" s="2">
        <v>45668</v>
      </c>
      <c r="C125" t="s">
        <v>16</v>
      </c>
      <c r="D125" t="s">
        <v>10</v>
      </c>
      <c r="E125">
        <v>2</v>
      </c>
      <c r="F125">
        <v>24.06</v>
      </c>
      <c r="G125">
        <v>0.18</v>
      </c>
      <c r="H125" t="b">
        <v>0</v>
      </c>
      <c r="I125" t="s">
        <v>14</v>
      </c>
    </row>
    <row r="126" spans="1:9">
      <c r="A126">
        <v>125</v>
      </c>
      <c r="B126" s="2">
        <v>45668</v>
      </c>
      <c r="C126" t="s">
        <v>16</v>
      </c>
      <c r="D126" t="s">
        <v>10</v>
      </c>
      <c r="E126">
        <v>2</v>
      </c>
      <c r="F126">
        <v>26.51</v>
      </c>
      <c r="G126">
        <v>0.18</v>
      </c>
      <c r="H126" t="b">
        <v>0</v>
      </c>
      <c r="I126" t="s">
        <v>11</v>
      </c>
    </row>
    <row r="127" spans="1:9">
      <c r="A127">
        <v>126</v>
      </c>
      <c r="B127" s="2">
        <v>45668</v>
      </c>
      <c r="C127" t="s">
        <v>16</v>
      </c>
      <c r="D127" t="s">
        <v>10</v>
      </c>
      <c r="E127">
        <v>6</v>
      </c>
      <c r="F127">
        <v>70.680000000000007</v>
      </c>
      <c r="G127">
        <v>0.2</v>
      </c>
      <c r="H127" t="b">
        <v>0</v>
      </c>
      <c r="I127" t="s">
        <v>11</v>
      </c>
    </row>
    <row r="128" spans="1:9">
      <c r="A128">
        <v>127</v>
      </c>
      <c r="B128" s="2">
        <v>45668</v>
      </c>
      <c r="C128" t="s">
        <v>16</v>
      </c>
      <c r="D128" t="s">
        <v>10</v>
      </c>
      <c r="E128">
        <v>2</v>
      </c>
      <c r="F128">
        <v>25.47</v>
      </c>
      <c r="G128">
        <v>0.2</v>
      </c>
      <c r="H128" t="b">
        <v>0</v>
      </c>
      <c r="I128" t="s">
        <v>14</v>
      </c>
    </row>
    <row r="129" spans="1:9">
      <c r="A129">
        <v>128</v>
      </c>
      <c r="B129" s="2">
        <v>45668</v>
      </c>
      <c r="C129" t="s">
        <v>16</v>
      </c>
      <c r="D129" t="s">
        <v>10</v>
      </c>
      <c r="E129">
        <v>2</v>
      </c>
      <c r="F129">
        <v>23.05</v>
      </c>
      <c r="G129">
        <v>0.15</v>
      </c>
      <c r="H129" t="b">
        <v>0</v>
      </c>
      <c r="I129" t="s">
        <v>13</v>
      </c>
    </row>
    <row r="130" spans="1:9">
      <c r="A130">
        <v>129</v>
      </c>
      <c r="B130" s="2">
        <v>45668</v>
      </c>
      <c r="C130" t="s">
        <v>16</v>
      </c>
      <c r="D130" t="s">
        <v>10</v>
      </c>
      <c r="E130">
        <v>2</v>
      </c>
      <c r="F130">
        <v>28.35</v>
      </c>
      <c r="G130">
        <v>0.2</v>
      </c>
      <c r="H130" t="b">
        <v>0</v>
      </c>
      <c r="I130" t="s">
        <v>14</v>
      </c>
    </row>
    <row r="131" spans="1:9">
      <c r="A131">
        <v>130</v>
      </c>
      <c r="B131" s="2">
        <v>45668</v>
      </c>
      <c r="C131" t="s">
        <v>16</v>
      </c>
      <c r="D131" t="s">
        <v>10</v>
      </c>
      <c r="E131">
        <v>3</v>
      </c>
      <c r="F131">
        <v>47.3</v>
      </c>
      <c r="G131">
        <v>0.18</v>
      </c>
      <c r="H131" t="b">
        <v>0</v>
      </c>
      <c r="I131" t="s">
        <v>13</v>
      </c>
    </row>
    <row r="132" spans="1:9">
      <c r="A132">
        <v>131</v>
      </c>
      <c r="B132" s="2">
        <v>45668</v>
      </c>
      <c r="C132" t="s">
        <v>16</v>
      </c>
      <c r="D132" t="s">
        <v>10</v>
      </c>
      <c r="E132">
        <v>2</v>
      </c>
      <c r="F132">
        <v>19.760000000000002</v>
      </c>
      <c r="G132">
        <v>0.2</v>
      </c>
      <c r="H132" t="b">
        <v>0</v>
      </c>
      <c r="I132" t="s">
        <v>12</v>
      </c>
    </row>
    <row r="133" spans="1:9">
      <c r="A133">
        <v>132</v>
      </c>
      <c r="B133" s="2">
        <v>45668</v>
      </c>
      <c r="C133" t="s">
        <v>16</v>
      </c>
      <c r="D133" t="s">
        <v>10</v>
      </c>
      <c r="E133">
        <v>2</v>
      </c>
      <c r="F133">
        <v>20.92</v>
      </c>
      <c r="G133">
        <v>0.18</v>
      </c>
      <c r="H133" t="b">
        <v>0</v>
      </c>
      <c r="I133" t="s">
        <v>11</v>
      </c>
    </row>
    <row r="134" spans="1:9">
      <c r="A134">
        <v>133</v>
      </c>
      <c r="B134" s="2">
        <v>45668</v>
      </c>
      <c r="C134" t="s">
        <v>16</v>
      </c>
      <c r="D134" t="s">
        <v>10</v>
      </c>
      <c r="E134">
        <v>2</v>
      </c>
      <c r="F134">
        <v>23.29</v>
      </c>
      <c r="G134">
        <v>0.1</v>
      </c>
      <c r="H134" t="b">
        <v>0</v>
      </c>
      <c r="I134" t="s">
        <v>11</v>
      </c>
    </row>
    <row r="135" spans="1:9">
      <c r="A135">
        <v>134</v>
      </c>
      <c r="B135" s="2">
        <v>45668</v>
      </c>
      <c r="C135" t="s">
        <v>16</v>
      </c>
      <c r="D135" t="s">
        <v>10</v>
      </c>
      <c r="E135">
        <v>2</v>
      </c>
      <c r="F135">
        <v>47.79</v>
      </c>
      <c r="G135">
        <v>0.18</v>
      </c>
      <c r="H135" t="b">
        <v>0</v>
      </c>
      <c r="I135" t="s">
        <v>11</v>
      </c>
    </row>
    <row r="136" spans="1:9">
      <c r="A136">
        <v>135</v>
      </c>
      <c r="B136" s="2">
        <v>45668</v>
      </c>
      <c r="C136" t="s">
        <v>16</v>
      </c>
      <c r="D136" t="s">
        <v>10</v>
      </c>
      <c r="E136">
        <v>2</v>
      </c>
      <c r="F136">
        <v>19.73</v>
      </c>
      <c r="G136">
        <v>0.1</v>
      </c>
      <c r="H136" t="b">
        <v>0</v>
      </c>
      <c r="I136" t="s">
        <v>11</v>
      </c>
    </row>
    <row r="137" spans="1:9">
      <c r="A137">
        <v>136</v>
      </c>
      <c r="B137" s="2">
        <v>45668</v>
      </c>
      <c r="C137" t="s">
        <v>16</v>
      </c>
      <c r="D137" t="s">
        <v>10</v>
      </c>
      <c r="E137">
        <v>2</v>
      </c>
      <c r="F137">
        <v>25.36</v>
      </c>
      <c r="G137">
        <v>0.18</v>
      </c>
      <c r="H137" t="b">
        <v>0</v>
      </c>
      <c r="I137" t="s">
        <v>12</v>
      </c>
    </row>
    <row r="138" spans="1:9">
      <c r="A138">
        <v>137</v>
      </c>
      <c r="B138" s="2">
        <v>45668</v>
      </c>
      <c r="C138" t="s">
        <v>16</v>
      </c>
      <c r="D138" t="s">
        <v>10</v>
      </c>
      <c r="E138">
        <v>2</v>
      </c>
      <c r="F138">
        <v>28.96</v>
      </c>
      <c r="G138">
        <v>0.18</v>
      </c>
      <c r="H138" t="b">
        <v>1</v>
      </c>
      <c r="I138" t="s">
        <v>11</v>
      </c>
    </row>
    <row r="139" spans="1:9">
      <c r="A139">
        <v>138</v>
      </c>
      <c r="B139" s="2">
        <v>45668</v>
      </c>
      <c r="C139" t="s">
        <v>16</v>
      </c>
      <c r="D139" t="s">
        <v>10</v>
      </c>
      <c r="E139">
        <v>2</v>
      </c>
      <c r="F139">
        <v>32.86</v>
      </c>
      <c r="G139">
        <v>0.15</v>
      </c>
      <c r="H139" t="b">
        <v>0</v>
      </c>
      <c r="I139" t="s">
        <v>13</v>
      </c>
    </row>
    <row r="140" spans="1:9">
      <c r="A140">
        <v>139</v>
      </c>
      <c r="B140" s="2">
        <v>45668</v>
      </c>
      <c r="C140" t="s">
        <v>16</v>
      </c>
      <c r="D140" t="s">
        <v>10</v>
      </c>
      <c r="E140">
        <v>2</v>
      </c>
      <c r="F140">
        <v>14.57</v>
      </c>
      <c r="G140">
        <v>0.18</v>
      </c>
      <c r="H140" t="b">
        <v>1</v>
      </c>
      <c r="I140" t="s">
        <v>14</v>
      </c>
    </row>
    <row r="141" spans="1:9">
      <c r="A141">
        <v>140</v>
      </c>
      <c r="B141" s="2">
        <v>45668</v>
      </c>
      <c r="C141" t="s">
        <v>16</v>
      </c>
      <c r="D141" t="s">
        <v>10</v>
      </c>
      <c r="E141">
        <v>2</v>
      </c>
      <c r="F141">
        <v>17.02</v>
      </c>
      <c r="G141">
        <v>0.15</v>
      </c>
      <c r="H141" t="b">
        <v>0</v>
      </c>
      <c r="I141" t="s">
        <v>14</v>
      </c>
    </row>
    <row r="142" spans="1:9">
      <c r="A142">
        <v>141</v>
      </c>
      <c r="B142" s="2">
        <v>45668</v>
      </c>
      <c r="C142" t="s">
        <v>16</v>
      </c>
      <c r="D142" t="s">
        <v>10</v>
      </c>
      <c r="E142">
        <v>2</v>
      </c>
      <c r="F142">
        <v>26.54</v>
      </c>
      <c r="G142">
        <v>0.18</v>
      </c>
      <c r="H142" t="b">
        <v>0</v>
      </c>
      <c r="I142" t="s">
        <v>13</v>
      </c>
    </row>
    <row r="143" spans="1:9">
      <c r="A143">
        <v>142</v>
      </c>
      <c r="B143" s="2">
        <v>45668</v>
      </c>
      <c r="C143" t="s">
        <v>16</v>
      </c>
      <c r="D143" t="s">
        <v>10</v>
      </c>
      <c r="E143">
        <v>6</v>
      </c>
      <c r="F143">
        <v>98.61</v>
      </c>
      <c r="G143">
        <v>0.18</v>
      </c>
      <c r="H143" t="b">
        <v>0</v>
      </c>
      <c r="I143" t="s">
        <v>11</v>
      </c>
    </row>
    <row r="144" spans="1:9">
      <c r="A144">
        <v>143</v>
      </c>
      <c r="B144" s="2">
        <v>45668</v>
      </c>
      <c r="C144" t="s">
        <v>16</v>
      </c>
      <c r="D144" t="s">
        <v>10</v>
      </c>
      <c r="E144">
        <v>5</v>
      </c>
      <c r="F144">
        <v>54.03</v>
      </c>
      <c r="G144">
        <v>0.18</v>
      </c>
      <c r="H144" t="b">
        <v>0</v>
      </c>
      <c r="I144" t="s">
        <v>13</v>
      </c>
    </row>
    <row r="145" spans="1:9">
      <c r="A145">
        <v>144</v>
      </c>
      <c r="B145" s="2">
        <v>45668</v>
      </c>
      <c r="C145" t="s">
        <v>16</v>
      </c>
      <c r="D145" t="s">
        <v>10</v>
      </c>
      <c r="E145">
        <v>6</v>
      </c>
      <c r="F145">
        <v>25.82</v>
      </c>
      <c r="G145">
        <v>0.25</v>
      </c>
      <c r="H145" t="b">
        <v>1</v>
      </c>
      <c r="I145" t="s">
        <v>14</v>
      </c>
    </row>
    <row r="146" spans="1:9">
      <c r="A146">
        <v>145</v>
      </c>
      <c r="B146" s="2">
        <v>45668</v>
      </c>
      <c r="C146" t="s">
        <v>16</v>
      </c>
      <c r="D146" t="s">
        <v>10</v>
      </c>
      <c r="E146">
        <v>2</v>
      </c>
      <c r="F146">
        <v>24.66</v>
      </c>
      <c r="G146">
        <v>0.25</v>
      </c>
      <c r="H146" t="b">
        <v>0</v>
      </c>
      <c r="I146" t="s">
        <v>14</v>
      </c>
    </row>
    <row r="147" spans="1:9">
      <c r="A147">
        <v>146</v>
      </c>
      <c r="B147" s="2">
        <v>45668</v>
      </c>
      <c r="C147" t="s">
        <v>16</v>
      </c>
      <c r="D147" t="s">
        <v>10</v>
      </c>
      <c r="E147">
        <v>2</v>
      </c>
      <c r="F147">
        <v>6</v>
      </c>
      <c r="G147">
        <v>0.2</v>
      </c>
      <c r="H147" t="b">
        <v>0</v>
      </c>
      <c r="I147" t="s">
        <v>14</v>
      </c>
    </row>
    <row r="148" spans="1:9">
      <c r="A148">
        <v>147</v>
      </c>
      <c r="B148" s="2">
        <v>45668</v>
      </c>
      <c r="C148" t="s">
        <v>16</v>
      </c>
      <c r="D148" t="s">
        <v>10</v>
      </c>
      <c r="E148">
        <v>3</v>
      </c>
      <c r="F148">
        <v>24.59</v>
      </c>
      <c r="G148">
        <v>0.2</v>
      </c>
      <c r="H148" t="b">
        <v>0</v>
      </c>
      <c r="I148" t="s">
        <v>13</v>
      </c>
    </row>
    <row r="149" spans="1:9">
      <c r="A149">
        <v>148</v>
      </c>
      <c r="B149" s="2">
        <v>45668</v>
      </c>
      <c r="C149" t="s">
        <v>16</v>
      </c>
      <c r="D149" t="s">
        <v>10</v>
      </c>
      <c r="E149">
        <v>2</v>
      </c>
      <c r="F149">
        <v>31.96</v>
      </c>
      <c r="G149">
        <v>0.18</v>
      </c>
      <c r="H149" t="b">
        <v>0</v>
      </c>
      <c r="I149" t="s">
        <v>12</v>
      </c>
    </row>
    <row r="150" spans="1:9">
      <c r="A150">
        <v>149</v>
      </c>
      <c r="B150" s="2">
        <v>45668</v>
      </c>
      <c r="C150" t="s">
        <v>16</v>
      </c>
      <c r="D150" t="s">
        <v>10</v>
      </c>
      <c r="E150">
        <v>2</v>
      </c>
      <c r="F150">
        <v>38.450000000000003</v>
      </c>
      <c r="G150">
        <v>0.18</v>
      </c>
      <c r="H150" t="b">
        <v>0</v>
      </c>
      <c r="I150" t="s">
        <v>13</v>
      </c>
    </row>
    <row r="151" spans="1:9">
      <c r="A151">
        <v>150</v>
      </c>
      <c r="B151" s="2">
        <v>45668</v>
      </c>
      <c r="C151" t="s">
        <v>16</v>
      </c>
      <c r="D151" t="s">
        <v>10</v>
      </c>
      <c r="E151">
        <v>2</v>
      </c>
      <c r="F151">
        <v>37.450000000000003</v>
      </c>
      <c r="G151">
        <v>0.18</v>
      </c>
      <c r="H151" t="b">
        <v>0</v>
      </c>
      <c r="I151" t="s">
        <v>13</v>
      </c>
    </row>
    <row r="152" spans="1:9">
      <c r="A152">
        <v>151</v>
      </c>
      <c r="B152" s="2">
        <v>45668</v>
      </c>
      <c r="C152" t="s">
        <v>16</v>
      </c>
      <c r="D152" t="s">
        <v>17</v>
      </c>
      <c r="E152">
        <v>2</v>
      </c>
      <c r="F152">
        <v>28.37</v>
      </c>
      <c r="G152">
        <v>0.18</v>
      </c>
      <c r="H152" t="b">
        <v>0</v>
      </c>
      <c r="I152" t="s">
        <v>13</v>
      </c>
    </row>
    <row r="153" spans="1:9">
      <c r="A153">
        <v>152</v>
      </c>
      <c r="B153" s="2">
        <v>45668</v>
      </c>
      <c r="C153" t="s">
        <v>16</v>
      </c>
      <c r="D153" t="s">
        <v>17</v>
      </c>
      <c r="E153">
        <v>2</v>
      </c>
      <c r="F153">
        <v>19.899999999999999</v>
      </c>
      <c r="G153">
        <v>0.2</v>
      </c>
      <c r="H153" t="b">
        <v>1</v>
      </c>
      <c r="I153" t="s">
        <v>13</v>
      </c>
    </row>
    <row r="154" spans="1:9">
      <c r="A154">
        <v>153</v>
      </c>
      <c r="B154" s="2">
        <v>45668</v>
      </c>
      <c r="C154" t="s">
        <v>16</v>
      </c>
      <c r="D154" t="s">
        <v>17</v>
      </c>
      <c r="E154">
        <v>3</v>
      </c>
      <c r="F154">
        <v>36.03</v>
      </c>
      <c r="G154">
        <v>0.18</v>
      </c>
      <c r="H154" t="b">
        <v>0</v>
      </c>
      <c r="I154" t="s">
        <v>11</v>
      </c>
    </row>
    <row r="155" spans="1:9">
      <c r="A155">
        <v>154</v>
      </c>
      <c r="B155" s="2">
        <v>45668</v>
      </c>
      <c r="C155" t="s">
        <v>16</v>
      </c>
      <c r="D155" t="s">
        <v>17</v>
      </c>
      <c r="E155">
        <v>4</v>
      </c>
      <c r="F155">
        <v>29.06</v>
      </c>
      <c r="G155">
        <v>0.2</v>
      </c>
      <c r="H155" t="b">
        <v>1</v>
      </c>
      <c r="I155" t="s">
        <v>12</v>
      </c>
    </row>
    <row r="156" spans="1:9">
      <c r="A156">
        <v>155</v>
      </c>
      <c r="B156" s="2">
        <v>45668</v>
      </c>
      <c r="C156" t="s">
        <v>16</v>
      </c>
      <c r="D156" t="s">
        <v>17</v>
      </c>
      <c r="E156">
        <v>4</v>
      </c>
      <c r="F156">
        <v>31.56</v>
      </c>
      <c r="G156">
        <v>0.15</v>
      </c>
      <c r="H156" t="b">
        <v>1</v>
      </c>
      <c r="I156" t="s">
        <v>14</v>
      </c>
    </row>
    <row r="157" spans="1:9">
      <c r="A157">
        <v>156</v>
      </c>
      <c r="B157" s="2">
        <v>45668</v>
      </c>
      <c r="C157" t="s">
        <v>16</v>
      </c>
      <c r="D157" t="s">
        <v>17</v>
      </c>
      <c r="E157">
        <v>5</v>
      </c>
      <c r="F157">
        <v>59.25</v>
      </c>
      <c r="G157">
        <v>0.18</v>
      </c>
      <c r="H157" t="b">
        <v>0</v>
      </c>
      <c r="I157" t="s">
        <v>11</v>
      </c>
    </row>
    <row r="158" spans="1:9">
      <c r="A158">
        <v>157</v>
      </c>
      <c r="B158" s="2">
        <v>45668</v>
      </c>
      <c r="C158" t="s">
        <v>16</v>
      </c>
      <c r="D158" t="s">
        <v>17</v>
      </c>
      <c r="E158">
        <v>6</v>
      </c>
      <c r="F158">
        <v>77.31</v>
      </c>
      <c r="G158">
        <v>0.2</v>
      </c>
      <c r="H158" t="b">
        <v>1</v>
      </c>
      <c r="I158" t="s">
        <v>14</v>
      </c>
    </row>
    <row r="159" spans="1:9">
      <c r="A159">
        <v>158</v>
      </c>
      <c r="B159" s="2">
        <v>45668</v>
      </c>
      <c r="C159" t="s">
        <v>16</v>
      </c>
      <c r="D159" t="s">
        <v>17</v>
      </c>
      <c r="E159">
        <v>4</v>
      </c>
      <c r="F159">
        <v>45.53</v>
      </c>
      <c r="G159">
        <v>0.18</v>
      </c>
      <c r="H159" t="b">
        <v>0</v>
      </c>
      <c r="I159" t="s">
        <v>14</v>
      </c>
    </row>
    <row r="160" spans="1:9">
      <c r="A160">
        <v>159</v>
      </c>
      <c r="B160" s="2">
        <v>45668</v>
      </c>
      <c r="C160" t="s">
        <v>16</v>
      </c>
      <c r="D160" t="s">
        <v>17</v>
      </c>
      <c r="E160">
        <v>2</v>
      </c>
      <c r="F160">
        <v>20.28</v>
      </c>
      <c r="G160">
        <v>0.2</v>
      </c>
      <c r="H160" t="b">
        <v>0</v>
      </c>
      <c r="I160" t="s">
        <v>12</v>
      </c>
    </row>
    <row r="161" spans="1:9">
      <c r="A161">
        <v>160</v>
      </c>
      <c r="B161" s="2">
        <v>45668</v>
      </c>
      <c r="C161" t="s">
        <v>16</v>
      </c>
      <c r="D161" t="s">
        <v>17</v>
      </c>
      <c r="E161">
        <v>4</v>
      </c>
      <c r="F161">
        <v>66.53</v>
      </c>
      <c r="G161">
        <v>0.2</v>
      </c>
      <c r="H161" t="b">
        <v>0</v>
      </c>
      <c r="I161" t="s">
        <v>14</v>
      </c>
    </row>
    <row r="162" spans="1:9">
      <c r="A162">
        <v>161</v>
      </c>
      <c r="B162" s="2">
        <v>45668</v>
      </c>
      <c r="C162" t="s">
        <v>16</v>
      </c>
      <c r="D162" t="s">
        <v>17</v>
      </c>
      <c r="E162">
        <v>4</v>
      </c>
      <c r="F162">
        <v>43.25</v>
      </c>
      <c r="G162">
        <v>0.25</v>
      </c>
      <c r="H162" t="b">
        <v>0</v>
      </c>
      <c r="I162" t="s">
        <v>14</v>
      </c>
    </row>
    <row r="163" spans="1:9">
      <c r="A163">
        <v>162</v>
      </c>
      <c r="B163" s="2">
        <v>45668</v>
      </c>
      <c r="C163" t="s">
        <v>16</v>
      </c>
      <c r="D163" t="s">
        <v>17</v>
      </c>
      <c r="E163">
        <v>2</v>
      </c>
      <c r="F163">
        <v>12.41</v>
      </c>
      <c r="G163">
        <v>0.15</v>
      </c>
      <c r="H163" t="b">
        <v>1</v>
      </c>
      <c r="I163" t="s">
        <v>12</v>
      </c>
    </row>
    <row r="164" spans="1:9">
      <c r="A164">
        <v>163</v>
      </c>
      <c r="B164" s="2">
        <v>45668</v>
      </c>
      <c r="C164" t="s">
        <v>16</v>
      </c>
      <c r="D164" t="s">
        <v>17</v>
      </c>
      <c r="E164">
        <v>3</v>
      </c>
      <c r="F164">
        <v>51.25</v>
      </c>
      <c r="G164">
        <v>0.2</v>
      </c>
      <c r="H164" t="b">
        <v>0</v>
      </c>
      <c r="I164" t="s">
        <v>11</v>
      </c>
    </row>
    <row r="165" spans="1:9">
      <c r="A165">
        <v>164</v>
      </c>
      <c r="B165" s="2">
        <v>45668</v>
      </c>
      <c r="C165" t="s">
        <v>16</v>
      </c>
      <c r="D165" t="s">
        <v>17</v>
      </c>
      <c r="E165">
        <v>2</v>
      </c>
      <c r="F165">
        <v>20.93</v>
      </c>
      <c r="G165">
        <v>0.18</v>
      </c>
      <c r="H165" t="b">
        <v>0</v>
      </c>
      <c r="I165" t="s">
        <v>13</v>
      </c>
    </row>
    <row r="166" spans="1:9">
      <c r="A166">
        <v>165</v>
      </c>
      <c r="B166" s="2">
        <v>45668</v>
      </c>
      <c r="C166" t="s">
        <v>16</v>
      </c>
      <c r="D166" t="s">
        <v>17</v>
      </c>
      <c r="E166">
        <v>2</v>
      </c>
      <c r="F166">
        <v>34.03</v>
      </c>
      <c r="G166">
        <v>0.15</v>
      </c>
      <c r="H166" t="b">
        <v>0</v>
      </c>
      <c r="I166" t="s">
        <v>12</v>
      </c>
    </row>
    <row r="167" spans="1:9">
      <c r="A167">
        <v>166</v>
      </c>
      <c r="B167" s="2">
        <v>45668</v>
      </c>
      <c r="C167" t="s">
        <v>16</v>
      </c>
      <c r="D167" t="s">
        <v>17</v>
      </c>
      <c r="E167">
        <v>3</v>
      </c>
      <c r="F167">
        <v>42.92</v>
      </c>
      <c r="G167">
        <v>0.25</v>
      </c>
      <c r="H167" t="b">
        <v>0</v>
      </c>
      <c r="I167" t="s">
        <v>13</v>
      </c>
    </row>
    <row r="168" spans="1:9">
      <c r="A168">
        <v>167</v>
      </c>
      <c r="B168" s="2">
        <v>45668</v>
      </c>
      <c r="C168" t="s">
        <v>16</v>
      </c>
      <c r="D168" t="s">
        <v>17</v>
      </c>
      <c r="E168">
        <v>2</v>
      </c>
      <c r="F168">
        <v>24.15</v>
      </c>
      <c r="G168">
        <v>0.15</v>
      </c>
      <c r="H168" t="b">
        <v>0</v>
      </c>
      <c r="I168" t="s">
        <v>11</v>
      </c>
    </row>
    <row r="169" spans="1:9">
      <c r="A169">
        <v>168</v>
      </c>
      <c r="B169" s="2">
        <v>45668</v>
      </c>
      <c r="C169" t="s">
        <v>16</v>
      </c>
      <c r="D169" t="s">
        <v>17</v>
      </c>
      <c r="E169">
        <v>4</v>
      </c>
      <c r="F169">
        <v>40.18</v>
      </c>
      <c r="G169">
        <v>0.2</v>
      </c>
      <c r="H169" t="b">
        <v>0</v>
      </c>
      <c r="I169" t="s">
        <v>14</v>
      </c>
    </row>
    <row r="170" spans="1:9">
      <c r="A170">
        <v>169</v>
      </c>
      <c r="B170" s="2">
        <v>45669</v>
      </c>
      <c r="C170" t="s">
        <v>18</v>
      </c>
      <c r="D170" t="s">
        <v>19</v>
      </c>
      <c r="E170">
        <v>2</v>
      </c>
      <c r="F170">
        <v>31.55</v>
      </c>
      <c r="G170">
        <v>0.2</v>
      </c>
      <c r="H170" t="b">
        <v>0</v>
      </c>
      <c r="I170" t="s">
        <v>14</v>
      </c>
    </row>
    <row r="171" spans="1:9">
      <c r="A171">
        <v>170</v>
      </c>
      <c r="B171" s="2">
        <v>45669</v>
      </c>
      <c r="C171" t="s">
        <v>18</v>
      </c>
      <c r="D171" t="s">
        <v>19</v>
      </c>
      <c r="E171">
        <v>2</v>
      </c>
      <c r="F171">
        <v>31.72</v>
      </c>
      <c r="G171">
        <v>0.18</v>
      </c>
      <c r="H171" t="b">
        <v>0</v>
      </c>
      <c r="I171" t="s">
        <v>13</v>
      </c>
    </row>
    <row r="172" spans="1:9">
      <c r="A172">
        <v>171</v>
      </c>
      <c r="B172" s="2">
        <v>45669</v>
      </c>
      <c r="C172" t="s">
        <v>18</v>
      </c>
      <c r="D172" t="s">
        <v>19</v>
      </c>
      <c r="E172">
        <v>3</v>
      </c>
      <c r="F172">
        <v>53.78</v>
      </c>
      <c r="G172">
        <v>0.18</v>
      </c>
      <c r="H172" t="b">
        <v>0</v>
      </c>
      <c r="I172" t="s">
        <v>14</v>
      </c>
    </row>
    <row r="173" spans="1:9">
      <c r="A173">
        <v>172</v>
      </c>
      <c r="B173" s="2">
        <v>45669</v>
      </c>
      <c r="C173" t="s">
        <v>18</v>
      </c>
      <c r="D173" t="s">
        <v>19</v>
      </c>
      <c r="E173">
        <v>2</v>
      </c>
      <c r="F173">
        <v>37.25</v>
      </c>
      <c r="G173">
        <v>0.25</v>
      </c>
      <c r="H173" t="b">
        <v>0</v>
      </c>
      <c r="I173" t="s">
        <v>11</v>
      </c>
    </row>
    <row r="174" spans="1:9">
      <c r="A174">
        <v>173</v>
      </c>
      <c r="B174" s="2">
        <v>45669</v>
      </c>
      <c r="C174" t="s">
        <v>18</v>
      </c>
      <c r="D174" t="s">
        <v>17</v>
      </c>
      <c r="E174">
        <v>2</v>
      </c>
      <c r="F174">
        <v>24.88</v>
      </c>
      <c r="G174">
        <v>0.18</v>
      </c>
      <c r="H174" t="b">
        <v>0</v>
      </c>
      <c r="I174" t="s">
        <v>12</v>
      </c>
    </row>
    <row r="175" spans="1:9">
      <c r="A175">
        <v>174</v>
      </c>
      <c r="B175" s="2">
        <v>45669</v>
      </c>
      <c r="C175" t="s">
        <v>18</v>
      </c>
      <c r="D175" t="s">
        <v>17</v>
      </c>
      <c r="E175">
        <v>2</v>
      </c>
      <c r="F175">
        <v>25.33</v>
      </c>
      <c r="G175">
        <v>0.15</v>
      </c>
      <c r="H175" t="b">
        <v>0</v>
      </c>
      <c r="I175" t="s">
        <v>12</v>
      </c>
    </row>
    <row r="176" spans="1:9">
      <c r="A176">
        <v>175</v>
      </c>
      <c r="B176" s="2">
        <v>45669</v>
      </c>
      <c r="C176" t="s">
        <v>18</v>
      </c>
      <c r="D176" t="s">
        <v>17</v>
      </c>
      <c r="E176">
        <v>2</v>
      </c>
      <c r="F176">
        <v>33.15</v>
      </c>
      <c r="G176">
        <v>0.15</v>
      </c>
      <c r="H176" t="b">
        <v>0</v>
      </c>
      <c r="I176" t="s">
        <v>14</v>
      </c>
    </row>
    <row r="177" spans="1:9">
      <c r="A177">
        <v>176</v>
      </c>
      <c r="B177" s="2">
        <v>45669</v>
      </c>
      <c r="C177" t="s">
        <v>18</v>
      </c>
      <c r="D177" t="s">
        <v>17</v>
      </c>
      <c r="E177">
        <v>2</v>
      </c>
      <c r="F177">
        <v>26.28</v>
      </c>
      <c r="G177">
        <v>0.18</v>
      </c>
      <c r="H177" t="b">
        <v>1</v>
      </c>
      <c r="I177" t="s">
        <v>13</v>
      </c>
    </row>
    <row r="178" spans="1:9">
      <c r="A178">
        <v>177</v>
      </c>
      <c r="B178" s="2">
        <v>45669</v>
      </c>
      <c r="C178" t="s">
        <v>18</v>
      </c>
      <c r="D178" t="s">
        <v>17</v>
      </c>
      <c r="E178">
        <v>2</v>
      </c>
      <c r="F178">
        <v>21.44</v>
      </c>
      <c r="G178">
        <v>0.15</v>
      </c>
      <c r="H178" t="b">
        <v>0</v>
      </c>
      <c r="I178" t="s">
        <v>11</v>
      </c>
    </row>
    <row r="179" spans="1:9">
      <c r="A179">
        <v>178</v>
      </c>
      <c r="B179" s="2">
        <v>45669</v>
      </c>
      <c r="C179" t="s">
        <v>18</v>
      </c>
      <c r="D179" t="s">
        <v>17</v>
      </c>
      <c r="E179">
        <v>2</v>
      </c>
      <c r="F179">
        <v>35.53</v>
      </c>
      <c r="G179">
        <v>0.2</v>
      </c>
      <c r="H179" t="b">
        <v>0</v>
      </c>
      <c r="I179" t="s">
        <v>12</v>
      </c>
    </row>
    <row r="180" spans="1:9">
      <c r="A180">
        <v>179</v>
      </c>
      <c r="B180" s="2">
        <v>45669</v>
      </c>
      <c r="C180" t="s">
        <v>18</v>
      </c>
      <c r="D180" t="s">
        <v>17</v>
      </c>
      <c r="E180">
        <v>2</v>
      </c>
      <c r="F180">
        <v>28.76</v>
      </c>
      <c r="G180">
        <v>0.18</v>
      </c>
      <c r="H180" t="b">
        <v>0</v>
      </c>
      <c r="I180" t="s">
        <v>11</v>
      </c>
    </row>
    <row r="181" spans="1:9">
      <c r="A181">
        <v>180</v>
      </c>
      <c r="B181" s="2">
        <v>45669</v>
      </c>
      <c r="C181" t="s">
        <v>18</v>
      </c>
      <c r="D181" t="s">
        <v>17</v>
      </c>
      <c r="E181">
        <v>2</v>
      </c>
      <c r="F181">
        <v>25.65</v>
      </c>
      <c r="G181">
        <v>0.18</v>
      </c>
      <c r="H181" t="b">
        <v>0</v>
      </c>
      <c r="I181" t="s">
        <v>12</v>
      </c>
    </row>
    <row r="182" spans="1:9">
      <c r="A182">
        <v>181</v>
      </c>
      <c r="B182" s="2">
        <v>45669</v>
      </c>
      <c r="C182" t="s">
        <v>18</v>
      </c>
      <c r="D182" t="s">
        <v>17</v>
      </c>
      <c r="E182">
        <v>4</v>
      </c>
      <c r="F182">
        <v>38.159999999999997</v>
      </c>
      <c r="G182">
        <v>0.2</v>
      </c>
      <c r="H182" t="b">
        <v>0</v>
      </c>
      <c r="I182" t="s">
        <v>14</v>
      </c>
    </row>
    <row r="183" spans="1:9">
      <c r="A183">
        <v>182</v>
      </c>
      <c r="B183" s="2">
        <v>45669</v>
      </c>
      <c r="C183" t="s">
        <v>18</v>
      </c>
      <c r="D183" t="s">
        <v>17</v>
      </c>
      <c r="E183">
        <v>2</v>
      </c>
      <c r="F183">
        <v>25.3</v>
      </c>
      <c r="G183">
        <v>0.2</v>
      </c>
      <c r="H183" t="b">
        <v>0</v>
      </c>
      <c r="I183" t="s">
        <v>13</v>
      </c>
    </row>
    <row r="184" spans="1:9">
      <c r="A184">
        <v>183</v>
      </c>
      <c r="B184" s="2">
        <v>45669</v>
      </c>
      <c r="C184" t="s">
        <v>18</v>
      </c>
      <c r="D184" t="s">
        <v>17</v>
      </c>
      <c r="E184">
        <v>3</v>
      </c>
      <c r="F184">
        <v>19.53</v>
      </c>
      <c r="G184">
        <v>0.15</v>
      </c>
      <c r="H184" t="b">
        <v>0</v>
      </c>
      <c r="I184" t="s">
        <v>12</v>
      </c>
    </row>
    <row r="185" spans="1:9">
      <c r="A185">
        <v>184</v>
      </c>
      <c r="B185" s="2">
        <v>45669</v>
      </c>
      <c r="C185" t="s">
        <v>18</v>
      </c>
      <c r="D185" t="s">
        <v>17</v>
      </c>
      <c r="E185">
        <v>4</v>
      </c>
      <c r="F185">
        <v>43.73</v>
      </c>
      <c r="G185">
        <v>0.2</v>
      </c>
      <c r="H185" t="b">
        <v>1</v>
      </c>
      <c r="I185" t="s">
        <v>14</v>
      </c>
    </row>
    <row r="186" spans="1:9">
      <c r="A186">
        <v>185</v>
      </c>
      <c r="B186" s="2">
        <v>45669</v>
      </c>
      <c r="C186" t="s">
        <v>18</v>
      </c>
      <c r="D186" t="s">
        <v>17</v>
      </c>
      <c r="E186">
        <v>2</v>
      </c>
      <c r="F186">
        <v>40.61</v>
      </c>
      <c r="G186">
        <v>0.15</v>
      </c>
      <c r="H186" t="b">
        <v>1</v>
      </c>
      <c r="I186" t="s">
        <v>14</v>
      </c>
    </row>
    <row r="187" spans="1:9">
      <c r="A187">
        <v>186</v>
      </c>
      <c r="B187" s="2">
        <v>45669</v>
      </c>
      <c r="C187" t="s">
        <v>18</v>
      </c>
      <c r="D187" t="s">
        <v>17</v>
      </c>
      <c r="E187">
        <v>5</v>
      </c>
      <c r="F187">
        <v>86.69</v>
      </c>
      <c r="G187">
        <v>0.15</v>
      </c>
      <c r="H187" t="b">
        <v>1</v>
      </c>
      <c r="I187" t="s">
        <v>13</v>
      </c>
    </row>
    <row r="188" spans="1:9">
      <c r="A188">
        <v>187</v>
      </c>
      <c r="B188" s="2">
        <v>45669</v>
      </c>
      <c r="C188" t="s">
        <v>18</v>
      </c>
      <c r="D188" t="s">
        <v>17</v>
      </c>
      <c r="E188">
        <v>3</v>
      </c>
      <c r="F188">
        <v>48.43</v>
      </c>
      <c r="G188">
        <v>0.15</v>
      </c>
      <c r="H188" t="b">
        <v>1</v>
      </c>
      <c r="I188" t="s">
        <v>14</v>
      </c>
    </row>
    <row r="189" spans="1:9">
      <c r="A189">
        <v>188</v>
      </c>
      <c r="B189" s="2">
        <v>45669</v>
      </c>
      <c r="C189" t="s">
        <v>18</v>
      </c>
      <c r="D189" t="s">
        <v>17</v>
      </c>
      <c r="E189">
        <v>5</v>
      </c>
      <c r="F189">
        <v>72.150000000000006</v>
      </c>
      <c r="G189">
        <v>0.15</v>
      </c>
      <c r="H189" t="b">
        <v>1</v>
      </c>
      <c r="I189" t="s">
        <v>14</v>
      </c>
    </row>
    <row r="190" spans="1:9">
      <c r="A190">
        <v>189</v>
      </c>
      <c r="B190" s="2">
        <v>45669</v>
      </c>
      <c r="C190" t="s">
        <v>18</v>
      </c>
      <c r="D190" t="s">
        <v>17</v>
      </c>
      <c r="E190">
        <v>3</v>
      </c>
      <c r="F190">
        <v>43.83</v>
      </c>
      <c r="G190">
        <v>0.2</v>
      </c>
      <c r="H190" t="b">
        <v>0</v>
      </c>
      <c r="I190" t="s">
        <v>12</v>
      </c>
    </row>
    <row r="191" spans="1:9">
      <c r="A191">
        <v>190</v>
      </c>
      <c r="B191" s="2">
        <v>45669</v>
      </c>
      <c r="C191" t="s">
        <v>18</v>
      </c>
      <c r="D191" t="s">
        <v>17</v>
      </c>
      <c r="E191">
        <v>3</v>
      </c>
      <c r="F191">
        <v>34.54</v>
      </c>
      <c r="G191">
        <v>0.2</v>
      </c>
      <c r="H191" t="b">
        <v>0</v>
      </c>
      <c r="I191" t="s">
        <v>12</v>
      </c>
    </row>
    <row r="192" spans="1:9">
      <c r="A192">
        <v>191</v>
      </c>
      <c r="B192" s="2">
        <v>45669</v>
      </c>
      <c r="C192" t="s">
        <v>18</v>
      </c>
      <c r="D192" t="s">
        <v>17</v>
      </c>
      <c r="E192">
        <v>2</v>
      </c>
      <c r="F192">
        <v>39.950000000000003</v>
      </c>
      <c r="G192">
        <v>0.18</v>
      </c>
      <c r="H192" t="b">
        <v>0</v>
      </c>
      <c r="I192" t="s">
        <v>14</v>
      </c>
    </row>
    <row r="193" spans="1:9">
      <c r="A193">
        <v>192</v>
      </c>
      <c r="B193" s="2">
        <v>45673</v>
      </c>
      <c r="C193" t="s">
        <v>9</v>
      </c>
      <c r="D193" t="s">
        <v>10</v>
      </c>
      <c r="E193">
        <v>2</v>
      </c>
      <c r="F193">
        <v>26.51</v>
      </c>
      <c r="G193">
        <v>0.2</v>
      </c>
      <c r="H193" t="b">
        <v>0</v>
      </c>
      <c r="I193" t="s">
        <v>11</v>
      </c>
    </row>
    <row r="194" spans="1:9">
      <c r="A194">
        <v>193</v>
      </c>
      <c r="B194" s="2">
        <v>45673</v>
      </c>
      <c r="C194" t="s">
        <v>9</v>
      </c>
      <c r="D194" t="s">
        <v>10</v>
      </c>
      <c r="E194">
        <v>2</v>
      </c>
      <c r="F194">
        <v>14.95</v>
      </c>
      <c r="G194">
        <v>0.2</v>
      </c>
      <c r="H194" t="b">
        <v>1</v>
      </c>
      <c r="I194" t="s">
        <v>14</v>
      </c>
    </row>
    <row r="195" spans="1:9">
      <c r="A195">
        <v>194</v>
      </c>
      <c r="B195" s="2">
        <v>45673</v>
      </c>
      <c r="C195" t="s">
        <v>9</v>
      </c>
      <c r="D195" t="s">
        <v>10</v>
      </c>
      <c r="E195">
        <v>2</v>
      </c>
      <c r="F195">
        <v>36.04</v>
      </c>
      <c r="G195">
        <v>0.18</v>
      </c>
      <c r="H195" t="b">
        <v>0</v>
      </c>
      <c r="I195" t="s">
        <v>12</v>
      </c>
    </row>
    <row r="196" spans="1:9">
      <c r="A196">
        <v>195</v>
      </c>
      <c r="B196" s="2">
        <v>45673</v>
      </c>
      <c r="C196" t="s">
        <v>9</v>
      </c>
      <c r="D196" t="s">
        <v>10</v>
      </c>
      <c r="E196">
        <v>2</v>
      </c>
      <c r="F196">
        <v>21.25</v>
      </c>
      <c r="G196">
        <v>0.15</v>
      </c>
      <c r="H196" t="b">
        <v>1</v>
      </c>
      <c r="I196" t="s">
        <v>14</v>
      </c>
    </row>
    <row r="197" spans="1:9">
      <c r="A197">
        <v>196</v>
      </c>
      <c r="B197" s="2">
        <v>45673</v>
      </c>
      <c r="C197" t="s">
        <v>9</v>
      </c>
      <c r="D197" t="s">
        <v>10</v>
      </c>
      <c r="E197">
        <v>2</v>
      </c>
      <c r="F197">
        <v>23.3</v>
      </c>
      <c r="G197">
        <v>0.2</v>
      </c>
      <c r="H197" t="b">
        <v>0</v>
      </c>
      <c r="I197" t="s">
        <v>12</v>
      </c>
    </row>
    <row r="198" spans="1:9">
      <c r="A198">
        <v>197</v>
      </c>
      <c r="B198" s="2">
        <v>45673</v>
      </c>
      <c r="C198" t="s">
        <v>9</v>
      </c>
      <c r="D198" t="s">
        <v>10</v>
      </c>
      <c r="E198">
        <v>2</v>
      </c>
      <c r="F198">
        <v>21.57</v>
      </c>
      <c r="G198">
        <v>0.18</v>
      </c>
      <c r="H198" t="b">
        <v>0</v>
      </c>
      <c r="I198" t="s">
        <v>13</v>
      </c>
    </row>
    <row r="199" spans="1:9">
      <c r="A199">
        <v>198</v>
      </c>
      <c r="B199" s="2">
        <v>45673</v>
      </c>
      <c r="C199" t="s">
        <v>9</v>
      </c>
      <c r="D199" t="s">
        <v>10</v>
      </c>
      <c r="E199">
        <v>4</v>
      </c>
      <c r="F199">
        <v>32.75</v>
      </c>
      <c r="G199">
        <v>0.2</v>
      </c>
      <c r="H199" t="b">
        <v>0</v>
      </c>
      <c r="I199" t="s">
        <v>12</v>
      </c>
    </row>
    <row r="200" spans="1:9">
      <c r="A200">
        <v>199</v>
      </c>
      <c r="B200" s="2">
        <v>45673</v>
      </c>
      <c r="C200" t="s">
        <v>9</v>
      </c>
      <c r="D200" t="s">
        <v>10</v>
      </c>
      <c r="E200">
        <v>2</v>
      </c>
      <c r="F200">
        <v>24.98</v>
      </c>
      <c r="G200">
        <v>0.2</v>
      </c>
      <c r="H200" t="b">
        <v>0</v>
      </c>
      <c r="I200" t="s">
        <v>14</v>
      </c>
    </row>
    <row r="201" spans="1:9">
      <c r="A201">
        <v>200</v>
      </c>
      <c r="B201" s="2">
        <v>45673</v>
      </c>
      <c r="C201" t="s">
        <v>9</v>
      </c>
      <c r="D201" t="s">
        <v>10</v>
      </c>
      <c r="E201">
        <v>2</v>
      </c>
      <c r="F201">
        <v>13.62</v>
      </c>
      <c r="G201">
        <v>0.15</v>
      </c>
      <c r="H201" t="b">
        <v>0</v>
      </c>
      <c r="I201" t="s">
        <v>14</v>
      </c>
    </row>
    <row r="202" spans="1:9">
      <c r="A202">
        <v>201</v>
      </c>
      <c r="B202" s="2">
        <v>45673</v>
      </c>
      <c r="C202" t="s">
        <v>9</v>
      </c>
      <c r="D202" t="s">
        <v>10</v>
      </c>
      <c r="E202">
        <v>3</v>
      </c>
      <c r="F202">
        <v>43.84</v>
      </c>
      <c r="G202">
        <v>0.2</v>
      </c>
      <c r="H202" t="b">
        <v>0</v>
      </c>
      <c r="I202" t="s">
        <v>11</v>
      </c>
    </row>
    <row r="203" spans="1:9">
      <c r="A203">
        <v>202</v>
      </c>
      <c r="B203" s="2">
        <v>45673</v>
      </c>
      <c r="C203" t="s">
        <v>9</v>
      </c>
      <c r="D203" t="s">
        <v>10</v>
      </c>
      <c r="E203">
        <v>2</v>
      </c>
      <c r="F203">
        <v>14.37</v>
      </c>
      <c r="G203">
        <v>0.18</v>
      </c>
      <c r="H203" t="b">
        <v>0</v>
      </c>
      <c r="I203" t="s">
        <v>12</v>
      </c>
    </row>
    <row r="204" spans="1:9">
      <c r="A204">
        <v>203</v>
      </c>
      <c r="B204" s="2">
        <v>45673</v>
      </c>
      <c r="C204" t="s">
        <v>9</v>
      </c>
      <c r="D204" t="s">
        <v>10</v>
      </c>
      <c r="E204">
        <v>2</v>
      </c>
      <c r="F204">
        <v>11</v>
      </c>
      <c r="G204">
        <v>0.15</v>
      </c>
      <c r="H204" t="b">
        <v>0</v>
      </c>
      <c r="I204" t="s">
        <v>14</v>
      </c>
    </row>
    <row r="205" spans="1:9">
      <c r="A205">
        <v>204</v>
      </c>
      <c r="B205" s="2">
        <v>45673</v>
      </c>
      <c r="C205" t="s">
        <v>9</v>
      </c>
      <c r="D205" t="s">
        <v>10</v>
      </c>
      <c r="E205">
        <v>2</v>
      </c>
      <c r="F205">
        <v>28.04</v>
      </c>
      <c r="G205">
        <v>0.18</v>
      </c>
      <c r="H205" t="b">
        <v>0</v>
      </c>
      <c r="I205" t="s">
        <v>14</v>
      </c>
    </row>
    <row r="206" spans="1:9">
      <c r="A206">
        <v>205</v>
      </c>
      <c r="B206" s="2">
        <v>45673</v>
      </c>
      <c r="C206" t="s">
        <v>9</v>
      </c>
      <c r="D206" t="s">
        <v>10</v>
      </c>
      <c r="E206">
        <v>4</v>
      </c>
      <c r="F206">
        <v>76.37</v>
      </c>
      <c r="G206">
        <v>0.18</v>
      </c>
      <c r="H206" t="b">
        <v>1</v>
      </c>
      <c r="I206" t="s">
        <v>13</v>
      </c>
    </row>
    <row r="207" spans="1:9">
      <c r="A207">
        <v>206</v>
      </c>
      <c r="B207" s="2">
        <v>45673</v>
      </c>
      <c r="C207" t="s">
        <v>9</v>
      </c>
      <c r="D207" t="s">
        <v>10</v>
      </c>
      <c r="E207">
        <v>3</v>
      </c>
      <c r="F207">
        <v>29</v>
      </c>
      <c r="G207">
        <v>0.25</v>
      </c>
      <c r="H207" t="b">
        <v>0</v>
      </c>
      <c r="I207" t="s">
        <v>12</v>
      </c>
    </row>
    <row r="208" spans="1:9">
      <c r="A208">
        <v>207</v>
      </c>
      <c r="B208" s="2">
        <v>45674</v>
      </c>
      <c r="C208" t="s">
        <v>15</v>
      </c>
      <c r="D208" t="s">
        <v>10</v>
      </c>
      <c r="E208">
        <v>3</v>
      </c>
      <c r="F208">
        <v>50.15</v>
      </c>
      <c r="G208">
        <v>0.18</v>
      </c>
      <c r="H208" t="b">
        <v>0</v>
      </c>
      <c r="I208" t="s">
        <v>14</v>
      </c>
    </row>
    <row r="209" spans="1:9">
      <c r="A209">
        <v>208</v>
      </c>
      <c r="B209" s="2">
        <v>45674</v>
      </c>
      <c r="C209" t="s">
        <v>15</v>
      </c>
      <c r="D209" t="s">
        <v>10</v>
      </c>
      <c r="E209">
        <v>4</v>
      </c>
      <c r="F209">
        <v>32.380000000000003</v>
      </c>
      <c r="G209">
        <v>0.15</v>
      </c>
      <c r="H209" t="b">
        <v>1</v>
      </c>
      <c r="I209" t="s">
        <v>12</v>
      </c>
    </row>
    <row r="210" spans="1:9">
      <c r="A210">
        <v>209</v>
      </c>
      <c r="B210" s="2">
        <v>45674</v>
      </c>
      <c r="C210" t="s">
        <v>15</v>
      </c>
      <c r="D210" t="s">
        <v>10</v>
      </c>
      <c r="E210">
        <v>2</v>
      </c>
      <c r="F210">
        <v>39.950000000000003</v>
      </c>
      <c r="G210">
        <v>0.15</v>
      </c>
      <c r="H210" t="b">
        <v>0</v>
      </c>
      <c r="I210" t="s">
        <v>14</v>
      </c>
    </row>
    <row r="211" spans="1:9">
      <c r="A211">
        <v>210</v>
      </c>
      <c r="B211" s="2">
        <v>45674</v>
      </c>
      <c r="C211" t="s">
        <v>15</v>
      </c>
      <c r="D211" t="s">
        <v>10</v>
      </c>
      <c r="E211">
        <v>2</v>
      </c>
      <c r="F211">
        <v>38.33</v>
      </c>
      <c r="G211">
        <v>0.2</v>
      </c>
      <c r="H211" t="b">
        <v>0</v>
      </c>
      <c r="I211" t="s">
        <v>13</v>
      </c>
    </row>
    <row r="212" spans="1:9">
      <c r="A212">
        <v>211</v>
      </c>
      <c r="B212" s="2">
        <v>45674</v>
      </c>
      <c r="C212" t="s">
        <v>15</v>
      </c>
      <c r="D212" t="s">
        <v>10</v>
      </c>
      <c r="E212">
        <v>3</v>
      </c>
      <c r="F212">
        <v>55.08</v>
      </c>
      <c r="G212">
        <v>0.2</v>
      </c>
      <c r="H212" t="b">
        <v>1</v>
      </c>
      <c r="I212" t="s">
        <v>11</v>
      </c>
    </row>
    <row r="213" spans="1:9">
      <c r="A213">
        <v>212</v>
      </c>
      <c r="B213" s="2">
        <v>45674</v>
      </c>
      <c r="C213" t="s">
        <v>15</v>
      </c>
      <c r="D213" t="s">
        <v>10</v>
      </c>
      <c r="E213">
        <v>4</v>
      </c>
      <c r="F213">
        <v>31.84</v>
      </c>
      <c r="G213">
        <v>0.2</v>
      </c>
      <c r="H213" t="b">
        <v>0</v>
      </c>
      <c r="I213" t="s">
        <v>12</v>
      </c>
    </row>
    <row r="214" spans="1:9">
      <c r="A214">
        <v>213</v>
      </c>
      <c r="B214" s="2">
        <v>45674</v>
      </c>
      <c r="C214" t="s">
        <v>15</v>
      </c>
      <c r="D214" t="s">
        <v>10</v>
      </c>
      <c r="E214">
        <v>4</v>
      </c>
      <c r="F214">
        <v>34.64</v>
      </c>
      <c r="G214">
        <v>0.18</v>
      </c>
      <c r="H214" t="b">
        <v>0</v>
      </c>
      <c r="I214" t="s">
        <v>13</v>
      </c>
    </row>
    <row r="215" spans="1:9">
      <c r="A215">
        <v>214</v>
      </c>
      <c r="B215" s="2">
        <v>45674</v>
      </c>
      <c r="C215" t="s">
        <v>15</v>
      </c>
      <c r="D215" t="s">
        <v>10</v>
      </c>
      <c r="E215">
        <v>2</v>
      </c>
      <c r="F215">
        <v>22.85</v>
      </c>
      <c r="G215">
        <v>0.2</v>
      </c>
      <c r="H215" t="b">
        <v>0</v>
      </c>
      <c r="I215" t="s">
        <v>13</v>
      </c>
    </row>
    <row r="216" spans="1:9">
      <c r="A216">
        <v>215</v>
      </c>
      <c r="B216" s="2">
        <v>45674</v>
      </c>
      <c r="C216" t="s">
        <v>15</v>
      </c>
      <c r="D216" t="s">
        <v>10</v>
      </c>
      <c r="E216">
        <v>3</v>
      </c>
      <c r="F216">
        <v>19.34</v>
      </c>
      <c r="G216">
        <v>0.15</v>
      </c>
      <c r="H216" t="b">
        <v>0</v>
      </c>
      <c r="I216" t="s">
        <v>12</v>
      </c>
    </row>
    <row r="217" spans="1:9">
      <c r="A217">
        <v>216</v>
      </c>
      <c r="B217" s="2">
        <v>45674</v>
      </c>
      <c r="C217" t="s">
        <v>15</v>
      </c>
      <c r="D217" t="s">
        <v>10</v>
      </c>
      <c r="E217">
        <v>2</v>
      </c>
      <c r="F217">
        <v>29.04</v>
      </c>
      <c r="G217">
        <v>0.18</v>
      </c>
      <c r="H217" t="b">
        <v>0</v>
      </c>
      <c r="I217" t="s">
        <v>11</v>
      </c>
    </row>
    <row r="218" spans="1:9">
      <c r="A218">
        <v>217</v>
      </c>
      <c r="B218" s="2">
        <v>45674</v>
      </c>
      <c r="C218" t="s">
        <v>15</v>
      </c>
      <c r="D218" t="s">
        <v>10</v>
      </c>
      <c r="E218">
        <v>5</v>
      </c>
      <c r="F218">
        <v>80.3</v>
      </c>
      <c r="G218">
        <v>0.2</v>
      </c>
      <c r="H218" t="b">
        <v>0</v>
      </c>
      <c r="I218" t="s">
        <v>12</v>
      </c>
    </row>
    <row r="219" spans="1:9">
      <c r="A219">
        <v>218</v>
      </c>
      <c r="B219" s="2">
        <v>45674</v>
      </c>
      <c r="C219" t="s">
        <v>15</v>
      </c>
      <c r="D219" t="s">
        <v>10</v>
      </c>
      <c r="E219">
        <v>2</v>
      </c>
      <c r="F219">
        <v>21.64</v>
      </c>
      <c r="G219">
        <v>0.25</v>
      </c>
      <c r="H219" t="b">
        <v>1</v>
      </c>
      <c r="I219" t="s">
        <v>14</v>
      </c>
    </row>
    <row r="220" spans="1:9">
      <c r="A220">
        <v>219</v>
      </c>
      <c r="B220" s="2">
        <v>45674</v>
      </c>
      <c r="C220" t="s">
        <v>15</v>
      </c>
      <c r="D220" t="s">
        <v>10</v>
      </c>
      <c r="E220">
        <v>2</v>
      </c>
      <c r="F220">
        <v>27.55</v>
      </c>
      <c r="G220">
        <v>0.25</v>
      </c>
      <c r="H220" t="b">
        <v>0</v>
      </c>
      <c r="I220" t="s">
        <v>12</v>
      </c>
    </row>
    <row r="221" spans="1:9">
      <c r="A221">
        <v>220</v>
      </c>
      <c r="B221" s="2">
        <v>45674</v>
      </c>
      <c r="C221" t="s">
        <v>15</v>
      </c>
      <c r="D221" t="s">
        <v>10</v>
      </c>
      <c r="E221">
        <v>4</v>
      </c>
      <c r="F221">
        <v>55.25</v>
      </c>
      <c r="G221">
        <v>0.25</v>
      </c>
      <c r="H221" t="b">
        <v>1</v>
      </c>
      <c r="I221" t="s">
        <v>13</v>
      </c>
    </row>
    <row r="222" spans="1:9">
      <c r="A222">
        <v>221</v>
      </c>
      <c r="B222" s="2">
        <v>45675</v>
      </c>
      <c r="C222" t="s">
        <v>16</v>
      </c>
      <c r="D222" t="s">
        <v>10</v>
      </c>
      <c r="E222">
        <v>2</v>
      </c>
      <c r="F222">
        <v>39.21</v>
      </c>
      <c r="G222">
        <v>0.25</v>
      </c>
      <c r="H222" t="b">
        <v>0</v>
      </c>
      <c r="I222" t="s">
        <v>14</v>
      </c>
    </row>
    <row r="223" spans="1:9">
      <c r="A223">
        <v>222</v>
      </c>
      <c r="B223" s="2">
        <v>45675</v>
      </c>
      <c r="C223" t="s">
        <v>16</v>
      </c>
      <c r="D223" t="s">
        <v>10</v>
      </c>
      <c r="E223">
        <v>2</v>
      </c>
      <c r="F223">
        <v>41.82</v>
      </c>
      <c r="G223">
        <v>0.2</v>
      </c>
      <c r="H223" t="b">
        <v>1</v>
      </c>
      <c r="I223" t="s">
        <v>14</v>
      </c>
    </row>
    <row r="224" spans="1:9">
      <c r="A224">
        <v>223</v>
      </c>
      <c r="B224" s="2">
        <v>45675</v>
      </c>
      <c r="C224" t="s">
        <v>16</v>
      </c>
      <c r="D224" t="s">
        <v>10</v>
      </c>
      <c r="E224">
        <v>1</v>
      </c>
      <c r="F224">
        <v>12.33</v>
      </c>
      <c r="G224">
        <v>0.2</v>
      </c>
      <c r="H224" t="b">
        <v>0</v>
      </c>
      <c r="I224" t="s">
        <v>13</v>
      </c>
    </row>
    <row r="225" spans="1:9">
      <c r="A225">
        <v>224</v>
      </c>
      <c r="B225" s="2">
        <v>45675</v>
      </c>
      <c r="C225" t="s">
        <v>16</v>
      </c>
      <c r="D225" t="s">
        <v>10</v>
      </c>
      <c r="E225">
        <v>3</v>
      </c>
      <c r="F225">
        <v>31.11</v>
      </c>
      <c r="G225">
        <v>0.2</v>
      </c>
      <c r="H225" t="b">
        <v>1</v>
      </c>
      <c r="I225" t="s">
        <v>14</v>
      </c>
    </row>
    <row r="226" spans="1:9">
      <c r="A226">
        <v>225</v>
      </c>
      <c r="B226" s="2">
        <v>45675</v>
      </c>
      <c r="C226" t="s">
        <v>16</v>
      </c>
      <c r="D226" t="s">
        <v>10</v>
      </c>
      <c r="E226">
        <v>2</v>
      </c>
      <c r="F226">
        <v>16.28</v>
      </c>
      <c r="G226">
        <v>0.1</v>
      </c>
      <c r="H226" t="b">
        <v>0</v>
      </c>
      <c r="I226" t="s">
        <v>11</v>
      </c>
    </row>
    <row r="227" spans="1:9">
      <c r="A227">
        <v>226</v>
      </c>
      <c r="B227" s="2">
        <v>45675</v>
      </c>
      <c r="C227" t="s">
        <v>16</v>
      </c>
      <c r="D227" t="s">
        <v>10</v>
      </c>
      <c r="E227">
        <v>2</v>
      </c>
      <c r="F227">
        <v>34.06</v>
      </c>
      <c r="G227">
        <v>0.18</v>
      </c>
      <c r="H227" t="b">
        <v>0</v>
      </c>
      <c r="I227" t="s">
        <v>13</v>
      </c>
    </row>
    <row r="228" spans="1:9">
      <c r="A228">
        <v>227</v>
      </c>
      <c r="B228" s="2">
        <v>45675</v>
      </c>
      <c r="C228" t="s">
        <v>16</v>
      </c>
      <c r="D228" t="s">
        <v>10</v>
      </c>
      <c r="E228">
        <v>2</v>
      </c>
      <c r="F228">
        <v>35.64</v>
      </c>
      <c r="G228">
        <v>0.1</v>
      </c>
      <c r="H228" t="b">
        <v>1</v>
      </c>
      <c r="I228" t="s">
        <v>11</v>
      </c>
    </row>
    <row r="229" spans="1:9">
      <c r="A229">
        <v>228</v>
      </c>
      <c r="B229" s="2">
        <v>45675</v>
      </c>
      <c r="C229" t="s">
        <v>16</v>
      </c>
      <c r="D229" t="s">
        <v>17</v>
      </c>
      <c r="E229">
        <v>4</v>
      </c>
      <c r="F229">
        <v>63.99</v>
      </c>
      <c r="G229">
        <v>0.18</v>
      </c>
      <c r="H229" t="b">
        <v>0</v>
      </c>
      <c r="I229" t="s">
        <v>11</v>
      </c>
    </row>
    <row r="230" spans="1:9">
      <c r="A230">
        <v>229</v>
      </c>
      <c r="B230" s="2">
        <v>45675</v>
      </c>
      <c r="C230" t="s">
        <v>16</v>
      </c>
      <c r="D230" t="s">
        <v>17</v>
      </c>
      <c r="E230">
        <v>2</v>
      </c>
      <c r="F230">
        <v>30.48</v>
      </c>
      <c r="G230">
        <v>0.2</v>
      </c>
      <c r="H230" t="b">
        <v>0</v>
      </c>
      <c r="I230" t="s">
        <v>14</v>
      </c>
    </row>
    <row r="231" spans="1:9">
      <c r="A231">
        <v>230</v>
      </c>
      <c r="B231" s="2">
        <v>45675</v>
      </c>
      <c r="C231" t="s">
        <v>16</v>
      </c>
      <c r="D231" t="s">
        <v>17</v>
      </c>
      <c r="E231">
        <v>2</v>
      </c>
      <c r="F231">
        <v>21.58</v>
      </c>
      <c r="G231">
        <v>0.1</v>
      </c>
      <c r="H231" t="b">
        <v>0</v>
      </c>
      <c r="I231" t="s">
        <v>11</v>
      </c>
    </row>
    <row r="232" spans="1:9">
      <c r="A232">
        <v>231</v>
      </c>
      <c r="B232" s="2">
        <v>45675</v>
      </c>
      <c r="C232" t="s">
        <v>16</v>
      </c>
      <c r="D232" t="s">
        <v>17</v>
      </c>
      <c r="E232">
        <v>4</v>
      </c>
      <c r="F232">
        <v>46.93</v>
      </c>
      <c r="G232">
        <v>0.15</v>
      </c>
      <c r="H232" t="b">
        <v>0</v>
      </c>
      <c r="I232" t="s">
        <v>14</v>
      </c>
    </row>
    <row r="233" spans="1:9">
      <c r="A233">
        <v>232</v>
      </c>
      <c r="B233" s="2">
        <v>45675</v>
      </c>
      <c r="C233" t="s">
        <v>16</v>
      </c>
      <c r="D233" t="s">
        <v>17</v>
      </c>
      <c r="E233">
        <v>3</v>
      </c>
      <c r="F233">
        <v>21.52</v>
      </c>
      <c r="G233">
        <v>0.18</v>
      </c>
      <c r="H233" t="b">
        <v>1</v>
      </c>
      <c r="I233" t="s">
        <v>12</v>
      </c>
    </row>
    <row r="234" spans="1:9">
      <c r="A234">
        <v>233</v>
      </c>
      <c r="B234" s="2">
        <v>45675</v>
      </c>
      <c r="C234" t="s">
        <v>16</v>
      </c>
      <c r="D234" t="s">
        <v>17</v>
      </c>
      <c r="E234">
        <v>2</v>
      </c>
      <c r="F234">
        <v>22.45</v>
      </c>
      <c r="G234">
        <v>0.25</v>
      </c>
      <c r="H234" t="b">
        <v>0</v>
      </c>
      <c r="I234" t="s">
        <v>14</v>
      </c>
    </row>
    <row r="235" spans="1:9">
      <c r="A235">
        <v>234</v>
      </c>
      <c r="B235" s="2">
        <v>45675</v>
      </c>
      <c r="C235" t="s">
        <v>16</v>
      </c>
      <c r="D235" t="s">
        <v>17</v>
      </c>
      <c r="E235">
        <v>2</v>
      </c>
      <c r="F235">
        <v>10.97</v>
      </c>
      <c r="G235">
        <v>0.18</v>
      </c>
      <c r="H235" t="b">
        <v>0</v>
      </c>
      <c r="I235" t="s">
        <v>13</v>
      </c>
    </row>
    <row r="236" spans="1:9">
      <c r="A236">
        <v>235</v>
      </c>
      <c r="B236" s="2">
        <v>45675</v>
      </c>
      <c r="C236" t="s">
        <v>16</v>
      </c>
      <c r="D236" t="s">
        <v>17</v>
      </c>
      <c r="E236">
        <v>2</v>
      </c>
      <c r="F236">
        <v>25.04</v>
      </c>
      <c r="G236">
        <v>0.2</v>
      </c>
      <c r="H236" t="b">
        <v>0</v>
      </c>
      <c r="I236" t="s">
        <v>13</v>
      </c>
    </row>
    <row r="237" spans="1:9">
      <c r="A237">
        <v>236</v>
      </c>
      <c r="B237" s="2">
        <v>45675</v>
      </c>
      <c r="C237" t="s">
        <v>16</v>
      </c>
      <c r="D237" t="s">
        <v>17</v>
      </c>
      <c r="E237">
        <v>2</v>
      </c>
      <c r="F237">
        <v>42.34</v>
      </c>
      <c r="G237">
        <v>0.2</v>
      </c>
      <c r="H237" t="b">
        <v>1</v>
      </c>
      <c r="I237" t="s">
        <v>13</v>
      </c>
    </row>
    <row r="238" spans="1:9">
      <c r="A238">
        <v>237</v>
      </c>
      <c r="B238" s="2">
        <v>45675</v>
      </c>
      <c r="C238" t="s">
        <v>16</v>
      </c>
      <c r="D238" t="s">
        <v>17</v>
      </c>
      <c r="E238">
        <v>2</v>
      </c>
      <c r="F238">
        <v>15.45</v>
      </c>
      <c r="G238">
        <v>0.2</v>
      </c>
      <c r="H238" t="b">
        <v>0</v>
      </c>
      <c r="I238" t="s">
        <v>13</v>
      </c>
    </row>
    <row r="239" spans="1:9">
      <c r="A239">
        <v>238</v>
      </c>
      <c r="B239" s="2">
        <v>45675</v>
      </c>
      <c r="C239" t="s">
        <v>16</v>
      </c>
      <c r="D239" t="s">
        <v>17</v>
      </c>
      <c r="E239">
        <v>2</v>
      </c>
      <c r="F239">
        <v>6</v>
      </c>
      <c r="G239">
        <v>0.1</v>
      </c>
      <c r="H239" t="b">
        <v>0</v>
      </c>
      <c r="I239" t="s">
        <v>11</v>
      </c>
    </row>
    <row r="240" spans="1:9">
      <c r="A240">
        <v>239</v>
      </c>
      <c r="B240" s="2">
        <v>45675</v>
      </c>
      <c r="C240" t="s">
        <v>16</v>
      </c>
      <c r="D240" t="s">
        <v>17</v>
      </c>
      <c r="E240">
        <v>3</v>
      </c>
      <c r="F240">
        <v>51.23</v>
      </c>
      <c r="G240">
        <v>0.15</v>
      </c>
      <c r="H240" t="b">
        <v>0</v>
      </c>
      <c r="I240" t="s">
        <v>12</v>
      </c>
    </row>
    <row r="241" spans="1:9">
      <c r="A241">
        <v>240</v>
      </c>
      <c r="B241" s="2">
        <v>45675</v>
      </c>
      <c r="C241" t="s">
        <v>16</v>
      </c>
      <c r="D241" t="s">
        <v>17</v>
      </c>
      <c r="E241">
        <v>3</v>
      </c>
      <c r="F241">
        <v>23.43</v>
      </c>
      <c r="G241">
        <v>0.2</v>
      </c>
      <c r="H241" t="b">
        <v>0</v>
      </c>
      <c r="I241" t="s">
        <v>11</v>
      </c>
    </row>
    <row r="242" spans="1:9">
      <c r="A242">
        <v>241</v>
      </c>
      <c r="B242" s="2">
        <v>45675</v>
      </c>
      <c r="C242" t="s">
        <v>16</v>
      </c>
      <c r="D242" t="s">
        <v>17</v>
      </c>
      <c r="E242">
        <v>2</v>
      </c>
      <c r="F242">
        <v>32.97</v>
      </c>
      <c r="G242">
        <v>0.15</v>
      </c>
      <c r="H242" t="b">
        <v>0</v>
      </c>
      <c r="I242" t="s">
        <v>11</v>
      </c>
    </row>
    <row r="243" spans="1:9">
      <c r="A243">
        <v>242</v>
      </c>
      <c r="B243" s="2">
        <v>45675</v>
      </c>
      <c r="C243" t="s">
        <v>16</v>
      </c>
      <c r="D243" t="s">
        <v>17</v>
      </c>
      <c r="E243">
        <v>2</v>
      </c>
      <c r="F243">
        <v>34.71</v>
      </c>
      <c r="G243">
        <v>0.2</v>
      </c>
      <c r="H243" t="b">
        <v>0</v>
      </c>
      <c r="I243" t="s">
        <v>11</v>
      </c>
    </row>
    <row r="244" spans="1:9">
      <c r="A244">
        <v>243</v>
      </c>
      <c r="B244" s="2">
        <v>45675</v>
      </c>
      <c r="C244" t="s">
        <v>16</v>
      </c>
      <c r="D244" t="s">
        <v>17</v>
      </c>
      <c r="E244">
        <v>2</v>
      </c>
      <c r="F244">
        <v>20.97</v>
      </c>
      <c r="G244">
        <v>0.2</v>
      </c>
      <c r="H244" t="b">
        <v>0</v>
      </c>
      <c r="I244" t="s">
        <v>13</v>
      </c>
    </row>
    <row r="245" spans="1:9">
      <c r="A245">
        <v>244</v>
      </c>
      <c r="B245" s="2">
        <v>45676</v>
      </c>
      <c r="C245" t="s">
        <v>18</v>
      </c>
      <c r="D245" t="s">
        <v>19</v>
      </c>
      <c r="E245">
        <v>3</v>
      </c>
      <c r="F245">
        <v>35.86</v>
      </c>
      <c r="G245">
        <v>0.1</v>
      </c>
      <c r="H245" t="b">
        <v>0</v>
      </c>
      <c r="I245" t="s">
        <v>11</v>
      </c>
    </row>
    <row r="246" spans="1:9">
      <c r="A246">
        <v>245</v>
      </c>
      <c r="B246" s="2">
        <v>45676</v>
      </c>
      <c r="C246" t="s">
        <v>18</v>
      </c>
      <c r="D246" t="s">
        <v>19</v>
      </c>
      <c r="E246">
        <v>2</v>
      </c>
      <c r="F246">
        <v>34.89</v>
      </c>
      <c r="G246">
        <v>0.18</v>
      </c>
      <c r="H246" t="b">
        <v>1</v>
      </c>
      <c r="I246" t="s">
        <v>11</v>
      </c>
    </row>
    <row r="247" spans="1:9">
      <c r="A247">
        <v>246</v>
      </c>
      <c r="B247" s="2">
        <v>45676</v>
      </c>
      <c r="C247" t="s">
        <v>18</v>
      </c>
      <c r="D247" t="s">
        <v>19</v>
      </c>
      <c r="E247">
        <v>1</v>
      </c>
      <c r="F247">
        <v>13.23</v>
      </c>
      <c r="G247">
        <v>0.2</v>
      </c>
      <c r="H247" t="b">
        <v>0</v>
      </c>
      <c r="I247" t="s">
        <v>13</v>
      </c>
    </row>
    <row r="248" spans="1:9">
      <c r="A248">
        <v>247</v>
      </c>
      <c r="B248" s="2">
        <v>45676</v>
      </c>
      <c r="C248" t="s">
        <v>18</v>
      </c>
      <c r="D248" t="s">
        <v>19</v>
      </c>
      <c r="E248">
        <v>3</v>
      </c>
      <c r="F248">
        <v>41.42</v>
      </c>
      <c r="G248">
        <v>0.18</v>
      </c>
      <c r="H248" t="b">
        <v>1</v>
      </c>
      <c r="I248" t="s">
        <v>14</v>
      </c>
    </row>
    <row r="249" spans="1:9">
      <c r="A249">
        <v>248</v>
      </c>
      <c r="B249" s="2">
        <v>45676</v>
      </c>
      <c r="C249" t="s">
        <v>18</v>
      </c>
      <c r="D249" t="s">
        <v>19</v>
      </c>
      <c r="E249">
        <v>2</v>
      </c>
      <c r="F249">
        <v>26.1</v>
      </c>
      <c r="G249">
        <v>0.18</v>
      </c>
      <c r="H249" t="b">
        <v>1</v>
      </c>
      <c r="I249" t="s">
        <v>14</v>
      </c>
    </row>
    <row r="250" spans="1:9">
      <c r="A250">
        <v>249</v>
      </c>
      <c r="B250" s="2">
        <v>45676</v>
      </c>
      <c r="C250" t="s">
        <v>18</v>
      </c>
      <c r="D250" t="s">
        <v>19</v>
      </c>
      <c r="E250">
        <v>1</v>
      </c>
      <c r="F250">
        <v>12.05</v>
      </c>
      <c r="G250">
        <v>0.18</v>
      </c>
      <c r="H250" t="b">
        <v>0</v>
      </c>
      <c r="I250" t="s">
        <v>11</v>
      </c>
    </row>
    <row r="251" spans="1:9">
      <c r="A251">
        <v>250</v>
      </c>
      <c r="B251" s="2">
        <v>45676</v>
      </c>
      <c r="C251" t="s">
        <v>18</v>
      </c>
      <c r="D251" t="s">
        <v>19</v>
      </c>
      <c r="E251">
        <v>1</v>
      </c>
      <c r="F251">
        <v>6.02</v>
      </c>
      <c r="G251">
        <v>0.2</v>
      </c>
      <c r="H251" t="b">
        <v>0</v>
      </c>
      <c r="I251" t="s">
        <v>14</v>
      </c>
    </row>
    <row r="252" spans="1:9">
      <c r="A252">
        <v>251</v>
      </c>
      <c r="B252" s="2">
        <v>45676</v>
      </c>
      <c r="C252" t="s">
        <v>18</v>
      </c>
      <c r="D252" t="s">
        <v>19</v>
      </c>
      <c r="E252">
        <v>3</v>
      </c>
      <c r="F252">
        <v>47.27</v>
      </c>
      <c r="G252">
        <v>0.15</v>
      </c>
      <c r="H252" t="b">
        <v>0</v>
      </c>
      <c r="I252" t="s">
        <v>11</v>
      </c>
    </row>
    <row r="253" spans="1:9">
      <c r="A253">
        <v>252</v>
      </c>
      <c r="B253" s="2">
        <v>45676</v>
      </c>
      <c r="C253" t="s">
        <v>18</v>
      </c>
      <c r="D253" t="s">
        <v>17</v>
      </c>
      <c r="E253">
        <v>1</v>
      </c>
      <c r="F253">
        <v>3.84</v>
      </c>
      <c r="G253">
        <v>0.2</v>
      </c>
      <c r="H253" t="b">
        <v>0</v>
      </c>
      <c r="I253" t="s">
        <v>14</v>
      </c>
    </row>
    <row r="254" spans="1:9">
      <c r="A254">
        <v>253</v>
      </c>
      <c r="B254" s="2">
        <v>45676</v>
      </c>
      <c r="C254" t="s">
        <v>18</v>
      </c>
      <c r="D254" t="s">
        <v>17</v>
      </c>
      <c r="E254">
        <v>2</v>
      </c>
      <c r="F254">
        <v>11.1</v>
      </c>
      <c r="G254">
        <v>0.25</v>
      </c>
      <c r="H254" t="b">
        <v>0</v>
      </c>
      <c r="I254" t="s">
        <v>13</v>
      </c>
    </row>
    <row r="255" spans="1:9">
      <c r="A255">
        <v>254</v>
      </c>
      <c r="B255" s="2">
        <v>45676</v>
      </c>
      <c r="C255" t="s">
        <v>18</v>
      </c>
      <c r="D255" t="s">
        <v>17</v>
      </c>
      <c r="E255">
        <v>2</v>
      </c>
      <c r="F255">
        <v>28.29</v>
      </c>
      <c r="G255">
        <v>0.18</v>
      </c>
      <c r="H255" t="b">
        <v>0</v>
      </c>
      <c r="I255" t="s">
        <v>14</v>
      </c>
    </row>
    <row r="256" spans="1:9">
      <c r="A256">
        <v>255</v>
      </c>
      <c r="B256" s="2">
        <v>45676</v>
      </c>
      <c r="C256" t="s">
        <v>18</v>
      </c>
      <c r="D256" t="s">
        <v>17</v>
      </c>
      <c r="E256">
        <v>2</v>
      </c>
      <c r="F256">
        <v>15.15</v>
      </c>
      <c r="G256">
        <v>0.2</v>
      </c>
      <c r="H256" t="b">
        <v>0</v>
      </c>
      <c r="I256" t="s">
        <v>14</v>
      </c>
    </row>
    <row r="257" spans="1:9">
      <c r="A257">
        <v>256</v>
      </c>
      <c r="B257" s="2">
        <v>45676</v>
      </c>
      <c r="C257" t="s">
        <v>18</v>
      </c>
      <c r="D257" t="s">
        <v>17</v>
      </c>
      <c r="E257">
        <v>2</v>
      </c>
      <c r="F257">
        <v>13.64</v>
      </c>
      <c r="G257">
        <v>0.2</v>
      </c>
      <c r="H257" t="b">
        <v>1</v>
      </c>
      <c r="I257" t="s">
        <v>14</v>
      </c>
    </row>
    <row r="258" spans="1:9">
      <c r="A258">
        <v>257</v>
      </c>
      <c r="B258" s="2">
        <v>45676</v>
      </c>
      <c r="C258" t="s">
        <v>18</v>
      </c>
      <c r="D258" t="s">
        <v>17</v>
      </c>
      <c r="E258">
        <v>5</v>
      </c>
      <c r="F258">
        <v>57</v>
      </c>
      <c r="G258">
        <v>0.1</v>
      </c>
      <c r="H258" t="b">
        <v>0</v>
      </c>
      <c r="I258" t="s">
        <v>12</v>
      </c>
    </row>
    <row r="259" spans="1:9">
      <c r="A259">
        <v>258</v>
      </c>
      <c r="B259" s="2">
        <v>45676</v>
      </c>
      <c r="C259" t="s">
        <v>18</v>
      </c>
      <c r="D259" t="s">
        <v>17</v>
      </c>
      <c r="E259">
        <v>2</v>
      </c>
      <c r="F259">
        <v>14.86</v>
      </c>
      <c r="G259">
        <v>0.2</v>
      </c>
      <c r="H259" t="b">
        <v>0</v>
      </c>
      <c r="I259" t="s">
        <v>14</v>
      </c>
    </row>
    <row r="260" spans="1:9">
      <c r="A260">
        <v>259</v>
      </c>
      <c r="B260" s="2">
        <v>45676</v>
      </c>
      <c r="C260" t="s">
        <v>18</v>
      </c>
      <c r="D260" t="s">
        <v>17</v>
      </c>
      <c r="E260">
        <v>3</v>
      </c>
      <c r="F260">
        <v>36.51</v>
      </c>
      <c r="G260">
        <v>0.15</v>
      </c>
      <c r="H260" t="b">
        <v>0</v>
      </c>
      <c r="I260" t="s">
        <v>11</v>
      </c>
    </row>
    <row r="261" spans="1:9">
      <c r="A261">
        <v>260</v>
      </c>
      <c r="B261" s="2">
        <v>45676</v>
      </c>
      <c r="C261" t="s">
        <v>18</v>
      </c>
      <c r="D261" t="s">
        <v>17</v>
      </c>
      <c r="E261">
        <v>3</v>
      </c>
      <c r="F261">
        <v>32.07</v>
      </c>
      <c r="G261">
        <v>0.18</v>
      </c>
      <c r="H261" t="b">
        <v>1</v>
      </c>
      <c r="I261" t="s">
        <v>13</v>
      </c>
    </row>
    <row r="262" spans="1:9">
      <c r="A262">
        <v>261</v>
      </c>
      <c r="B262" s="2">
        <v>45676</v>
      </c>
      <c r="C262" t="s">
        <v>18</v>
      </c>
      <c r="D262" t="s">
        <v>17</v>
      </c>
      <c r="E262">
        <v>3</v>
      </c>
      <c r="F262">
        <v>25.42</v>
      </c>
      <c r="G262">
        <v>0.15</v>
      </c>
      <c r="H262" t="b">
        <v>0</v>
      </c>
      <c r="I262" t="s">
        <v>12</v>
      </c>
    </row>
    <row r="263" spans="1:9">
      <c r="A263">
        <v>262</v>
      </c>
      <c r="B263" s="2">
        <v>45676</v>
      </c>
      <c r="C263" t="s">
        <v>18</v>
      </c>
      <c r="D263" t="s">
        <v>17</v>
      </c>
      <c r="E263">
        <v>2</v>
      </c>
      <c r="F263">
        <v>23.48</v>
      </c>
      <c r="G263">
        <v>0.25</v>
      </c>
      <c r="H263" t="b">
        <v>1</v>
      </c>
      <c r="I263" t="s">
        <v>14</v>
      </c>
    </row>
    <row r="264" spans="1:9">
      <c r="A264">
        <v>263</v>
      </c>
      <c r="B264" s="2">
        <v>45676</v>
      </c>
      <c r="C264" t="s">
        <v>18</v>
      </c>
      <c r="D264" t="s">
        <v>17</v>
      </c>
      <c r="E264">
        <v>2</v>
      </c>
      <c r="F264">
        <v>30.43</v>
      </c>
      <c r="G264">
        <v>0.2</v>
      </c>
      <c r="H264" t="b">
        <v>1</v>
      </c>
      <c r="I264" t="s">
        <v>12</v>
      </c>
    </row>
    <row r="265" spans="1:9">
      <c r="A265">
        <v>264</v>
      </c>
      <c r="B265" s="2">
        <v>45676</v>
      </c>
      <c r="C265" t="s">
        <v>18</v>
      </c>
      <c r="D265" t="s">
        <v>17</v>
      </c>
      <c r="E265">
        <v>1</v>
      </c>
      <c r="F265">
        <v>19.329999999999998</v>
      </c>
      <c r="G265">
        <v>0.25</v>
      </c>
      <c r="H265" t="b">
        <v>0</v>
      </c>
      <c r="I265" t="s">
        <v>12</v>
      </c>
    </row>
    <row r="266" spans="1:9">
      <c r="A266">
        <v>265</v>
      </c>
      <c r="B266" s="2">
        <v>45676</v>
      </c>
      <c r="C266" t="s">
        <v>18</v>
      </c>
      <c r="D266" t="s">
        <v>17</v>
      </c>
      <c r="E266">
        <v>5</v>
      </c>
      <c r="F266">
        <v>72.67</v>
      </c>
      <c r="G266">
        <v>0.18</v>
      </c>
      <c r="H266" t="b">
        <v>0</v>
      </c>
      <c r="I266" t="s">
        <v>11</v>
      </c>
    </row>
    <row r="267" spans="1:9">
      <c r="A267">
        <v>266</v>
      </c>
      <c r="B267" s="2">
        <v>45676</v>
      </c>
      <c r="C267" t="s">
        <v>18</v>
      </c>
      <c r="D267" t="s">
        <v>17</v>
      </c>
      <c r="E267">
        <v>3</v>
      </c>
      <c r="F267">
        <v>50.05</v>
      </c>
      <c r="G267">
        <v>0.2</v>
      </c>
      <c r="H267" t="b">
        <v>1</v>
      </c>
      <c r="I267" t="s">
        <v>13</v>
      </c>
    </row>
    <row r="268" spans="1:9">
      <c r="A268">
        <v>267</v>
      </c>
      <c r="B268" s="2">
        <v>45676</v>
      </c>
      <c r="C268" t="s">
        <v>18</v>
      </c>
      <c r="D268" t="s">
        <v>17</v>
      </c>
      <c r="E268">
        <v>5</v>
      </c>
      <c r="F268">
        <v>70.48</v>
      </c>
      <c r="G268">
        <v>0.1</v>
      </c>
      <c r="H268" t="b">
        <v>0</v>
      </c>
      <c r="I268" t="s">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5891-CBB1-4B3C-A27A-C221A980DCAF}">
  <dimension ref="A1:U268"/>
  <sheetViews>
    <sheetView tabSelected="1" topLeftCell="L1" workbookViewId="0">
      <pane ySplit="1" topLeftCell="A2" activePane="bottomLeft" state="frozen"/>
      <selection activeCell="H16" sqref="H16"/>
      <selection pane="bottomLeft" activeCell="H16" sqref="H16"/>
    </sheetView>
  </sheetViews>
  <sheetFormatPr defaultRowHeight="20.100000000000001" customHeight="1"/>
  <cols>
    <col min="1" max="1" width="10.42578125" bestFit="1" customWidth="1"/>
    <col min="2" max="2" width="9.42578125" style="2" bestFit="1" customWidth="1"/>
    <col min="3" max="3" width="6.7109375" bestFit="1" customWidth="1"/>
    <col min="4" max="4" width="9.28515625" bestFit="1" customWidth="1"/>
    <col min="6" max="6" width="12" bestFit="1" customWidth="1"/>
    <col min="7" max="7" width="11" style="3" bestFit="1" customWidth="1"/>
    <col min="8" max="8" width="10.5703125" style="4" customWidth="1"/>
    <col min="9" max="9" width="7.85546875" bestFit="1" customWidth="1"/>
    <col min="10" max="10" width="16.42578125" style="3" bestFit="1" customWidth="1"/>
    <col min="11" max="11" width="16" style="7" bestFit="1" customWidth="1"/>
    <col min="12" max="12" width="14.7109375" style="7" bestFit="1" customWidth="1"/>
    <col min="13" max="13" width="16.5703125" style="7" bestFit="1" customWidth="1"/>
    <col min="15" max="15" width="16.28515625" style="12" bestFit="1" customWidth="1"/>
    <col min="16" max="16" width="14.140625" style="7" bestFit="1" customWidth="1"/>
    <col min="17" max="19" width="14.140625" style="7" customWidth="1"/>
    <col min="20" max="20" width="27.140625" style="13" bestFit="1" customWidth="1"/>
  </cols>
  <sheetData>
    <row r="1" spans="1:21" s="12" customFormat="1" ht="24.95" customHeight="1">
      <c r="A1" s="8" t="s">
        <v>0</v>
      </c>
      <c r="B1" s="9" t="s">
        <v>1</v>
      </c>
      <c r="C1" s="8" t="s">
        <v>2</v>
      </c>
      <c r="D1" s="8" t="s">
        <v>3</v>
      </c>
      <c r="E1" s="8" t="s">
        <v>4</v>
      </c>
      <c r="F1" s="8" t="s">
        <v>5</v>
      </c>
      <c r="G1" s="10" t="s">
        <v>6</v>
      </c>
      <c r="H1" s="11" t="s">
        <v>7</v>
      </c>
      <c r="I1" s="8" t="s">
        <v>8</v>
      </c>
      <c r="J1" s="10" t="s">
        <v>20</v>
      </c>
      <c r="K1" s="5" t="s">
        <v>21</v>
      </c>
      <c r="L1" s="5" t="s">
        <v>22</v>
      </c>
      <c r="M1" s="5" t="s">
        <v>23</v>
      </c>
      <c r="N1" s="8" t="s">
        <v>24</v>
      </c>
      <c r="O1" s="8" t="s">
        <v>25</v>
      </c>
      <c r="P1" s="5" t="s">
        <v>26</v>
      </c>
      <c r="Q1" s="5" t="s">
        <v>60</v>
      </c>
      <c r="R1" s="5" t="s">
        <v>71</v>
      </c>
      <c r="S1" s="5" t="s">
        <v>93</v>
      </c>
      <c r="T1" s="6" t="s">
        <v>27</v>
      </c>
    </row>
    <row r="2" spans="1:21" ht="20.100000000000001" customHeight="1">
      <c r="A2">
        <v>1</v>
      </c>
      <c r="B2" s="2">
        <v>45659</v>
      </c>
      <c r="C2" t="s">
        <v>9</v>
      </c>
      <c r="D2" t="s">
        <v>10</v>
      </c>
      <c r="E2" t="s">
        <v>11</v>
      </c>
      <c r="F2">
        <v>2</v>
      </c>
      <c r="G2" s="3">
        <v>19.3</v>
      </c>
      <c r="H2" s="4">
        <v>0.2</v>
      </c>
      <c r="I2" t="b">
        <v>0</v>
      </c>
      <c r="J2" s="3">
        <f>tblRestaurant[[#This Row],[Total Bill]]*tblRestaurant[[#This Row],[Tip %]]</f>
        <v>3.8600000000000003</v>
      </c>
      <c r="K2" s="7" t="str">
        <f>IF(tblRestaurant[[#This Row],[Cash]]=TRUE,"Cash","Card")</f>
        <v>Card</v>
      </c>
      <c r="L2" s="7" t="str">
        <f>IF(tblRestaurant[[#This Row],[Total Bill]]&lt;20,"Low",IF(tblRestaurant[[#This Row],[Total Bill]]&lt;50,"Medium","High"))</f>
        <v>Low</v>
      </c>
      <c r="M2" s="7" t="str">
        <f>IF(tblRestaurant[[#This Row],[Party Size]]&lt;=2,"Small",IF(tblRestaurant[[#This Row],[Party Size]]&lt;=4,"Medium","Large"))</f>
        <v>Small</v>
      </c>
      <c r="N2" t="str">
        <f>TEXT(tblRestaurant[[#This Row],[Date]],"mmmm")</f>
        <v>January</v>
      </c>
      <c r="O2" s="12">
        <f>WEEKNUM(tblRestaurant[[#This Row],[Date]])</f>
        <v>1</v>
      </c>
      <c r="P2" s="7" t="str">
        <f>IF(OR(tblRestaurant[[#This Row],[Day]]="Sat",tblRestaurant[[#This Row],[Day]]="Sun"),"Weekend","Weekday")</f>
        <v>Weekday</v>
      </c>
      <c r="Q2" s="7" t="str">
        <f>IF(OR(tblRestaurant[[#This Row],[Day]]="Fri",tblRestaurant[[#This Row],[Day]]="Thu"),"Weekday","Weekend")</f>
        <v>Weekday</v>
      </c>
      <c r="R2" s="7" t="str">
        <f>IF(tblRestaurant[[#This Row],[Total Bill]]&lt;25,"Bronze",IF(tblRestaurant[[#This Row],[Total Bill]]&lt;50,"Silver",IF(tblRestaurant[[#This Row],[Total Bill]]&lt;75,"Gold","Platinum")))</f>
        <v>Bronze</v>
      </c>
      <c r="S2" s="7" cm="1">
        <f t="array" ref="S2">_xlfn.SWITCH(tblRestaurant[[#This Row],[Revenue Tier]],"Bronze",1,"Silver",2,"Gold",3,"Platinum",4)</f>
        <v>1</v>
      </c>
      <c r="T2" s="13">
        <f>AVERAGE(tblRestaurant[[#This Row],[Total Bill]],tblRestaurant[[#This Row],[Party Size]])</f>
        <v>10.65</v>
      </c>
    </row>
    <row r="3" spans="1:21" ht="20.100000000000001" customHeight="1">
      <c r="A3">
        <v>2</v>
      </c>
      <c r="B3" s="2">
        <v>45659</v>
      </c>
      <c r="C3" t="s">
        <v>9</v>
      </c>
      <c r="D3" t="s">
        <v>10</v>
      </c>
      <c r="E3" t="s">
        <v>13</v>
      </c>
      <c r="F3">
        <v>3</v>
      </c>
      <c r="G3" s="3">
        <v>29.51</v>
      </c>
      <c r="H3" s="4">
        <v>0.2</v>
      </c>
      <c r="I3" t="b">
        <v>1</v>
      </c>
      <c r="J3" s="3">
        <f>tblRestaurant[[#This Row],[Total Bill]]*tblRestaurant[[#This Row],[Tip %]]</f>
        <v>5.902000000000001</v>
      </c>
      <c r="K3" s="7" t="str">
        <f>IF(tblRestaurant[[#This Row],[Cash]]=TRUE,"Cash","Card")</f>
        <v>Cash</v>
      </c>
      <c r="L3" s="7" t="str">
        <f>IF(tblRestaurant[[#This Row],[Total Bill]]&lt;20,"Low",IF(tblRestaurant[[#This Row],[Total Bill]]&lt;50,"Medium","High"))</f>
        <v>Medium</v>
      </c>
      <c r="M3" s="7" t="str">
        <f>IF(tblRestaurant[[#This Row],[Party Size]]&lt;=2,"Small",IF(tblRestaurant[[#This Row],[Party Size]]&lt;=4,"Medium","Large"))</f>
        <v>Medium</v>
      </c>
      <c r="N3" t="str">
        <f>TEXT(tblRestaurant[[#This Row],[Date]],"mmmm")</f>
        <v>January</v>
      </c>
      <c r="O3" s="12">
        <f>WEEKNUM(tblRestaurant[[#This Row],[Date]])</f>
        <v>1</v>
      </c>
      <c r="P3" s="7" t="str">
        <f>IF(OR(tblRestaurant[[#This Row],[Day]]="Sat",tblRestaurant[[#This Row],[Day]]="Sun"),"Weekend","Weekday")</f>
        <v>Weekday</v>
      </c>
      <c r="Q3" s="7" t="str">
        <f>IF(OR(tblRestaurant[[#This Row],[Day]]="Fri",tblRestaurant[[#This Row],[Day]]="Thu"),"Weekday","Weekend")</f>
        <v>Weekday</v>
      </c>
      <c r="R3" s="7" t="str">
        <f>IF(tblRestaurant[[#This Row],[Total Bill]]&lt;25,"Bronze",IF(tblRestaurant[[#This Row],[Total Bill]]&lt;50,"Silver",IF(tblRestaurant[[#This Row],[Total Bill]]&lt;75,"Gold","Platinum")))</f>
        <v>Silver</v>
      </c>
      <c r="S3" s="7" cm="1">
        <f t="array" ref="S3">_xlfn.SWITCH(tblRestaurant[[#This Row],[Revenue Tier]],"Bronze",1,"Silver",2,"Gold",3,"Platinum",4)</f>
        <v>2</v>
      </c>
      <c r="T3" s="13">
        <f>AVERAGE(tblRestaurant[[#This Row],[Total Bill]],tblRestaurant[[#This Row],[Party Size]])</f>
        <v>16.255000000000003</v>
      </c>
    </row>
    <row r="4" spans="1:21" ht="20.100000000000001" customHeight="1">
      <c r="A4">
        <v>3</v>
      </c>
      <c r="B4" s="2">
        <v>45659</v>
      </c>
      <c r="C4" t="s">
        <v>9</v>
      </c>
      <c r="D4" t="s">
        <v>10</v>
      </c>
      <c r="E4" t="s">
        <v>11</v>
      </c>
      <c r="F4">
        <v>3</v>
      </c>
      <c r="G4" s="3">
        <v>37.950000000000003</v>
      </c>
      <c r="H4" s="4">
        <v>0.18</v>
      </c>
      <c r="I4" t="b">
        <v>0</v>
      </c>
      <c r="J4" s="3">
        <f>tblRestaurant[[#This Row],[Total Bill]]*tblRestaurant[[#This Row],[Tip %]]</f>
        <v>6.8310000000000004</v>
      </c>
      <c r="K4" s="7" t="str">
        <f>IF(tblRestaurant[[#This Row],[Cash]]=TRUE,"Cash","Card")</f>
        <v>Card</v>
      </c>
      <c r="L4" s="7" t="str">
        <f>IF(tblRestaurant[[#This Row],[Total Bill]]&lt;20,"Low",IF(tblRestaurant[[#This Row],[Total Bill]]&lt;50,"Medium","High"))</f>
        <v>Medium</v>
      </c>
      <c r="M4" s="7" t="str">
        <f>IF(tblRestaurant[[#This Row],[Party Size]]&lt;=2,"Small",IF(tblRestaurant[[#This Row],[Party Size]]&lt;=4,"Medium","Large"))</f>
        <v>Medium</v>
      </c>
      <c r="N4" t="str">
        <f>TEXT(tblRestaurant[[#This Row],[Date]],"mmmm")</f>
        <v>January</v>
      </c>
      <c r="O4" s="12">
        <f>WEEKNUM(tblRestaurant[[#This Row],[Date]])</f>
        <v>1</v>
      </c>
      <c r="P4" s="7" t="str">
        <f>IF(OR(tblRestaurant[[#This Row],[Day]]="Sat",tblRestaurant[[#This Row],[Day]]="Sun"),"Weekend","Weekday")</f>
        <v>Weekday</v>
      </c>
      <c r="Q4" s="7" t="str">
        <f>IF(OR(tblRestaurant[[#This Row],[Day]]="Fri",tblRestaurant[[#This Row],[Day]]="Thu"),"Weekday","Weekend")</f>
        <v>Weekday</v>
      </c>
      <c r="R4" s="7" t="str">
        <f>IF(tblRestaurant[[#This Row],[Total Bill]]&lt;25,"Bronze",IF(tblRestaurant[[#This Row],[Total Bill]]&lt;50,"Silver",IF(tblRestaurant[[#This Row],[Total Bill]]&lt;75,"Gold","Platinum")))</f>
        <v>Silver</v>
      </c>
      <c r="S4" s="7" cm="1">
        <f t="array" ref="S4">_xlfn.SWITCH(tblRestaurant[[#This Row],[Revenue Tier]],"Bronze",1,"Silver",2,"Gold",3,"Platinum",4)</f>
        <v>2</v>
      </c>
      <c r="T4" s="13">
        <f>AVERAGE(tblRestaurant[[#This Row],[Total Bill]],tblRestaurant[[#This Row],[Party Size]])</f>
        <v>20.475000000000001</v>
      </c>
      <c r="U4" s="3"/>
    </row>
    <row r="5" spans="1:21" ht="20.100000000000001" customHeight="1">
      <c r="A5">
        <v>4</v>
      </c>
      <c r="B5" s="2">
        <v>45659</v>
      </c>
      <c r="C5" t="s">
        <v>9</v>
      </c>
      <c r="D5" t="s">
        <v>10</v>
      </c>
      <c r="E5" t="s">
        <v>14</v>
      </c>
      <c r="F5">
        <v>2</v>
      </c>
      <c r="G5" s="3">
        <v>33.909999999999997</v>
      </c>
      <c r="H5" s="4">
        <v>0.2</v>
      </c>
      <c r="I5" t="b">
        <v>0</v>
      </c>
      <c r="J5" s="3">
        <f>tblRestaurant[[#This Row],[Total Bill]]*tblRestaurant[[#This Row],[Tip %]]</f>
        <v>6.782</v>
      </c>
      <c r="K5" s="7" t="str">
        <f>IF(tblRestaurant[[#This Row],[Cash]]=TRUE,"Cash","Card")</f>
        <v>Card</v>
      </c>
      <c r="L5" s="13" t="str">
        <f>IF(tblRestaurant[[#This Row],[Total Bill]]&lt;20,"Low",IF(tblRestaurant[[#This Row],[Total Bill]]&lt;50,"Medium","High"))</f>
        <v>Medium</v>
      </c>
      <c r="M5" s="7" t="str">
        <f>IF(tblRestaurant[[#This Row],[Party Size]]&lt;=2,"Small",IF(tblRestaurant[[#This Row],[Party Size]]&lt;=4,"Medium","Large"))</f>
        <v>Small</v>
      </c>
      <c r="N5" t="str">
        <f>TEXT(tblRestaurant[[#This Row],[Date]],"mmmm")</f>
        <v>January</v>
      </c>
      <c r="O5" s="12">
        <f>WEEKNUM(tblRestaurant[[#This Row],[Date]])</f>
        <v>1</v>
      </c>
      <c r="P5" s="7" t="str">
        <f>IF(OR(tblRestaurant[[#This Row],[Day]]="Sat",tblRestaurant[[#This Row],[Day]]="Sun"),"Weekend","Weekday")</f>
        <v>Weekday</v>
      </c>
      <c r="Q5" s="7" t="str">
        <f>IF(OR(tblRestaurant[[#This Row],[Day]]="Fri",tblRestaurant[[#This Row],[Day]]="Thu"),"Weekday","Weekend")</f>
        <v>Weekday</v>
      </c>
      <c r="R5" s="7" t="str">
        <f>IF(tblRestaurant[[#This Row],[Total Bill]]&lt;25,"Bronze",IF(tblRestaurant[[#This Row],[Total Bill]]&lt;50,"Silver",IF(tblRestaurant[[#This Row],[Total Bill]]&lt;75,"Gold","Platinum")))</f>
        <v>Silver</v>
      </c>
      <c r="S5" s="7" cm="1">
        <f t="array" ref="S5">_xlfn.SWITCH(tblRestaurant[[#This Row],[Revenue Tier]],"Bronze",1,"Silver",2,"Gold",3,"Platinum",4)</f>
        <v>2</v>
      </c>
      <c r="T5" s="13">
        <f>AVERAGE(tblRestaurant[[#This Row],[Total Bill]],tblRestaurant[[#This Row],[Party Size]])</f>
        <v>17.954999999999998</v>
      </c>
    </row>
    <row r="6" spans="1:21" ht="20.100000000000001" customHeight="1">
      <c r="A6">
        <v>5</v>
      </c>
      <c r="B6" s="2">
        <v>45659</v>
      </c>
      <c r="C6" t="s">
        <v>9</v>
      </c>
      <c r="D6" t="s">
        <v>10</v>
      </c>
      <c r="E6" t="s">
        <v>11</v>
      </c>
      <c r="F6">
        <v>4</v>
      </c>
      <c r="G6" s="3">
        <v>69.37</v>
      </c>
      <c r="H6" s="4">
        <v>0.2</v>
      </c>
      <c r="I6" t="b">
        <v>0</v>
      </c>
      <c r="J6" s="3">
        <f>tblRestaurant[[#This Row],[Total Bill]]*tblRestaurant[[#This Row],[Tip %]]</f>
        <v>13.874000000000002</v>
      </c>
      <c r="K6" s="7" t="str">
        <f>IF(tblRestaurant[[#This Row],[Cash]]=TRUE,"Cash","Card")</f>
        <v>Card</v>
      </c>
      <c r="L6" s="7" t="str">
        <f>IF(tblRestaurant[[#This Row],[Total Bill]]&lt;20,"Low",IF(tblRestaurant[[#This Row],[Total Bill]]&lt;50,"Medium","High"))</f>
        <v>High</v>
      </c>
      <c r="M6" s="7" t="str">
        <f>IF(tblRestaurant[[#This Row],[Party Size]]&lt;=2,"Small",IF(tblRestaurant[[#This Row],[Party Size]]&lt;=4,"Medium","Large"))</f>
        <v>Medium</v>
      </c>
      <c r="N6" t="str">
        <f>TEXT(tblRestaurant[[#This Row],[Date]],"mmmm")</f>
        <v>January</v>
      </c>
      <c r="O6" s="12">
        <f>WEEKNUM(tblRestaurant[[#This Row],[Date]])</f>
        <v>1</v>
      </c>
      <c r="P6" s="7" t="str">
        <f>IF(OR(tblRestaurant[[#This Row],[Day]]="Sat",tblRestaurant[[#This Row],[Day]]="Sun"),"Weekend","Weekday")</f>
        <v>Weekday</v>
      </c>
      <c r="Q6" s="7" t="str">
        <f>IF(OR(tblRestaurant[[#This Row],[Day]]="Fri",tblRestaurant[[#This Row],[Day]]="Thu"),"Weekday","Weekend")</f>
        <v>Weekday</v>
      </c>
      <c r="R6" s="7" t="str">
        <f>IF(tblRestaurant[[#This Row],[Total Bill]]&lt;25,"Bronze",IF(tblRestaurant[[#This Row],[Total Bill]]&lt;50,"Silver",IF(tblRestaurant[[#This Row],[Total Bill]]&lt;75,"Gold","Platinum")))</f>
        <v>Gold</v>
      </c>
      <c r="S6" s="7" cm="1">
        <f t="array" ref="S6">_xlfn.SWITCH(tblRestaurant[[#This Row],[Revenue Tier]],"Bronze",1,"Silver",2,"Gold",3,"Platinum",4)</f>
        <v>3</v>
      </c>
      <c r="T6" s="13">
        <f>AVERAGE(tblRestaurant[[#This Row],[Total Bill]],tblRestaurant[[#This Row],[Party Size]])</f>
        <v>36.685000000000002</v>
      </c>
    </row>
    <row r="7" spans="1:21" ht="20.100000000000001" customHeight="1">
      <c r="A7">
        <v>6</v>
      </c>
      <c r="B7" s="2">
        <v>45659</v>
      </c>
      <c r="C7" t="s">
        <v>9</v>
      </c>
      <c r="D7" t="s">
        <v>10</v>
      </c>
      <c r="E7" t="s">
        <v>13</v>
      </c>
      <c r="F7">
        <v>4</v>
      </c>
      <c r="G7" s="3">
        <v>52.8</v>
      </c>
      <c r="H7" s="4">
        <v>0.15</v>
      </c>
      <c r="I7" t="b">
        <v>1</v>
      </c>
      <c r="J7" s="3">
        <f>tblRestaurant[[#This Row],[Total Bill]]*tblRestaurant[[#This Row],[Tip %]]</f>
        <v>7.919999999999999</v>
      </c>
      <c r="K7" s="7" t="str">
        <f>IF(tblRestaurant[[#This Row],[Cash]]=TRUE,"Cash","Card")</f>
        <v>Cash</v>
      </c>
      <c r="L7" s="7" t="str">
        <f>IF(tblRestaurant[[#This Row],[Total Bill]]&lt;20,"Low",IF(tblRestaurant[[#This Row],[Total Bill]]&lt;50,"Medium","High"))</f>
        <v>High</v>
      </c>
      <c r="M7" s="7" t="str">
        <f>IF(tblRestaurant[[#This Row],[Party Size]]&lt;=2,"Small",IF(tblRestaurant[[#This Row],[Party Size]]&lt;=4,"Medium","Large"))</f>
        <v>Medium</v>
      </c>
      <c r="N7" t="str">
        <f>TEXT(tblRestaurant[[#This Row],[Date]],"mmmm")</f>
        <v>January</v>
      </c>
      <c r="O7" s="12">
        <f>WEEKNUM(tblRestaurant[[#This Row],[Date]])</f>
        <v>1</v>
      </c>
      <c r="P7" s="7" t="str">
        <f>IF(OR(tblRestaurant[[#This Row],[Day]]="Sat",tblRestaurant[[#This Row],[Day]]="Sun"),"Weekend","Weekday")</f>
        <v>Weekday</v>
      </c>
      <c r="Q7" s="7" t="str">
        <f>IF(OR(tblRestaurant[[#This Row],[Day]]="Fri",tblRestaurant[[#This Row],[Day]]="Thu"),"Weekday","Weekend")</f>
        <v>Weekday</v>
      </c>
      <c r="R7" s="7" t="str">
        <f>IF(tblRestaurant[[#This Row],[Total Bill]]&lt;25,"Bronze",IF(tblRestaurant[[#This Row],[Total Bill]]&lt;50,"Silver",IF(tblRestaurant[[#This Row],[Total Bill]]&lt;75,"Gold","Platinum")))</f>
        <v>Gold</v>
      </c>
      <c r="S7" s="7" cm="1">
        <f t="array" ref="S7">_xlfn.SWITCH(tblRestaurant[[#This Row],[Revenue Tier]],"Bronze",1,"Silver",2,"Gold",3,"Platinum",4)</f>
        <v>3</v>
      </c>
      <c r="T7" s="13">
        <f>AVERAGE(tblRestaurant[[#This Row],[Total Bill]],tblRestaurant[[#This Row],[Party Size]])</f>
        <v>28.4</v>
      </c>
    </row>
    <row r="8" spans="1:21" ht="20.100000000000001" customHeight="1">
      <c r="A8">
        <v>7</v>
      </c>
      <c r="B8" s="2">
        <v>45659</v>
      </c>
      <c r="C8" t="s">
        <v>9</v>
      </c>
      <c r="D8" t="s">
        <v>10</v>
      </c>
      <c r="E8" t="s">
        <v>13</v>
      </c>
      <c r="F8">
        <v>2</v>
      </c>
      <c r="G8" s="3">
        <v>26.56</v>
      </c>
      <c r="H8" s="4">
        <v>0.2</v>
      </c>
      <c r="I8" t="b">
        <v>1</v>
      </c>
      <c r="J8" s="3">
        <f>tblRestaurant[[#This Row],[Total Bill]]*tblRestaurant[[#This Row],[Tip %]]</f>
        <v>5.3120000000000003</v>
      </c>
      <c r="K8" s="7" t="str">
        <f>IF(tblRestaurant[[#This Row],[Cash]]=TRUE,"Cash","Card")</f>
        <v>Cash</v>
      </c>
      <c r="L8" s="7" t="str">
        <f>IF(tblRestaurant[[#This Row],[Total Bill]]&lt;20,"Low",IF(tblRestaurant[[#This Row],[Total Bill]]&lt;50,"Medium","High"))</f>
        <v>Medium</v>
      </c>
      <c r="M8" s="7" t="str">
        <f>IF(tblRestaurant[[#This Row],[Party Size]]&lt;=2,"Small",IF(tblRestaurant[[#This Row],[Party Size]]&lt;=4,"Medium","Large"))</f>
        <v>Small</v>
      </c>
      <c r="N8" t="str">
        <f>TEXT(tblRestaurant[[#This Row],[Date]],"mmmm")</f>
        <v>January</v>
      </c>
      <c r="O8" s="12">
        <f>WEEKNUM(tblRestaurant[[#This Row],[Date]])</f>
        <v>1</v>
      </c>
      <c r="P8" s="7" t="str">
        <f>IF(OR(tblRestaurant[[#This Row],[Day]]="Sat",tblRestaurant[[#This Row],[Day]]="Sun"),"Weekend","Weekday")</f>
        <v>Weekday</v>
      </c>
      <c r="Q8" s="7" t="str">
        <f>IF(OR(tblRestaurant[[#This Row],[Day]]="Fri",tblRestaurant[[#This Row],[Day]]="Thu"),"Weekday","Weekend")</f>
        <v>Weekday</v>
      </c>
      <c r="R8" s="7" t="str">
        <f>IF(tblRestaurant[[#This Row],[Total Bill]]&lt;25,"Bronze",IF(tblRestaurant[[#This Row],[Total Bill]]&lt;50,"Silver",IF(tblRestaurant[[#This Row],[Total Bill]]&lt;75,"Gold","Platinum")))</f>
        <v>Silver</v>
      </c>
      <c r="S8" s="7" cm="1">
        <f t="array" ref="S8">_xlfn.SWITCH(tblRestaurant[[#This Row],[Revenue Tier]],"Bronze",1,"Silver",2,"Gold",3,"Platinum",4)</f>
        <v>2</v>
      </c>
      <c r="T8" s="13">
        <f>AVERAGE(tblRestaurant[[#This Row],[Total Bill]],tblRestaurant[[#This Row],[Party Size]])</f>
        <v>14.28</v>
      </c>
    </row>
    <row r="9" spans="1:21" ht="20.100000000000001" customHeight="1">
      <c r="A9">
        <v>8</v>
      </c>
      <c r="B9" s="2">
        <v>45659</v>
      </c>
      <c r="C9" t="s">
        <v>9</v>
      </c>
      <c r="D9" t="s">
        <v>10</v>
      </c>
      <c r="E9" t="s">
        <v>11</v>
      </c>
      <c r="F9">
        <v>4</v>
      </c>
      <c r="G9" s="3">
        <v>28.17</v>
      </c>
      <c r="H9" s="4">
        <v>0.18</v>
      </c>
      <c r="I9" t="b">
        <v>0</v>
      </c>
      <c r="J9" s="3">
        <f>tblRestaurant[[#This Row],[Total Bill]]*tblRestaurant[[#This Row],[Tip %]]</f>
        <v>5.0705999999999998</v>
      </c>
      <c r="K9" s="7" t="str">
        <f>IF(tblRestaurant[[#This Row],[Cash]]=TRUE,"Cash","Card")</f>
        <v>Card</v>
      </c>
      <c r="L9" s="7" t="str">
        <f>IF(tblRestaurant[[#This Row],[Total Bill]]&lt;20,"Low",IF(tblRestaurant[[#This Row],[Total Bill]]&lt;50,"Medium","High"))</f>
        <v>Medium</v>
      </c>
      <c r="M9" s="7" t="str">
        <f>IF(tblRestaurant[[#This Row],[Party Size]]&lt;=2,"Small",IF(tblRestaurant[[#This Row],[Party Size]]&lt;=4,"Medium","Large"))</f>
        <v>Medium</v>
      </c>
      <c r="N9" t="str">
        <f>TEXT(tblRestaurant[[#This Row],[Date]],"mmmm")</f>
        <v>January</v>
      </c>
      <c r="O9" s="12">
        <f>WEEKNUM(tblRestaurant[[#This Row],[Date]])</f>
        <v>1</v>
      </c>
      <c r="P9" s="7" t="str">
        <f>IF(OR(tblRestaurant[[#This Row],[Day]]="Sat",tblRestaurant[[#This Row],[Day]]="Sun"),"Weekend","Weekday")</f>
        <v>Weekday</v>
      </c>
      <c r="Q9" s="7" t="str">
        <f>IF(OR(tblRestaurant[[#This Row],[Day]]="Fri",tblRestaurant[[#This Row],[Day]]="Thu"),"Weekday","Weekend")</f>
        <v>Weekday</v>
      </c>
      <c r="R9" s="7" t="str">
        <f>IF(tblRestaurant[[#This Row],[Total Bill]]&lt;25,"Bronze",IF(tblRestaurant[[#This Row],[Total Bill]]&lt;50,"Silver",IF(tblRestaurant[[#This Row],[Total Bill]]&lt;75,"Gold","Platinum")))</f>
        <v>Silver</v>
      </c>
      <c r="S9" s="7" cm="1">
        <f t="array" ref="S9">_xlfn.SWITCH(tblRestaurant[[#This Row],[Revenue Tier]],"Bronze",1,"Silver",2,"Gold",3,"Platinum",4)</f>
        <v>2</v>
      </c>
      <c r="T9" s="13">
        <f>AVERAGE(tblRestaurant[[#This Row],[Total Bill]],tblRestaurant[[#This Row],[Party Size]])</f>
        <v>16.085000000000001</v>
      </c>
    </row>
    <row r="10" spans="1:21" ht="20.100000000000001" customHeight="1">
      <c r="A10">
        <v>9</v>
      </c>
      <c r="B10" s="2">
        <v>45659</v>
      </c>
      <c r="C10" t="s">
        <v>9</v>
      </c>
      <c r="D10" t="s">
        <v>10</v>
      </c>
      <c r="E10" t="s">
        <v>12</v>
      </c>
      <c r="F10">
        <v>2</v>
      </c>
      <c r="G10" s="3">
        <v>27.36</v>
      </c>
      <c r="H10" s="4">
        <v>0.18</v>
      </c>
      <c r="I10" t="b">
        <v>0</v>
      </c>
      <c r="J10" s="3">
        <f>tblRestaurant[[#This Row],[Total Bill]]*tblRestaurant[[#This Row],[Tip %]]</f>
        <v>4.9247999999999994</v>
      </c>
      <c r="K10" s="7" t="str">
        <f>IF(tblRestaurant[[#This Row],[Cash]]=TRUE,"Cash","Card")</f>
        <v>Card</v>
      </c>
      <c r="L10" s="7" t="str">
        <f>IF(tblRestaurant[[#This Row],[Total Bill]]&lt;20,"Low",IF(tblRestaurant[[#This Row],[Total Bill]]&lt;50,"Medium","High"))</f>
        <v>Medium</v>
      </c>
      <c r="M10" s="7" t="str">
        <f>IF(tblRestaurant[[#This Row],[Party Size]]&lt;=2,"Small",IF(tblRestaurant[[#This Row],[Party Size]]&lt;=4,"Medium","Large"))</f>
        <v>Small</v>
      </c>
      <c r="N10" t="str">
        <f>TEXT(tblRestaurant[[#This Row],[Date]],"mmmm")</f>
        <v>January</v>
      </c>
      <c r="O10" s="12">
        <f>WEEKNUM(tblRestaurant[[#This Row],[Date]])</f>
        <v>1</v>
      </c>
      <c r="P10" s="7" t="str">
        <f>IF(OR(tblRestaurant[[#This Row],[Day]]="Sat",tblRestaurant[[#This Row],[Day]]="Sun"),"Weekend","Weekday")</f>
        <v>Weekday</v>
      </c>
      <c r="Q10" s="7" t="str">
        <f>IF(OR(tblRestaurant[[#This Row],[Day]]="Fri",tblRestaurant[[#This Row],[Day]]="Thu"),"Weekday","Weekend")</f>
        <v>Weekday</v>
      </c>
      <c r="R10" s="7" t="str">
        <f>IF(tblRestaurant[[#This Row],[Total Bill]]&lt;25,"Bronze",IF(tblRestaurant[[#This Row],[Total Bill]]&lt;50,"Silver",IF(tblRestaurant[[#This Row],[Total Bill]]&lt;75,"Gold","Platinum")))</f>
        <v>Silver</v>
      </c>
      <c r="S10" s="7" cm="1">
        <f t="array" ref="S10">_xlfn.SWITCH(tblRestaurant[[#This Row],[Revenue Tier]],"Bronze",1,"Silver",2,"Gold",3,"Platinum",4)</f>
        <v>2</v>
      </c>
      <c r="T10" s="13">
        <f>AVERAGE(tblRestaurant[[#This Row],[Total Bill]],tblRestaurant[[#This Row],[Party Size]])</f>
        <v>14.68</v>
      </c>
    </row>
    <row r="11" spans="1:21" ht="20.100000000000001" customHeight="1">
      <c r="A11">
        <v>10</v>
      </c>
      <c r="B11" s="2">
        <v>45659</v>
      </c>
      <c r="C11" t="s">
        <v>9</v>
      </c>
      <c r="D11" t="s">
        <v>10</v>
      </c>
      <c r="E11" t="s">
        <v>14</v>
      </c>
      <c r="F11">
        <v>2</v>
      </c>
      <c r="G11" s="3">
        <v>32.07</v>
      </c>
      <c r="H11" s="4">
        <v>0.18</v>
      </c>
      <c r="I11" t="b">
        <v>0</v>
      </c>
      <c r="J11" s="3">
        <f>tblRestaurant[[#This Row],[Total Bill]]*tblRestaurant[[#This Row],[Tip %]]</f>
        <v>5.7725999999999997</v>
      </c>
      <c r="K11" s="7" t="str">
        <f>IF(tblRestaurant[[#This Row],[Cash]]=TRUE,"Cash","Card")</f>
        <v>Card</v>
      </c>
      <c r="L11" s="7" t="str">
        <f>IF(tblRestaurant[[#This Row],[Total Bill]]&lt;20,"Low",IF(tblRestaurant[[#This Row],[Total Bill]]&lt;50,"Medium","High"))</f>
        <v>Medium</v>
      </c>
      <c r="M11" s="7" t="str">
        <f>IF(tblRestaurant[[#This Row],[Party Size]]&lt;=2,"Small",IF(tblRestaurant[[#This Row],[Party Size]]&lt;=4,"Medium","Large"))</f>
        <v>Small</v>
      </c>
      <c r="N11" t="str">
        <f>TEXT(tblRestaurant[[#This Row],[Date]],"mmmm")</f>
        <v>January</v>
      </c>
      <c r="O11" s="12">
        <f>WEEKNUM(tblRestaurant[[#This Row],[Date]])</f>
        <v>1</v>
      </c>
      <c r="P11" s="7" t="str">
        <f>IF(OR(tblRestaurant[[#This Row],[Day]]="Sat",tblRestaurant[[#This Row],[Day]]="Sun"),"Weekend","Weekday")</f>
        <v>Weekday</v>
      </c>
      <c r="Q11" s="7" t="str">
        <f>IF(OR(tblRestaurant[[#This Row],[Day]]="Fri",tblRestaurant[[#This Row],[Day]]="Thu"),"Weekday","Weekend")</f>
        <v>Weekday</v>
      </c>
      <c r="R11" s="7" t="str">
        <f>IF(tblRestaurant[[#This Row],[Total Bill]]&lt;25,"Bronze",IF(tblRestaurant[[#This Row],[Total Bill]]&lt;50,"Silver",IF(tblRestaurant[[#This Row],[Total Bill]]&lt;75,"Gold","Platinum")))</f>
        <v>Silver</v>
      </c>
      <c r="S11" s="7" cm="1">
        <f t="array" ref="S11">_xlfn.SWITCH(tblRestaurant[[#This Row],[Revenue Tier]],"Bronze",1,"Silver",2,"Gold",3,"Platinum",4)</f>
        <v>2</v>
      </c>
      <c r="T11" s="13">
        <f>AVERAGE(tblRestaurant[[#This Row],[Total Bill]],tblRestaurant[[#This Row],[Party Size]])</f>
        <v>17.035</v>
      </c>
    </row>
    <row r="12" spans="1:21" ht="20.100000000000001" customHeight="1">
      <c r="A12">
        <v>11</v>
      </c>
      <c r="B12" s="2">
        <v>45659</v>
      </c>
      <c r="C12" t="s">
        <v>9</v>
      </c>
      <c r="D12" t="s">
        <v>10</v>
      </c>
      <c r="E12" t="s">
        <v>12</v>
      </c>
      <c r="F12">
        <v>2</v>
      </c>
      <c r="G12" s="3">
        <v>27.14</v>
      </c>
      <c r="H12" s="4">
        <v>0.2</v>
      </c>
      <c r="I12" t="b">
        <v>1</v>
      </c>
      <c r="J12" s="3">
        <f>tblRestaurant[[#This Row],[Total Bill]]*tblRestaurant[[#This Row],[Tip %]]</f>
        <v>5.4280000000000008</v>
      </c>
      <c r="K12" s="7" t="str">
        <f>IF(tblRestaurant[[#This Row],[Cash]]=TRUE,"Cash","Card")</f>
        <v>Cash</v>
      </c>
      <c r="L12" s="7" t="str">
        <f>IF(tblRestaurant[[#This Row],[Total Bill]]&lt;20,"Low",IF(tblRestaurant[[#This Row],[Total Bill]]&lt;50,"Medium","High"))</f>
        <v>Medium</v>
      </c>
      <c r="M12" s="7" t="str">
        <f>IF(tblRestaurant[[#This Row],[Party Size]]&lt;=2,"Small",IF(tblRestaurant[[#This Row],[Party Size]]&lt;=4,"Medium","Large"))</f>
        <v>Small</v>
      </c>
      <c r="N12" t="str">
        <f>TEXT(tblRestaurant[[#This Row],[Date]],"mmmm")</f>
        <v>January</v>
      </c>
      <c r="O12" s="12">
        <f>WEEKNUM(tblRestaurant[[#This Row],[Date]])</f>
        <v>1</v>
      </c>
      <c r="P12" s="7" t="str">
        <f>IF(OR(tblRestaurant[[#This Row],[Day]]="Sat",tblRestaurant[[#This Row],[Day]]="Sun"),"Weekend","Weekday")</f>
        <v>Weekday</v>
      </c>
      <c r="Q12" s="7" t="str">
        <f>IF(OR(tblRestaurant[[#This Row],[Day]]="Fri",tblRestaurant[[#This Row],[Day]]="Thu"),"Weekday","Weekend")</f>
        <v>Weekday</v>
      </c>
      <c r="R12" s="7" t="str">
        <f>IF(tblRestaurant[[#This Row],[Total Bill]]&lt;25,"Bronze",IF(tblRestaurant[[#This Row],[Total Bill]]&lt;50,"Silver",IF(tblRestaurant[[#This Row],[Total Bill]]&lt;75,"Gold","Platinum")))</f>
        <v>Silver</v>
      </c>
      <c r="S12" s="7" cm="1">
        <f t="array" ref="S12">_xlfn.SWITCH(tblRestaurant[[#This Row],[Revenue Tier]],"Bronze",1,"Silver",2,"Gold",3,"Platinum",4)</f>
        <v>2</v>
      </c>
      <c r="T12" s="13">
        <f>AVERAGE(tblRestaurant[[#This Row],[Total Bill]],tblRestaurant[[#This Row],[Party Size]])</f>
        <v>14.57</v>
      </c>
    </row>
    <row r="13" spans="1:21" ht="20.100000000000001" customHeight="1">
      <c r="A13">
        <v>12</v>
      </c>
      <c r="B13" s="2">
        <v>45659</v>
      </c>
      <c r="C13" t="s">
        <v>9</v>
      </c>
      <c r="D13" t="s">
        <v>10</v>
      </c>
      <c r="E13" t="s">
        <v>13</v>
      </c>
      <c r="F13">
        <v>4</v>
      </c>
      <c r="G13" s="3">
        <v>49.93</v>
      </c>
      <c r="H13" s="4">
        <v>0.18</v>
      </c>
      <c r="I13" t="b">
        <v>0</v>
      </c>
      <c r="J13" s="3">
        <f>tblRestaurant[[#This Row],[Total Bill]]*tblRestaurant[[#This Row],[Tip %]]</f>
        <v>8.9873999999999992</v>
      </c>
      <c r="K13" s="7" t="str">
        <f>IF(tblRestaurant[[#This Row],[Cash]]=TRUE,"Cash","Card")</f>
        <v>Card</v>
      </c>
      <c r="L13" s="7" t="str">
        <f>IF(tblRestaurant[[#This Row],[Total Bill]]&lt;20,"Low",IF(tblRestaurant[[#This Row],[Total Bill]]&lt;50,"Medium","High"))</f>
        <v>Medium</v>
      </c>
      <c r="M13" s="7" t="str">
        <f>IF(tblRestaurant[[#This Row],[Party Size]]&lt;=2,"Small",IF(tblRestaurant[[#This Row],[Party Size]]&lt;=4,"Medium","Large"))</f>
        <v>Medium</v>
      </c>
      <c r="N13" t="str">
        <f>TEXT(tblRestaurant[[#This Row],[Date]],"mmmm")</f>
        <v>January</v>
      </c>
      <c r="O13" s="12">
        <f>WEEKNUM(tblRestaurant[[#This Row],[Date]])</f>
        <v>1</v>
      </c>
      <c r="P13" s="7" t="str">
        <f>IF(OR(tblRestaurant[[#This Row],[Day]]="Sat",tblRestaurant[[#This Row],[Day]]="Sun"),"Weekend","Weekday")</f>
        <v>Weekday</v>
      </c>
      <c r="Q13" s="7" t="str">
        <f>IF(OR(tblRestaurant[[#This Row],[Day]]="Fri",tblRestaurant[[#This Row],[Day]]="Thu"),"Weekday","Weekend")</f>
        <v>Weekday</v>
      </c>
      <c r="R13" s="7" t="str">
        <f>IF(tblRestaurant[[#This Row],[Total Bill]]&lt;25,"Bronze",IF(tblRestaurant[[#This Row],[Total Bill]]&lt;50,"Silver",IF(tblRestaurant[[#This Row],[Total Bill]]&lt;75,"Gold","Platinum")))</f>
        <v>Silver</v>
      </c>
      <c r="S13" s="7" cm="1">
        <f t="array" ref="S13">_xlfn.SWITCH(tblRestaurant[[#This Row],[Revenue Tier]],"Bronze",1,"Silver",2,"Gold",3,"Platinum",4)</f>
        <v>2</v>
      </c>
      <c r="T13" s="13">
        <f>AVERAGE(tblRestaurant[[#This Row],[Total Bill]],tblRestaurant[[#This Row],[Party Size]])</f>
        <v>26.965</v>
      </c>
    </row>
    <row r="14" spans="1:21" ht="20.100000000000001" customHeight="1">
      <c r="A14">
        <v>13</v>
      </c>
      <c r="B14" s="2">
        <v>45659</v>
      </c>
      <c r="C14" t="s">
        <v>9</v>
      </c>
      <c r="D14" t="s">
        <v>10</v>
      </c>
      <c r="E14" t="s">
        <v>14</v>
      </c>
      <c r="F14">
        <v>2</v>
      </c>
      <c r="G14" s="3">
        <v>39.090000000000003</v>
      </c>
      <c r="H14" s="4">
        <v>0.2</v>
      </c>
      <c r="I14" t="b">
        <v>0</v>
      </c>
      <c r="J14" s="3">
        <f>tblRestaurant[[#This Row],[Total Bill]]*tblRestaurant[[#This Row],[Tip %]]</f>
        <v>7.8180000000000014</v>
      </c>
      <c r="K14" s="7" t="str">
        <f>IF(tblRestaurant[[#This Row],[Cash]]=TRUE,"Cash","Card")</f>
        <v>Card</v>
      </c>
      <c r="L14" s="7" t="str">
        <f>IF(tblRestaurant[[#This Row],[Total Bill]]&lt;20,"Low",IF(tblRestaurant[[#This Row],[Total Bill]]&lt;50,"Medium","High"))</f>
        <v>Medium</v>
      </c>
      <c r="M14" s="7" t="str">
        <f>IF(tblRestaurant[[#This Row],[Party Size]]&lt;=2,"Small",IF(tblRestaurant[[#This Row],[Party Size]]&lt;=4,"Medium","Large"))</f>
        <v>Small</v>
      </c>
      <c r="N14" t="str">
        <f>TEXT(tblRestaurant[[#This Row],[Date]],"mmmm")</f>
        <v>January</v>
      </c>
      <c r="O14" s="12">
        <f>WEEKNUM(tblRestaurant[[#This Row],[Date]])</f>
        <v>1</v>
      </c>
      <c r="P14" s="7" t="str">
        <f>IF(OR(tblRestaurant[[#This Row],[Day]]="Sat",tblRestaurant[[#This Row],[Day]]="Sun"),"Weekend","Weekday")</f>
        <v>Weekday</v>
      </c>
      <c r="Q14" s="7" t="str">
        <f>IF(OR(tblRestaurant[[#This Row],[Day]]="Fri",tblRestaurant[[#This Row],[Day]]="Thu"),"Weekday","Weekend")</f>
        <v>Weekday</v>
      </c>
      <c r="R14" s="7" t="str">
        <f>IF(tblRestaurant[[#This Row],[Total Bill]]&lt;25,"Bronze",IF(tblRestaurant[[#This Row],[Total Bill]]&lt;50,"Silver",IF(tblRestaurant[[#This Row],[Total Bill]]&lt;75,"Gold","Platinum")))</f>
        <v>Silver</v>
      </c>
      <c r="S14" s="7" cm="1">
        <f t="array" ref="S14">_xlfn.SWITCH(tblRestaurant[[#This Row],[Revenue Tier]],"Bronze",1,"Silver",2,"Gold",3,"Platinum",4)</f>
        <v>2</v>
      </c>
      <c r="T14" s="13">
        <f>AVERAGE(tblRestaurant[[#This Row],[Total Bill]],tblRestaurant[[#This Row],[Party Size]])</f>
        <v>20.545000000000002</v>
      </c>
    </row>
    <row r="15" spans="1:21" ht="20.100000000000001" customHeight="1">
      <c r="A15">
        <v>14</v>
      </c>
      <c r="B15" s="2">
        <v>45659</v>
      </c>
      <c r="C15" t="s">
        <v>9</v>
      </c>
      <c r="D15" t="s">
        <v>10</v>
      </c>
      <c r="E15" t="s">
        <v>12</v>
      </c>
      <c r="F15">
        <v>4</v>
      </c>
      <c r="G15" s="3">
        <v>53.5</v>
      </c>
      <c r="H15" s="4">
        <v>0.18</v>
      </c>
      <c r="I15" t="b">
        <v>1</v>
      </c>
      <c r="J15" s="3">
        <f>tblRestaurant[[#This Row],[Total Bill]]*tblRestaurant[[#This Row],[Tip %]]</f>
        <v>9.629999999999999</v>
      </c>
      <c r="K15" s="7" t="str">
        <f>IF(tblRestaurant[[#This Row],[Cash]]=TRUE,"Cash","Card")</f>
        <v>Cash</v>
      </c>
      <c r="L15" s="7" t="str">
        <f>IF(tblRestaurant[[#This Row],[Total Bill]]&lt;20,"Low",IF(tblRestaurant[[#This Row],[Total Bill]]&lt;50,"Medium","High"))</f>
        <v>High</v>
      </c>
      <c r="M15" s="7" t="str">
        <f>IF(tblRestaurant[[#This Row],[Party Size]]&lt;=2,"Small",IF(tblRestaurant[[#This Row],[Party Size]]&lt;=4,"Medium","Large"))</f>
        <v>Medium</v>
      </c>
      <c r="N15" t="str">
        <f>TEXT(tblRestaurant[[#This Row],[Date]],"mmmm")</f>
        <v>January</v>
      </c>
      <c r="O15" s="12">
        <f>WEEKNUM(tblRestaurant[[#This Row],[Date]])</f>
        <v>1</v>
      </c>
      <c r="P15" s="7" t="str">
        <f>IF(OR(tblRestaurant[[#This Row],[Day]]="Sat",tblRestaurant[[#This Row],[Day]]="Sun"),"Weekend","Weekday")</f>
        <v>Weekday</v>
      </c>
      <c r="Q15" s="7" t="str">
        <f>IF(OR(tblRestaurant[[#This Row],[Day]]="Fri",tblRestaurant[[#This Row],[Day]]="Thu"),"Weekday","Weekend")</f>
        <v>Weekday</v>
      </c>
      <c r="R15" s="7" t="str">
        <f>IF(tblRestaurant[[#This Row],[Total Bill]]&lt;25,"Bronze",IF(tblRestaurant[[#This Row],[Total Bill]]&lt;50,"Silver",IF(tblRestaurant[[#This Row],[Total Bill]]&lt;75,"Gold","Platinum")))</f>
        <v>Gold</v>
      </c>
      <c r="S15" s="7" cm="1">
        <f t="array" ref="S15">_xlfn.SWITCH(tblRestaurant[[#This Row],[Revenue Tier]],"Bronze",1,"Silver",2,"Gold",3,"Platinum",4)</f>
        <v>3</v>
      </c>
      <c r="T15" s="13">
        <f>AVERAGE(tblRestaurant[[#This Row],[Total Bill]],tblRestaurant[[#This Row],[Party Size]])</f>
        <v>28.75</v>
      </c>
    </row>
    <row r="16" spans="1:21" ht="20.100000000000001" customHeight="1">
      <c r="A16">
        <v>15</v>
      </c>
      <c r="B16" s="2">
        <v>45659</v>
      </c>
      <c r="C16" t="s">
        <v>9</v>
      </c>
      <c r="D16" t="s">
        <v>10</v>
      </c>
      <c r="E16" t="s">
        <v>14</v>
      </c>
      <c r="F16">
        <v>2</v>
      </c>
      <c r="G16" s="3">
        <v>36.42</v>
      </c>
      <c r="H16" s="4">
        <v>0.18</v>
      </c>
      <c r="I16" t="b">
        <v>0</v>
      </c>
      <c r="J16" s="3">
        <f>tblRestaurant[[#This Row],[Total Bill]]*tblRestaurant[[#This Row],[Tip %]]</f>
        <v>6.5556000000000001</v>
      </c>
      <c r="K16" s="7" t="str">
        <f>IF(tblRestaurant[[#This Row],[Cash]]=TRUE,"Cash","Card")</f>
        <v>Card</v>
      </c>
      <c r="L16" s="7" t="str">
        <f>IF(tblRestaurant[[#This Row],[Total Bill]]&lt;20,"Low",IF(tblRestaurant[[#This Row],[Total Bill]]&lt;50,"Medium","High"))</f>
        <v>Medium</v>
      </c>
      <c r="M16" s="7" t="str">
        <f>IF(tblRestaurant[[#This Row],[Party Size]]&lt;=2,"Small",IF(tblRestaurant[[#This Row],[Party Size]]&lt;=4,"Medium","Large"))</f>
        <v>Small</v>
      </c>
      <c r="N16" t="str">
        <f>TEXT(tblRestaurant[[#This Row],[Date]],"mmmm")</f>
        <v>January</v>
      </c>
      <c r="O16" s="12">
        <f>WEEKNUM(tblRestaurant[[#This Row],[Date]])</f>
        <v>1</v>
      </c>
      <c r="P16" s="7" t="str">
        <f>IF(OR(tblRestaurant[[#This Row],[Day]]="Sat",tblRestaurant[[#This Row],[Day]]="Sun"),"Weekend","Weekday")</f>
        <v>Weekday</v>
      </c>
      <c r="Q16" s="7" t="str">
        <f>IF(OR(tblRestaurant[[#This Row],[Day]]="Fri",tblRestaurant[[#This Row],[Day]]="Thu"),"Weekday","Weekend")</f>
        <v>Weekday</v>
      </c>
      <c r="R16" s="7" t="str">
        <f>IF(tblRestaurant[[#This Row],[Total Bill]]&lt;25,"Bronze",IF(tblRestaurant[[#This Row],[Total Bill]]&lt;50,"Silver",IF(tblRestaurant[[#This Row],[Total Bill]]&lt;75,"Gold","Platinum")))</f>
        <v>Silver</v>
      </c>
      <c r="S16" s="7" cm="1">
        <f t="array" ref="S16">_xlfn.SWITCH(tblRestaurant[[#This Row],[Revenue Tier]],"Bronze",1,"Silver",2,"Gold",3,"Platinum",4)</f>
        <v>2</v>
      </c>
      <c r="T16" s="13">
        <f>AVERAGE(tblRestaurant[[#This Row],[Total Bill]],tblRestaurant[[#This Row],[Party Size]])</f>
        <v>19.21</v>
      </c>
    </row>
    <row r="17" spans="1:20" ht="20.100000000000001" customHeight="1">
      <c r="A17">
        <v>16</v>
      </c>
      <c r="B17" s="2">
        <v>45659</v>
      </c>
      <c r="C17" t="s">
        <v>9</v>
      </c>
      <c r="D17" t="s">
        <v>10</v>
      </c>
      <c r="E17" t="s">
        <v>11</v>
      </c>
      <c r="F17">
        <v>2</v>
      </c>
      <c r="G17" s="3">
        <v>29.41</v>
      </c>
      <c r="H17" s="4">
        <v>0.18</v>
      </c>
      <c r="I17" t="b">
        <v>0</v>
      </c>
      <c r="J17" s="3">
        <f>tblRestaurant[[#This Row],[Total Bill]]*tblRestaurant[[#This Row],[Tip %]]</f>
        <v>5.2938000000000001</v>
      </c>
      <c r="K17" s="7" t="str">
        <f>IF(tblRestaurant[[#This Row],[Cash]]=TRUE,"Cash","Card")</f>
        <v>Card</v>
      </c>
      <c r="L17" s="7" t="str">
        <f>IF(tblRestaurant[[#This Row],[Total Bill]]&lt;20,"Low",IF(tblRestaurant[[#This Row],[Total Bill]]&lt;50,"Medium","High"))</f>
        <v>Medium</v>
      </c>
      <c r="M17" s="7" t="str">
        <f>IF(tblRestaurant[[#This Row],[Party Size]]&lt;=2,"Small",IF(tblRestaurant[[#This Row],[Party Size]]&lt;=4,"Medium","Large"))</f>
        <v>Small</v>
      </c>
      <c r="N17" t="str">
        <f>TEXT(tblRestaurant[[#This Row],[Date]],"mmmm")</f>
        <v>January</v>
      </c>
      <c r="O17" s="12">
        <f>WEEKNUM(tblRestaurant[[#This Row],[Date]])</f>
        <v>1</v>
      </c>
      <c r="P17" s="7" t="str">
        <f>IF(OR(tblRestaurant[[#This Row],[Day]]="Sat",tblRestaurant[[#This Row],[Day]]="Sun"),"Weekend","Weekday")</f>
        <v>Weekday</v>
      </c>
      <c r="Q17" s="7" t="str">
        <f>IF(OR(tblRestaurant[[#This Row],[Day]]="Fri",tblRestaurant[[#This Row],[Day]]="Thu"),"Weekday","Weekend")</f>
        <v>Weekday</v>
      </c>
      <c r="R17" s="7" t="str">
        <f>IF(tblRestaurant[[#This Row],[Total Bill]]&lt;25,"Bronze",IF(tblRestaurant[[#This Row],[Total Bill]]&lt;50,"Silver",IF(tblRestaurant[[#This Row],[Total Bill]]&lt;75,"Gold","Platinum")))</f>
        <v>Silver</v>
      </c>
      <c r="S17" s="7" cm="1">
        <f t="array" ref="S17">_xlfn.SWITCH(tblRestaurant[[#This Row],[Revenue Tier]],"Bronze",1,"Silver",2,"Gold",3,"Platinum",4)</f>
        <v>2</v>
      </c>
      <c r="T17" s="13">
        <f>AVERAGE(tblRestaurant[[#This Row],[Total Bill]],tblRestaurant[[#This Row],[Party Size]])</f>
        <v>15.705</v>
      </c>
    </row>
    <row r="18" spans="1:20" ht="20.100000000000001" customHeight="1">
      <c r="A18">
        <v>17</v>
      </c>
      <c r="B18" s="2">
        <v>45659</v>
      </c>
      <c r="C18" t="s">
        <v>9</v>
      </c>
      <c r="D18" t="s">
        <v>10</v>
      </c>
      <c r="E18" t="s">
        <v>11</v>
      </c>
      <c r="F18">
        <v>3</v>
      </c>
      <c r="G18" s="3">
        <v>19.36</v>
      </c>
      <c r="H18" s="4">
        <v>0.18</v>
      </c>
      <c r="I18" t="b">
        <v>0</v>
      </c>
      <c r="J18" s="3">
        <f>tblRestaurant[[#This Row],[Total Bill]]*tblRestaurant[[#This Row],[Tip %]]</f>
        <v>3.4847999999999999</v>
      </c>
      <c r="K18" s="7" t="str">
        <f>IF(tblRestaurant[[#This Row],[Cash]]=TRUE,"Cash","Card")</f>
        <v>Card</v>
      </c>
      <c r="L18" s="7" t="str">
        <f>IF(tblRestaurant[[#This Row],[Total Bill]]&lt;20,"Low",IF(tblRestaurant[[#This Row],[Total Bill]]&lt;50,"Medium","High"))</f>
        <v>Low</v>
      </c>
      <c r="M18" s="7" t="str">
        <f>IF(tblRestaurant[[#This Row],[Party Size]]&lt;=2,"Small",IF(tblRestaurant[[#This Row],[Party Size]]&lt;=4,"Medium","Large"))</f>
        <v>Medium</v>
      </c>
      <c r="N18" t="str">
        <f>TEXT(tblRestaurant[[#This Row],[Date]],"mmmm")</f>
        <v>January</v>
      </c>
      <c r="O18" s="12">
        <f>WEEKNUM(tblRestaurant[[#This Row],[Date]])</f>
        <v>1</v>
      </c>
      <c r="P18" s="7" t="str">
        <f>IF(OR(tblRestaurant[[#This Row],[Day]]="Sat",tblRestaurant[[#This Row],[Day]]="Sun"),"Weekend","Weekday")</f>
        <v>Weekday</v>
      </c>
      <c r="Q18" s="7" t="str">
        <f>IF(OR(tblRestaurant[[#This Row],[Day]]="Fri",tblRestaurant[[#This Row],[Day]]="Thu"),"Weekday","Weekend")</f>
        <v>Weekday</v>
      </c>
      <c r="R18" s="7" t="str">
        <f>IF(tblRestaurant[[#This Row],[Total Bill]]&lt;25,"Bronze",IF(tblRestaurant[[#This Row],[Total Bill]]&lt;50,"Silver",IF(tblRestaurant[[#This Row],[Total Bill]]&lt;75,"Gold","Platinum")))</f>
        <v>Bronze</v>
      </c>
      <c r="S18" s="7" cm="1">
        <f t="array" ref="S18">_xlfn.SWITCH(tblRestaurant[[#This Row],[Revenue Tier]],"Bronze",1,"Silver",2,"Gold",3,"Platinum",4)</f>
        <v>1</v>
      </c>
      <c r="T18" s="13">
        <f>AVERAGE(tblRestaurant[[#This Row],[Total Bill]],tblRestaurant[[#This Row],[Party Size]])</f>
        <v>11.18</v>
      </c>
    </row>
    <row r="19" spans="1:20" ht="20.100000000000001" customHeight="1">
      <c r="A19">
        <v>18</v>
      </c>
      <c r="B19" s="2">
        <v>45659</v>
      </c>
      <c r="C19" t="s">
        <v>9</v>
      </c>
      <c r="D19" t="s">
        <v>10</v>
      </c>
      <c r="E19" t="s">
        <v>11</v>
      </c>
      <c r="F19">
        <v>3</v>
      </c>
      <c r="G19" s="3">
        <v>33.82</v>
      </c>
      <c r="H19" s="4">
        <v>0.15</v>
      </c>
      <c r="I19" t="b">
        <v>0</v>
      </c>
      <c r="J19" s="3">
        <f>tblRestaurant[[#This Row],[Total Bill]]*tblRestaurant[[#This Row],[Tip %]]</f>
        <v>5.0729999999999995</v>
      </c>
      <c r="K19" s="7" t="str">
        <f>IF(tblRestaurant[[#This Row],[Cash]]=TRUE,"Cash","Card")</f>
        <v>Card</v>
      </c>
      <c r="L19" s="7" t="str">
        <f>IF(tblRestaurant[[#This Row],[Total Bill]]&lt;20,"Low",IF(tblRestaurant[[#This Row],[Total Bill]]&lt;50,"Medium","High"))</f>
        <v>Medium</v>
      </c>
      <c r="M19" s="7" t="str">
        <f>IF(tblRestaurant[[#This Row],[Party Size]]&lt;=2,"Small",IF(tblRestaurant[[#This Row],[Party Size]]&lt;=4,"Medium","Large"))</f>
        <v>Medium</v>
      </c>
      <c r="N19" t="str">
        <f>TEXT(tblRestaurant[[#This Row],[Date]],"mmmm")</f>
        <v>January</v>
      </c>
      <c r="O19" s="12">
        <f>WEEKNUM(tblRestaurant[[#This Row],[Date]])</f>
        <v>1</v>
      </c>
      <c r="P19" s="7" t="str">
        <f>IF(OR(tblRestaurant[[#This Row],[Day]]="Sat",tblRestaurant[[#This Row],[Day]]="Sun"),"Weekend","Weekday")</f>
        <v>Weekday</v>
      </c>
      <c r="Q19" s="7" t="str">
        <f>IF(OR(tblRestaurant[[#This Row],[Day]]="Fri",tblRestaurant[[#This Row],[Day]]="Thu"),"Weekday","Weekend")</f>
        <v>Weekday</v>
      </c>
      <c r="R19" s="7" t="str">
        <f>IF(tblRestaurant[[#This Row],[Total Bill]]&lt;25,"Bronze",IF(tblRestaurant[[#This Row],[Total Bill]]&lt;50,"Silver",IF(tblRestaurant[[#This Row],[Total Bill]]&lt;75,"Gold","Platinum")))</f>
        <v>Silver</v>
      </c>
      <c r="S19" s="7" cm="1">
        <f t="array" ref="S19">_xlfn.SWITCH(tblRestaurant[[#This Row],[Revenue Tier]],"Bronze",1,"Silver",2,"Gold",3,"Platinum",4)</f>
        <v>2</v>
      </c>
      <c r="T19" s="13">
        <f>AVERAGE(tblRestaurant[[#This Row],[Total Bill]],tblRestaurant[[#This Row],[Party Size]])</f>
        <v>18.41</v>
      </c>
    </row>
    <row r="20" spans="1:20" ht="20.100000000000001" customHeight="1">
      <c r="A20">
        <v>19</v>
      </c>
      <c r="B20" s="2">
        <v>45659</v>
      </c>
      <c r="C20" t="s">
        <v>9</v>
      </c>
      <c r="D20" t="s">
        <v>10</v>
      </c>
      <c r="E20" t="s">
        <v>13</v>
      </c>
      <c r="F20">
        <v>3</v>
      </c>
      <c r="G20" s="3">
        <v>39.97</v>
      </c>
      <c r="H20" s="4">
        <v>0.15</v>
      </c>
      <c r="I20" t="b">
        <v>0</v>
      </c>
      <c r="J20" s="3">
        <f>tblRestaurant[[#This Row],[Total Bill]]*tblRestaurant[[#This Row],[Tip %]]</f>
        <v>5.9954999999999998</v>
      </c>
      <c r="K20" s="7" t="str">
        <f>IF(tblRestaurant[[#This Row],[Cash]]=TRUE,"Cash","Card")</f>
        <v>Card</v>
      </c>
      <c r="L20" s="7" t="str">
        <f>IF(tblRestaurant[[#This Row],[Total Bill]]&lt;20,"Low",IF(tblRestaurant[[#This Row],[Total Bill]]&lt;50,"Medium","High"))</f>
        <v>Medium</v>
      </c>
      <c r="M20" s="7" t="str">
        <f>IF(tblRestaurant[[#This Row],[Party Size]]&lt;=2,"Small",IF(tblRestaurant[[#This Row],[Party Size]]&lt;=4,"Medium","Large"))</f>
        <v>Medium</v>
      </c>
      <c r="N20" t="str">
        <f>TEXT(tblRestaurant[[#This Row],[Date]],"mmmm")</f>
        <v>January</v>
      </c>
      <c r="O20" s="12">
        <f>WEEKNUM(tblRestaurant[[#This Row],[Date]])</f>
        <v>1</v>
      </c>
      <c r="P20" s="7" t="str">
        <f>IF(OR(tblRestaurant[[#This Row],[Day]]="Sat",tblRestaurant[[#This Row],[Day]]="Sun"),"Weekend","Weekday")</f>
        <v>Weekday</v>
      </c>
      <c r="Q20" s="7" t="str">
        <f>IF(OR(tblRestaurant[[#This Row],[Day]]="Fri",tblRestaurant[[#This Row],[Day]]="Thu"),"Weekday","Weekend")</f>
        <v>Weekday</v>
      </c>
      <c r="R20" s="7" t="str">
        <f>IF(tblRestaurant[[#This Row],[Total Bill]]&lt;25,"Bronze",IF(tblRestaurant[[#This Row],[Total Bill]]&lt;50,"Silver",IF(tblRestaurant[[#This Row],[Total Bill]]&lt;75,"Gold","Platinum")))</f>
        <v>Silver</v>
      </c>
      <c r="S20" s="7" cm="1">
        <f t="array" ref="S20">_xlfn.SWITCH(tblRestaurant[[#This Row],[Revenue Tier]],"Bronze",1,"Silver",2,"Gold",3,"Platinum",4)</f>
        <v>2</v>
      </c>
      <c r="T20" s="13">
        <f>AVERAGE(tblRestaurant[[#This Row],[Total Bill]],tblRestaurant[[#This Row],[Party Size]])</f>
        <v>21.484999999999999</v>
      </c>
    </row>
    <row r="21" spans="1:20" ht="20.100000000000001" customHeight="1">
      <c r="A21">
        <v>20</v>
      </c>
      <c r="B21" s="2">
        <v>45660</v>
      </c>
      <c r="C21" t="s">
        <v>15</v>
      </c>
      <c r="D21" t="s">
        <v>10</v>
      </c>
      <c r="E21" t="s">
        <v>14</v>
      </c>
      <c r="F21">
        <v>3</v>
      </c>
      <c r="G21" s="3">
        <v>28</v>
      </c>
      <c r="H21" s="4">
        <v>0.2</v>
      </c>
      <c r="I21" t="b">
        <v>0</v>
      </c>
      <c r="J21" s="3">
        <f>tblRestaurant[[#This Row],[Total Bill]]*tblRestaurant[[#This Row],[Tip %]]</f>
        <v>5.6000000000000005</v>
      </c>
      <c r="K21" s="7" t="str">
        <f>IF(tblRestaurant[[#This Row],[Cash]]=TRUE,"Cash","Card")</f>
        <v>Card</v>
      </c>
      <c r="L21" s="7" t="str">
        <f>IF(tblRestaurant[[#This Row],[Total Bill]]&lt;20,"Low",IF(tblRestaurant[[#This Row],[Total Bill]]&lt;50,"Medium","High"))</f>
        <v>Medium</v>
      </c>
      <c r="M21" s="7" t="str">
        <f>IF(tblRestaurant[[#This Row],[Party Size]]&lt;=2,"Small",IF(tblRestaurant[[#This Row],[Party Size]]&lt;=4,"Medium","Large"))</f>
        <v>Medium</v>
      </c>
      <c r="N21" t="str">
        <f>TEXT(tblRestaurant[[#This Row],[Date]],"mmmm")</f>
        <v>January</v>
      </c>
      <c r="O21" s="12">
        <f>WEEKNUM(tblRestaurant[[#This Row],[Date]])</f>
        <v>1</v>
      </c>
      <c r="P21" s="7" t="str">
        <f>IF(OR(tblRestaurant[[#This Row],[Day]]="Sat",tblRestaurant[[#This Row],[Day]]="Sun"),"Weekend","Weekday")</f>
        <v>Weekday</v>
      </c>
      <c r="Q21" s="7" t="str">
        <f>IF(OR(tblRestaurant[[#This Row],[Day]]="Fri",tblRestaurant[[#This Row],[Day]]="Thu"),"Weekday","Weekend")</f>
        <v>Weekday</v>
      </c>
      <c r="R21" s="7" t="str">
        <f>IF(tblRestaurant[[#This Row],[Total Bill]]&lt;25,"Bronze",IF(tblRestaurant[[#This Row],[Total Bill]]&lt;50,"Silver",IF(tblRestaurant[[#This Row],[Total Bill]]&lt;75,"Gold","Platinum")))</f>
        <v>Silver</v>
      </c>
      <c r="S21" s="7" cm="1">
        <f t="array" ref="S21">_xlfn.SWITCH(tblRestaurant[[#This Row],[Revenue Tier]],"Bronze",1,"Silver",2,"Gold",3,"Platinum",4)</f>
        <v>2</v>
      </c>
      <c r="T21" s="13">
        <f>AVERAGE(tblRestaurant[[#This Row],[Total Bill]],tblRestaurant[[#This Row],[Party Size]])</f>
        <v>15.5</v>
      </c>
    </row>
    <row r="22" spans="1:20" ht="20.100000000000001" customHeight="1">
      <c r="A22">
        <v>21</v>
      </c>
      <c r="B22" s="2">
        <v>45660</v>
      </c>
      <c r="C22" t="s">
        <v>15</v>
      </c>
      <c r="D22" t="s">
        <v>10</v>
      </c>
      <c r="E22" t="s">
        <v>14</v>
      </c>
      <c r="F22">
        <v>2</v>
      </c>
      <c r="G22" s="3">
        <v>27.65</v>
      </c>
      <c r="H22" s="4">
        <v>0.2</v>
      </c>
      <c r="I22" t="b">
        <v>0</v>
      </c>
      <c r="J22" s="3">
        <f>tblRestaurant[[#This Row],[Total Bill]]*tblRestaurant[[#This Row],[Tip %]]</f>
        <v>5.53</v>
      </c>
      <c r="K22" s="7" t="str">
        <f>IF(tblRestaurant[[#This Row],[Cash]]=TRUE,"Cash","Card")</f>
        <v>Card</v>
      </c>
      <c r="L22" s="7" t="str">
        <f>IF(tblRestaurant[[#This Row],[Total Bill]]&lt;20,"Low",IF(tblRestaurant[[#This Row],[Total Bill]]&lt;50,"Medium","High"))</f>
        <v>Medium</v>
      </c>
      <c r="M22" s="7" t="str">
        <f>IF(tblRestaurant[[#This Row],[Party Size]]&lt;=2,"Small",IF(tblRestaurant[[#This Row],[Party Size]]&lt;=4,"Medium","Large"))</f>
        <v>Small</v>
      </c>
      <c r="N22" t="str">
        <f>TEXT(tblRestaurant[[#This Row],[Date]],"mmmm")</f>
        <v>January</v>
      </c>
      <c r="O22" s="12">
        <f>WEEKNUM(tblRestaurant[[#This Row],[Date]])</f>
        <v>1</v>
      </c>
      <c r="P22" s="7" t="str">
        <f>IF(OR(tblRestaurant[[#This Row],[Day]]="Sat",tblRestaurant[[#This Row],[Day]]="Sun"),"Weekend","Weekday")</f>
        <v>Weekday</v>
      </c>
      <c r="Q22" s="7" t="str">
        <f>IF(OR(tblRestaurant[[#This Row],[Day]]="Fri",tblRestaurant[[#This Row],[Day]]="Thu"),"Weekday","Weekend")</f>
        <v>Weekday</v>
      </c>
      <c r="R22" s="7" t="str">
        <f>IF(tblRestaurant[[#This Row],[Total Bill]]&lt;25,"Bronze",IF(tblRestaurant[[#This Row],[Total Bill]]&lt;50,"Silver",IF(tblRestaurant[[#This Row],[Total Bill]]&lt;75,"Gold","Platinum")))</f>
        <v>Silver</v>
      </c>
      <c r="S22" s="7" cm="1">
        <f t="array" ref="S22">_xlfn.SWITCH(tblRestaurant[[#This Row],[Revenue Tier]],"Bronze",1,"Silver",2,"Gold",3,"Platinum",4)</f>
        <v>2</v>
      </c>
      <c r="T22" s="13">
        <f>AVERAGE(tblRestaurant[[#This Row],[Total Bill]],tblRestaurant[[#This Row],[Party Size]])</f>
        <v>14.824999999999999</v>
      </c>
    </row>
    <row r="23" spans="1:20" ht="20.100000000000001" customHeight="1">
      <c r="A23">
        <v>22</v>
      </c>
      <c r="B23" s="2">
        <v>45660</v>
      </c>
      <c r="C23" t="s">
        <v>15</v>
      </c>
      <c r="D23" t="s">
        <v>10</v>
      </c>
      <c r="E23" t="s">
        <v>11</v>
      </c>
      <c r="F23">
        <v>2</v>
      </c>
      <c r="G23" s="3">
        <v>14.37</v>
      </c>
      <c r="H23" s="4">
        <v>0.18</v>
      </c>
      <c r="I23" t="b">
        <v>0</v>
      </c>
      <c r="J23" s="3">
        <f>tblRestaurant[[#This Row],[Total Bill]]*tblRestaurant[[#This Row],[Tip %]]</f>
        <v>2.5865999999999998</v>
      </c>
      <c r="K23" s="7" t="str">
        <f>IF(tblRestaurant[[#This Row],[Cash]]=TRUE,"Cash","Card")</f>
        <v>Card</v>
      </c>
      <c r="L23" s="7" t="str">
        <f>IF(tblRestaurant[[#This Row],[Total Bill]]&lt;20,"Low",IF(tblRestaurant[[#This Row],[Total Bill]]&lt;50,"Medium","High"))</f>
        <v>Low</v>
      </c>
      <c r="M23" s="7" t="str">
        <f>IF(tblRestaurant[[#This Row],[Party Size]]&lt;=2,"Small",IF(tblRestaurant[[#This Row],[Party Size]]&lt;=4,"Medium","Large"))</f>
        <v>Small</v>
      </c>
      <c r="N23" t="str">
        <f>TEXT(tblRestaurant[[#This Row],[Date]],"mmmm")</f>
        <v>January</v>
      </c>
      <c r="O23" s="12">
        <f>WEEKNUM(tblRestaurant[[#This Row],[Date]])</f>
        <v>1</v>
      </c>
      <c r="P23" s="7" t="str">
        <f>IF(OR(tblRestaurant[[#This Row],[Day]]="Sat",tblRestaurant[[#This Row],[Day]]="Sun"),"Weekend","Weekday")</f>
        <v>Weekday</v>
      </c>
      <c r="Q23" s="7" t="str">
        <f>IF(OR(tblRestaurant[[#This Row],[Day]]="Fri",tblRestaurant[[#This Row],[Day]]="Thu"),"Weekday","Weekend")</f>
        <v>Weekday</v>
      </c>
      <c r="R23" s="7" t="str">
        <f>IF(tblRestaurant[[#This Row],[Total Bill]]&lt;25,"Bronze",IF(tblRestaurant[[#This Row],[Total Bill]]&lt;50,"Silver",IF(tblRestaurant[[#This Row],[Total Bill]]&lt;75,"Gold","Platinum")))</f>
        <v>Bronze</v>
      </c>
      <c r="S23" s="7" cm="1">
        <f t="array" ref="S23">_xlfn.SWITCH(tblRestaurant[[#This Row],[Revenue Tier]],"Bronze",1,"Silver",2,"Gold",3,"Platinum",4)</f>
        <v>1</v>
      </c>
      <c r="T23" s="13">
        <f>AVERAGE(tblRestaurant[[#This Row],[Total Bill]],tblRestaurant[[#This Row],[Party Size]])</f>
        <v>8.1849999999999987</v>
      </c>
    </row>
    <row r="24" spans="1:20" ht="20.100000000000001" customHeight="1">
      <c r="A24">
        <v>23</v>
      </c>
      <c r="B24" s="2">
        <v>45660</v>
      </c>
      <c r="C24" t="s">
        <v>15</v>
      </c>
      <c r="D24" t="s">
        <v>10</v>
      </c>
      <c r="E24" t="s">
        <v>12</v>
      </c>
      <c r="F24">
        <v>2</v>
      </c>
      <c r="G24" s="3">
        <v>10.63</v>
      </c>
      <c r="H24" s="4">
        <v>0.2</v>
      </c>
      <c r="I24" t="b">
        <v>0</v>
      </c>
      <c r="J24" s="3">
        <f>tblRestaurant[[#This Row],[Total Bill]]*tblRestaurant[[#This Row],[Tip %]]</f>
        <v>2.1260000000000003</v>
      </c>
      <c r="K24" s="7" t="str">
        <f>IF(tblRestaurant[[#This Row],[Cash]]=TRUE,"Cash","Card")</f>
        <v>Card</v>
      </c>
      <c r="L24" s="7" t="str">
        <f>IF(tblRestaurant[[#This Row],[Total Bill]]&lt;20,"Low",IF(tblRestaurant[[#This Row],[Total Bill]]&lt;50,"Medium","High"))</f>
        <v>Low</v>
      </c>
      <c r="M24" s="7" t="str">
        <f>IF(tblRestaurant[[#This Row],[Party Size]]&lt;=2,"Small",IF(tblRestaurant[[#This Row],[Party Size]]&lt;=4,"Medium","Large"))</f>
        <v>Small</v>
      </c>
      <c r="N24" t="str">
        <f>TEXT(tblRestaurant[[#This Row],[Date]],"mmmm")</f>
        <v>January</v>
      </c>
      <c r="O24" s="12">
        <f>WEEKNUM(tblRestaurant[[#This Row],[Date]])</f>
        <v>1</v>
      </c>
      <c r="P24" s="7" t="str">
        <f>IF(OR(tblRestaurant[[#This Row],[Day]]="Sat",tblRestaurant[[#This Row],[Day]]="Sun"),"Weekend","Weekday")</f>
        <v>Weekday</v>
      </c>
      <c r="Q24" s="7" t="str">
        <f>IF(OR(tblRestaurant[[#This Row],[Day]]="Fri",tblRestaurant[[#This Row],[Day]]="Thu"),"Weekday","Weekend")</f>
        <v>Weekday</v>
      </c>
      <c r="R24" s="7" t="str">
        <f>IF(tblRestaurant[[#This Row],[Total Bill]]&lt;25,"Bronze",IF(tblRestaurant[[#This Row],[Total Bill]]&lt;50,"Silver",IF(tblRestaurant[[#This Row],[Total Bill]]&lt;75,"Gold","Platinum")))</f>
        <v>Bronze</v>
      </c>
      <c r="S24" s="7" cm="1">
        <f t="array" ref="S24">_xlfn.SWITCH(tblRestaurant[[#This Row],[Revenue Tier]],"Bronze",1,"Silver",2,"Gold",3,"Platinum",4)</f>
        <v>1</v>
      </c>
      <c r="T24" s="13">
        <f>AVERAGE(tblRestaurant[[#This Row],[Total Bill]],tblRestaurant[[#This Row],[Party Size]])</f>
        <v>6.3150000000000004</v>
      </c>
    </row>
    <row r="25" spans="1:20" ht="20.100000000000001" customHeight="1">
      <c r="A25">
        <v>24</v>
      </c>
      <c r="B25" s="2">
        <v>45660</v>
      </c>
      <c r="C25" t="s">
        <v>15</v>
      </c>
      <c r="D25" t="s">
        <v>10</v>
      </c>
      <c r="E25" t="s">
        <v>13</v>
      </c>
      <c r="F25">
        <v>4</v>
      </c>
      <c r="G25" s="3">
        <v>55.67</v>
      </c>
      <c r="H25" s="4">
        <v>0.25</v>
      </c>
      <c r="I25" t="b">
        <v>0</v>
      </c>
      <c r="J25" s="3">
        <f>tblRestaurant[[#This Row],[Total Bill]]*tblRestaurant[[#This Row],[Tip %]]</f>
        <v>13.9175</v>
      </c>
      <c r="K25" s="7" t="str">
        <f>IF(tblRestaurant[[#This Row],[Cash]]=TRUE,"Cash","Card")</f>
        <v>Card</v>
      </c>
      <c r="L25" s="7" t="str">
        <f>IF(tblRestaurant[[#This Row],[Total Bill]]&lt;20,"Low",IF(tblRestaurant[[#This Row],[Total Bill]]&lt;50,"Medium","High"))</f>
        <v>High</v>
      </c>
      <c r="M25" s="7" t="str">
        <f>IF(tblRestaurant[[#This Row],[Party Size]]&lt;=2,"Small",IF(tblRestaurant[[#This Row],[Party Size]]&lt;=4,"Medium","Large"))</f>
        <v>Medium</v>
      </c>
      <c r="N25" t="str">
        <f>TEXT(tblRestaurant[[#This Row],[Date]],"mmmm")</f>
        <v>January</v>
      </c>
      <c r="O25" s="12">
        <f>WEEKNUM(tblRestaurant[[#This Row],[Date]])</f>
        <v>1</v>
      </c>
      <c r="P25" s="7" t="str">
        <f>IF(OR(tblRestaurant[[#This Row],[Day]]="Sat",tblRestaurant[[#This Row],[Day]]="Sun"),"Weekend","Weekday")</f>
        <v>Weekday</v>
      </c>
      <c r="Q25" s="7" t="str">
        <f>IF(OR(tblRestaurant[[#This Row],[Day]]="Fri",tblRestaurant[[#This Row],[Day]]="Thu"),"Weekday","Weekend")</f>
        <v>Weekday</v>
      </c>
      <c r="R25" s="7" t="str">
        <f>IF(tblRestaurant[[#This Row],[Total Bill]]&lt;25,"Bronze",IF(tblRestaurant[[#This Row],[Total Bill]]&lt;50,"Silver",IF(tblRestaurant[[#This Row],[Total Bill]]&lt;75,"Gold","Platinum")))</f>
        <v>Gold</v>
      </c>
      <c r="S25" s="7" cm="1">
        <f t="array" ref="S25">_xlfn.SWITCH(tblRestaurant[[#This Row],[Revenue Tier]],"Bronze",1,"Silver",2,"Gold",3,"Platinum",4)</f>
        <v>3</v>
      </c>
      <c r="T25" s="13">
        <f>AVERAGE(tblRestaurant[[#This Row],[Total Bill]],tblRestaurant[[#This Row],[Party Size]])</f>
        <v>29.835000000000001</v>
      </c>
    </row>
    <row r="26" spans="1:20" ht="20.100000000000001" customHeight="1">
      <c r="A26">
        <v>25</v>
      </c>
      <c r="B26" s="2">
        <v>45660</v>
      </c>
      <c r="C26" t="s">
        <v>15</v>
      </c>
      <c r="D26" t="s">
        <v>10</v>
      </c>
      <c r="E26" t="s">
        <v>13</v>
      </c>
      <c r="F26">
        <v>2</v>
      </c>
      <c r="G26" s="3">
        <v>15.37</v>
      </c>
      <c r="H26" s="4">
        <v>0.15</v>
      </c>
      <c r="I26" t="b">
        <v>0</v>
      </c>
      <c r="J26" s="3">
        <f>tblRestaurant[[#This Row],[Total Bill]]*tblRestaurant[[#This Row],[Tip %]]</f>
        <v>2.3054999999999999</v>
      </c>
      <c r="K26" s="7" t="str">
        <f>IF(tblRestaurant[[#This Row],[Cash]]=TRUE,"Cash","Card")</f>
        <v>Card</v>
      </c>
      <c r="L26" s="7" t="str">
        <f>IF(tblRestaurant[[#This Row],[Total Bill]]&lt;20,"Low",IF(tblRestaurant[[#This Row],[Total Bill]]&lt;50,"Medium","High"))</f>
        <v>Low</v>
      </c>
      <c r="M26" s="7" t="str">
        <f>IF(tblRestaurant[[#This Row],[Party Size]]&lt;=2,"Small",IF(tblRestaurant[[#This Row],[Party Size]]&lt;=4,"Medium","Large"))</f>
        <v>Small</v>
      </c>
      <c r="N26" t="str">
        <f>TEXT(tblRestaurant[[#This Row],[Date]],"mmmm")</f>
        <v>January</v>
      </c>
      <c r="O26" s="12">
        <f>WEEKNUM(tblRestaurant[[#This Row],[Date]])</f>
        <v>1</v>
      </c>
      <c r="P26" s="7" t="str">
        <f>IF(OR(tblRestaurant[[#This Row],[Day]]="Sat",tblRestaurant[[#This Row],[Day]]="Sun"),"Weekend","Weekday")</f>
        <v>Weekday</v>
      </c>
      <c r="Q26" s="7" t="str">
        <f>IF(OR(tblRestaurant[[#This Row],[Day]]="Fri",tblRestaurant[[#This Row],[Day]]="Thu"),"Weekday","Weekend")</f>
        <v>Weekday</v>
      </c>
      <c r="R26" s="7" t="str">
        <f>IF(tblRestaurant[[#This Row],[Total Bill]]&lt;25,"Bronze",IF(tblRestaurant[[#This Row],[Total Bill]]&lt;50,"Silver",IF(tblRestaurant[[#This Row],[Total Bill]]&lt;75,"Gold","Platinum")))</f>
        <v>Bronze</v>
      </c>
      <c r="S26" s="7" cm="1">
        <f t="array" ref="S26">_xlfn.SWITCH(tblRestaurant[[#This Row],[Revenue Tier]],"Bronze",1,"Silver",2,"Gold",3,"Platinum",4)</f>
        <v>1</v>
      </c>
      <c r="T26" s="13">
        <f>AVERAGE(tblRestaurant[[#This Row],[Total Bill]],tblRestaurant[[#This Row],[Party Size]])</f>
        <v>8.6849999999999987</v>
      </c>
    </row>
    <row r="27" spans="1:20" ht="20.100000000000001" customHeight="1">
      <c r="A27">
        <v>26</v>
      </c>
      <c r="B27" s="2">
        <v>45660</v>
      </c>
      <c r="C27" t="s">
        <v>15</v>
      </c>
      <c r="D27" t="s">
        <v>10</v>
      </c>
      <c r="E27" t="s">
        <v>13</v>
      </c>
      <c r="F27">
        <v>4</v>
      </c>
      <c r="G27" s="3">
        <v>64.709999999999994</v>
      </c>
      <c r="H27" s="4">
        <v>0.25</v>
      </c>
      <c r="I27" t="b">
        <v>0</v>
      </c>
      <c r="J27" s="3">
        <f>tblRestaurant[[#This Row],[Total Bill]]*tblRestaurant[[#This Row],[Tip %]]</f>
        <v>16.177499999999998</v>
      </c>
      <c r="K27" s="7" t="str">
        <f>IF(tblRestaurant[[#This Row],[Cash]]=TRUE,"Cash","Card")</f>
        <v>Card</v>
      </c>
      <c r="L27" s="7" t="str">
        <f>IF(tblRestaurant[[#This Row],[Total Bill]]&lt;20,"Low",IF(tblRestaurant[[#This Row],[Total Bill]]&lt;50,"Medium","High"))</f>
        <v>High</v>
      </c>
      <c r="M27" s="7" t="str">
        <f>IF(tblRestaurant[[#This Row],[Party Size]]&lt;=2,"Small",IF(tblRestaurant[[#This Row],[Party Size]]&lt;=4,"Medium","Large"))</f>
        <v>Medium</v>
      </c>
      <c r="N27" t="str">
        <f>TEXT(tblRestaurant[[#This Row],[Date]],"mmmm")</f>
        <v>January</v>
      </c>
      <c r="O27" s="12">
        <f>WEEKNUM(tblRestaurant[[#This Row],[Date]])</f>
        <v>1</v>
      </c>
      <c r="P27" s="7" t="str">
        <f>IF(OR(tblRestaurant[[#This Row],[Day]]="Sat",tblRestaurant[[#This Row],[Day]]="Sun"),"Weekend","Weekday")</f>
        <v>Weekday</v>
      </c>
      <c r="Q27" s="7" t="str">
        <f>IF(OR(tblRestaurant[[#This Row],[Day]]="Fri",tblRestaurant[[#This Row],[Day]]="Thu"),"Weekday","Weekend")</f>
        <v>Weekday</v>
      </c>
      <c r="R27" s="7" t="str">
        <f>IF(tblRestaurant[[#This Row],[Total Bill]]&lt;25,"Bronze",IF(tblRestaurant[[#This Row],[Total Bill]]&lt;50,"Silver",IF(tblRestaurant[[#This Row],[Total Bill]]&lt;75,"Gold","Platinum")))</f>
        <v>Gold</v>
      </c>
      <c r="S27" s="7" cm="1">
        <f t="array" ref="S27">_xlfn.SWITCH(tblRestaurant[[#This Row],[Revenue Tier]],"Bronze",1,"Silver",2,"Gold",3,"Platinum",4)</f>
        <v>3</v>
      </c>
      <c r="T27" s="13">
        <f>AVERAGE(tblRestaurant[[#This Row],[Total Bill]],tblRestaurant[[#This Row],[Party Size]])</f>
        <v>34.354999999999997</v>
      </c>
    </row>
    <row r="28" spans="1:20" ht="20.100000000000001" customHeight="1">
      <c r="A28">
        <v>27</v>
      </c>
      <c r="B28" s="2">
        <v>45660</v>
      </c>
      <c r="C28" t="s">
        <v>15</v>
      </c>
      <c r="D28" t="s">
        <v>10</v>
      </c>
      <c r="E28" t="s">
        <v>11</v>
      </c>
      <c r="F28">
        <v>2</v>
      </c>
      <c r="G28" s="3">
        <v>31.11</v>
      </c>
      <c r="H28" s="4">
        <v>0.2</v>
      </c>
      <c r="I28" t="b">
        <v>1</v>
      </c>
      <c r="J28" s="3">
        <f>tblRestaurant[[#This Row],[Total Bill]]*tblRestaurant[[#This Row],[Tip %]]</f>
        <v>6.2220000000000004</v>
      </c>
      <c r="K28" s="7" t="str">
        <f>IF(tblRestaurant[[#This Row],[Cash]]=TRUE,"Cash","Card")</f>
        <v>Cash</v>
      </c>
      <c r="L28" s="7" t="str">
        <f>IF(tblRestaurant[[#This Row],[Total Bill]]&lt;20,"Low",IF(tblRestaurant[[#This Row],[Total Bill]]&lt;50,"Medium","High"))</f>
        <v>Medium</v>
      </c>
      <c r="M28" s="7" t="str">
        <f>IF(tblRestaurant[[#This Row],[Party Size]]&lt;=2,"Small",IF(tblRestaurant[[#This Row],[Party Size]]&lt;=4,"Medium","Large"))</f>
        <v>Small</v>
      </c>
      <c r="N28" t="str">
        <f>TEXT(tblRestaurant[[#This Row],[Date]],"mmmm")</f>
        <v>January</v>
      </c>
      <c r="O28" s="12">
        <f>WEEKNUM(tblRestaurant[[#This Row],[Date]])</f>
        <v>1</v>
      </c>
      <c r="P28" s="7" t="str">
        <f>IF(OR(tblRestaurant[[#This Row],[Day]]="Sat",tblRestaurant[[#This Row],[Day]]="Sun"),"Weekend","Weekday")</f>
        <v>Weekday</v>
      </c>
      <c r="Q28" s="7" t="str">
        <f>IF(OR(tblRestaurant[[#This Row],[Day]]="Fri",tblRestaurant[[#This Row],[Day]]="Thu"),"Weekday","Weekend")</f>
        <v>Weekday</v>
      </c>
      <c r="R28" s="7" t="str">
        <f>IF(tblRestaurant[[#This Row],[Total Bill]]&lt;25,"Bronze",IF(tblRestaurant[[#This Row],[Total Bill]]&lt;50,"Silver",IF(tblRestaurant[[#This Row],[Total Bill]]&lt;75,"Gold","Platinum")))</f>
        <v>Silver</v>
      </c>
      <c r="S28" s="7" cm="1">
        <f t="array" ref="S28">_xlfn.SWITCH(tblRestaurant[[#This Row],[Revenue Tier]],"Bronze",1,"Silver",2,"Gold",3,"Platinum",4)</f>
        <v>2</v>
      </c>
      <c r="T28" s="13">
        <f>AVERAGE(tblRestaurant[[#This Row],[Total Bill]],tblRestaurant[[#This Row],[Party Size]])</f>
        <v>16.555</v>
      </c>
    </row>
    <row r="29" spans="1:20" ht="20.100000000000001" customHeight="1">
      <c r="A29">
        <v>28</v>
      </c>
      <c r="B29" s="2">
        <v>45660</v>
      </c>
      <c r="C29" t="s">
        <v>15</v>
      </c>
      <c r="D29" t="s">
        <v>10</v>
      </c>
      <c r="E29" t="s">
        <v>14</v>
      </c>
      <c r="F29">
        <v>2</v>
      </c>
      <c r="G29" s="3">
        <v>29.48</v>
      </c>
      <c r="H29" s="4">
        <v>0.2</v>
      </c>
      <c r="I29" t="b">
        <v>0</v>
      </c>
      <c r="J29" s="3">
        <f>tblRestaurant[[#This Row],[Total Bill]]*tblRestaurant[[#This Row],[Tip %]]</f>
        <v>5.8960000000000008</v>
      </c>
      <c r="K29" s="7" t="str">
        <f>IF(tblRestaurant[[#This Row],[Cash]]=TRUE,"Cash","Card")</f>
        <v>Card</v>
      </c>
      <c r="L29" s="7" t="str">
        <f>IF(tblRestaurant[[#This Row],[Total Bill]]&lt;20,"Low",IF(tblRestaurant[[#This Row],[Total Bill]]&lt;50,"Medium","High"))</f>
        <v>Medium</v>
      </c>
      <c r="M29" s="7" t="str">
        <f>IF(tblRestaurant[[#This Row],[Party Size]]&lt;=2,"Small",IF(tblRestaurant[[#This Row],[Party Size]]&lt;=4,"Medium","Large"))</f>
        <v>Small</v>
      </c>
      <c r="N29" t="str">
        <f>TEXT(tblRestaurant[[#This Row],[Date]],"mmmm")</f>
        <v>January</v>
      </c>
      <c r="O29" s="12">
        <f>WEEKNUM(tblRestaurant[[#This Row],[Date]])</f>
        <v>1</v>
      </c>
      <c r="P29" s="7" t="str">
        <f>IF(OR(tblRestaurant[[#This Row],[Day]]="Sat",tblRestaurant[[#This Row],[Day]]="Sun"),"Weekend","Weekday")</f>
        <v>Weekday</v>
      </c>
      <c r="Q29" s="7" t="str">
        <f>IF(OR(tblRestaurant[[#This Row],[Day]]="Fri",tblRestaurant[[#This Row],[Day]]="Thu"),"Weekday","Weekend")</f>
        <v>Weekday</v>
      </c>
      <c r="R29" s="7" t="str">
        <f>IF(tblRestaurant[[#This Row],[Total Bill]]&lt;25,"Bronze",IF(tblRestaurant[[#This Row],[Total Bill]]&lt;50,"Silver",IF(tblRestaurant[[#This Row],[Total Bill]]&lt;75,"Gold","Platinum")))</f>
        <v>Silver</v>
      </c>
      <c r="S29" s="7" cm="1">
        <f t="array" ref="S29">_xlfn.SWITCH(tblRestaurant[[#This Row],[Revenue Tier]],"Bronze",1,"Silver",2,"Gold",3,"Platinum",4)</f>
        <v>2</v>
      </c>
      <c r="T29" s="13">
        <f>AVERAGE(tblRestaurant[[#This Row],[Total Bill]],tblRestaurant[[#This Row],[Party Size]])</f>
        <v>15.74</v>
      </c>
    </row>
    <row r="30" spans="1:20" ht="20.100000000000001" customHeight="1">
      <c r="A30">
        <v>29</v>
      </c>
      <c r="B30" s="2">
        <v>45660</v>
      </c>
      <c r="C30" t="s">
        <v>15</v>
      </c>
      <c r="D30" t="s">
        <v>10</v>
      </c>
      <c r="E30" t="s">
        <v>13</v>
      </c>
      <c r="F30">
        <v>2</v>
      </c>
      <c r="G30" s="3">
        <v>15.51</v>
      </c>
      <c r="H30" s="4">
        <v>0.2</v>
      </c>
      <c r="I30" t="b">
        <v>0</v>
      </c>
      <c r="J30" s="3">
        <f>tblRestaurant[[#This Row],[Total Bill]]*tblRestaurant[[#This Row],[Tip %]]</f>
        <v>3.1020000000000003</v>
      </c>
      <c r="K30" s="7" t="str">
        <f>IF(tblRestaurant[[#This Row],[Cash]]=TRUE,"Cash","Card")</f>
        <v>Card</v>
      </c>
      <c r="L30" s="7" t="str">
        <f>IF(tblRestaurant[[#This Row],[Total Bill]]&lt;20,"Low",IF(tblRestaurant[[#This Row],[Total Bill]]&lt;50,"Medium","High"))</f>
        <v>Low</v>
      </c>
      <c r="M30" s="7" t="str">
        <f>IF(tblRestaurant[[#This Row],[Party Size]]&lt;=2,"Small",IF(tblRestaurant[[#This Row],[Party Size]]&lt;=4,"Medium","Large"))</f>
        <v>Small</v>
      </c>
      <c r="N30" t="str">
        <f>TEXT(tblRestaurant[[#This Row],[Date]],"mmmm")</f>
        <v>January</v>
      </c>
      <c r="O30" s="12">
        <f>WEEKNUM(tblRestaurant[[#This Row],[Date]])</f>
        <v>1</v>
      </c>
      <c r="P30" s="7" t="str">
        <f>IF(OR(tblRestaurant[[#This Row],[Day]]="Sat",tblRestaurant[[#This Row],[Day]]="Sun"),"Weekend","Weekday")</f>
        <v>Weekday</v>
      </c>
      <c r="Q30" s="7" t="str">
        <f>IF(OR(tblRestaurant[[#This Row],[Day]]="Fri",tblRestaurant[[#This Row],[Day]]="Thu"),"Weekday","Weekend")</f>
        <v>Weekday</v>
      </c>
      <c r="R30" s="7" t="str">
        <f>IF(tblRestaurant[[#This Row],[Total Bill]]&lt;25,"Bronze",IF(tblRestaurant[[#This Row],[Total Bill]]&lt;50,"Silver",IF(tblRestaurant[[#This Row],[Total Bill]]&lt;75,"Gold","Platinum")))</f>
        <v>Bronze</v>
      </c>
      <c r="S30" s="7" cm="1">
        <f t="array" ref="S30">_xlfn.SWITCH(tblRestaurant[[#This Row],[Revenue Tier]],"Bronze",1,"Silver",2,"Gold",3,"Platinum",4)</f>
        <v>1</v>
      </c>
      <c r="T30" s="13">
        <f>AVERAGE(tblRestaurant[[#This Row],[Total Bill]],tblRestaurant[[#This Row],[Party Size]])</f>
        <v>8.754999999999999</v>
      </c>
    </row>
    <row r="31" spans="1:20" ht="20.100000000000001" customHeight="1">
      <c r="A31">
        <v>30</v>
      </c>
      <c r="B31" s="2">
        <v>45660</v>
      </c>
      <c r="C31" t="s">
        <v>15</v>
      </c>
      <c r="D31" t="s">
        <v>10</v>
      </c>
      <c r="E31" t="s">
        <v>11</v>
      </c>
      <c r="F31">
        <v>2</v>
      </c>
      <c r="G31" s="3">
        <v>20.64</v>
      </c>
      <c r="H31" s="4">
        <v>0.2</v>
      </c>
      <c r="I31" t="b">
        <v>0</v>
      </c>
      <c r="J31" s="3">
        <f>tblRestaurant[[#This Row],[Total Bill]]*tblRestaurant[[#This Row],[Tip %]]</f>
        <v>4.1280000000000001</v>
      </c>
      <c r="K31" s="7" t="str">
        <f>IF(tblRestaurant[[#This Row],[Cash]]=TRUE,"Cash","Card")</f>
        <v>Card</v>
      </c>
      <c r="L31" s="7" t="str">
        <f>IF(tblRestaurant[[#This Row],[Total Bill]]&lt;20,"Low",IF(tblRestaurant[[#This Row],[Total Bill]]&lt;50,"Medium","High"))</f>
        <v>Medium</v>
      </c>
      <c r="M31" s="7" t="str">
        <f>IF(tblRestaurant[[#This Row],[Party Size]]&lt;=2,"Small",IF(tblRestaurant[[#This Row],[Party Size]]&lt;=4,"Medium","Large"))</f>
        <v>Small</v>
      </c>
      <c r="N31" t="str">
        <f>TEXT(tblRestaurant[[#This Row],[Date]],"mmmm")</f>
        <v>January</v>
      </c>
      <c r="O31" s="12">
        <f>WEEKNUM(tblRestaurant[[#This Row],[Date]])</f>
        <v>1</v>
      </c>
      <c r="P31" s="7" t="str">
        <f>IF(OR(tblRestaurant[[#This Row],[Day]]="Sat",tblRestaurant[[#This Row],[Day]]="Sun"),"Weekend","Weekday")</f>
        <v>Weekday</v>
      </c>
      <c r="Q31" s="7" t="str">
        <f>IF(OR(tblRestaurant[[#This Row],[Day]]="Fri",tblRestaurant[[#This Row],[Day]]="Thu"),"Weekday","Weekend")</f>
        <v>Weekday</v>
      </c>
      <c r="R31" s="7" t="str">
        <f>IF(tblRestaurant[[#This Row],[Total Bill]]&lt;25,"Bronze",IF(tblRestaurant[[#This Row],[Total Bill]]&lt;50,"Silver",IF(tblRestaurant[[#This Row],[Total Bill]]&lt;75,"Gold","Platinum")))</f>
        <v>Bronze</v>
      </c>
      <c r="S31" s="7" cm="1">
        <f t="array" ref="S31">_xlfn.SWITCH(tblRestaurant[[#This Row],[Revenue Tier]],"Bronze",1,"Silver",2,"Gold",3,"Platinum",4)</f>
        <v>1</v>
      </c>
      <c r="T31" s="13">
        <f>AVERAGE(tblRestaurant[[#This Row],[Total Bill]],tblRestaurant[[#This Row],[Party Size]])</f>
        <v>11.32</v>
      </c>
    </row>
    <row r="32" spans="1:20" ht="20.100000000000001" customHeight="1">
      <c r="A32">
        <v>31</v>
      </c>
      <c r="B32" s="2">
        <v>45660</v>
      </c>
      <c r="C32" t="s">
        <v>15</v>
      </c>
      <c r="D32" t="s">
        <v>10</v>
      </c>
      <c r="E32" t="s">
        <v>11</v>
      </c>
      <c r="F32">
        <v>2</v>
      </c>
      <c r="G32" s="3">
        <v>16.100000000000001</v>
      </c>
      <c r="H32" s="4">
        <v>0.25</v>
      </c>
      <c r="I32" t="b">
        <v>0</v>
      </c>
      <c r="J32" s="3">
        <f>tblRestaurant[[#This Row],[Total Bill]]*tblRestaurant[[#This Row],[Tip %]]</f>
        <v>4.0250000000000004</v>
      </c>
      <c r="K32" s="7" t="str">
        <f>IF(tblRestaurant[[#This Row],[Cash]]=TRUE,"Cash","Card")</f>
        <v>Card</v>
      </c>
      <c r="L32" s="7" t="str">
        <f>IF(tblRestaurant[[#This Row],[Total Bill]]&lt;20,"Low",IF(tblRestaurant[[#This Row],[Total Bill]]&lt;50,"Medium","High"))</f>
        <v>Low</v>
      </c>
      <c r="M32" s="7" t="str">
        <f>IF(tblRestaurant[[#This Row],[Party Size]]&lt;=2,"Small",IF(tblRestaurant[[#This Row],[Party Size]]&lt;=4,"Medium","Large"))</f>
        <v>Small</v>
      </c>
      <c r="N32" t="str">
        <f>TEXT(tblRestaurant[[#This Row],[Date]],"mmmm")</f>
        <v>January</v>
      </c>
      <c r="O32" s="12">
        <f>WEEKNUM(tblRestaurant[[#This Row],[Date]])</f>
        <v>1</v>
      </c>
      <c r="P32" s="7" t="str">
        <f>IF(OR(tblRestaurant[[#This Row],[Day]]="Sat",tblRestaurant[[#This Row],[Day]]="Sun"),"Weekend","Weekday")</f>
        <v>Weekday</v>
      </c>
      <c r="Q32" s="7" t="str">
        <f>IF(OR(tblRestaurant[[#This Row],[Day]]="Fri",tblRestaurant[[#This Row],[Day]]="Thu"),"Weekday","Weekend")</f>
        <v>Weekday</v>
      </c>
      <c r="R32" s="7" t="str">
        <f>IF(tblRestaurant[[#This Row],[Total Bill]]&lt;25,"Bronze",IF(tblRestaurant[[#This Row],[Total Bill]]&lt;50,"Silver",IF(tblRestaurant[[#This Row],[Total Bill]]&lt;75,"Gold","Platinum")))</f>
        <v>Bronze</v>
      </c>
      <c r="S32" s="7" cm="1">
        <f t="array" ref="S32">_xlfn.SWITCH(tblRestaurant[[#This Row],[Revenue Tier]],"Bronze",1,"Silver",2,"Gold",3,"Platinum",4)</f>
        <v>1</v>
      </c>
      <c r="T32" s="13">
        <f>AVERAGE(tblRestaurant[[#This Row],[Total Bill]],tblRestaurant[[#This Row],[Party Size]])</f>
        <v>9.0500000000000007</v>
      </c>
    </row>
    <row r="33" spans="1:20" ht="20.100000000000001" customHeight="1">
      <c r="A33">
        <v>32</v>
      </c>
      <c r="B33" s="2">
        <v>45660</v>
      </c>
      <c r="C33" t="s">
        <v>15</v>
      </c>
      <c r="D33" t="s">
        <v>10</v>
      </c>
      <c r="E33" t="s">
        <v>14</v>
      </c>
      <c r="F33">
        <v>4</v>
      </c>
      <c r="G33" s="3">
        <v>40.03</v>
      </c>
      <c r="H33" s="4">
        <v>0.2</v>
      </c>
      <c r="I33" t="b">
        <v>0</v>
      </c>
      <c r="J33" s="3">
        <f>tblRestaurant[[#This Row],[Total Bill]]*tblRestaurant[[#This Row],[Tip %]]</f>
        <v>8.0060000000000002</v>
      </c>
      <c r="K33" s="7" t="str">
        <f>IF(tblRestaurant[[#This Row],[Cash]]=TRUE,"Cash","Card")</f>
        <v>Card</v>
      </c>
      <c r="L33" s="7" t="str">
        <f>IF(tblRestaurant[[#This Row],[Total Bill]]&lt;20,"Low",IF(tblRestaurant[[#This Row],[Total Bill]]&lt;50,"Medium","High"))</f>
        <v>Medium</v>
      </c>
      <c r="M33" s="7" t="str">
        <f>IF(tblRestaurant[[#This Row],[Party Size]]&lt;=2,"Small",IF(tblRestaurant[[#This Row],[Party Size]]&lt;=4,"Medium","Large"))</f>
        <v>Medium</v>
      </c>
      <c r="N33" t="str">
        <f>TEXT(tblRestaurant[[#This Row],[Date]],"mmmm")</f>
        <v>January</v>
      </c>
      <c r="O33" s="12">
        <f>WEEKNUM(tblRestaurant[[#This Row],[Date]])</f>
        <v>1</v>
      </c>
      <c r="P33" s="7" t="str">
        <f>IF(OR(tblRestaurant[[#This Row],[Day]]="Sat",tblRestaurant[[#This Row],[Day]]="Sun"),"Weekend","Weekday")</f>
        <v>Weekday</v>
      </c>
      <c r="Q33" s="7" t="str">
        <f>IF(OR(tblRestaurant[[#This Row],[Day]]="Fri",tblRestaurant[[#This Row],[Day]]="Thu"),"Weekday","Weekend")</f>
        <v>Weekday</v>
      </c>
      <c r="R33" s="7" t="str">
        <f>IF(tblRestaurant[[#This Row],[Total Bill]]&lt;25,"Bronze",IF(tblRestaurant[[#This Row],[Total Bill]]&lt;50,"Silver",IF(tblRestaurant[[#This Row],[Total Bill]]&lt;75,"Gold","Platinum")))</f>
        <v>Silver</v>
      </c>
      <c r="S33" s="7" cm="1">
        <f t="array" ref="S33">_xlfn.SWITCH(tblRestaurant[[#This Row],[Revenue Tier]],"Bronze",1,"Silver",2,"Gold",3,"Platinum",4)</f>
        <v>2</v>
      </c>
      <c r="T33" s="13">
        <f>AVERAGE(tblRestaurant[[#This Row],[Total Bill]],tblRestaurant[[#This Row],[Party Size]])</f>
        <v>22.015000000000001</v>
      </c>
    </row>
    <row r="34" spans="1:20" ht="20.100000000000001" customHeight="1">
      <c r="A34">
        <v>33</v>
      </c>
      <c r="B34" s="2">
        <v>45660</v>
      </c>
      <c r="C34" t="s">
        <v>15</v>
      </c>
      <c r="D34" t="s">
        <v>10</v>
      </c>
      <c r="E34" t="s">
        <v>14</v>
      </c>
      <c r="F34">
        <v>2</v>
      </c>
      <c r="G34" s="3">
        <v>34.590000000000003</v>
      </c>
      <c r="H34" s="4">
        <v>0.15</v>
      </c>
      <c r="I34" t="b">
        <v>0</v>
      </c>
      <c r="J34" s="3">
        <f>tblRestaurant[[#This Row],[Total Bill]]*tblRestaurant[[#This Row],[Tip %]]</f>
        <v>5.1885000000000003</v>
      </c>
      <c r="K34" s="7" t="str">
        <f>IF(tblRestaurant[[#This Row],[Cash]]=TRUE,"Cash","Card")</f>
        <v>Card</v>
      </c>
      <c r="L34" s="7" t="str">
        <f>IF(tblRestaurant[[#This Row],[Total Bill]]&lt;20,"Low",IF(tblRestaurant[[#This Row],[Total Bill]]&lt;50,"Medium","High"))</f>
        <v>Medium</v>
      </c>
      <c r="M34" s="7" t="str">
        <f>IF(tblRestaurant[[#This Row],[Party Size]]&lt;=2,"Small",IF(tblRestaurant[[#This Row],[Party Size]]&lt;=4,"Medium","Large"))</f>
        <v>Small</v>
      </c>
      <c r="N34" t="str">
        <f>TEXT(tblRestaurant[[#This Row],[Date]],"mmmm")</f>
        <v>January</v>
      </c>
      <c r="O34" s="12">
        <f>WEEKNUM(tblRestaurant[[#This Row],[Date]])</f>
        <v>1</v>
      </c>
      <c r="P34" s="7" t="str">
        <f>IF(OR(tblRestaurant[[#This Row],[Day]]="Sat",tblRestaurant[[#This Row],[Day]]="Sun"),"Weekend","Weekday")</f>
        <v>Weekday</v>
      </c>
      <c r="Q34" s="7" t="str">
        <f>IF(OR(tblRestaurant[[#This Row],[Day]]="Fri",tblRestaurant[[#This Row],[Day]]="Thu"),"Weekday","Weekend")</f>
        <v>Weekday</v>
      </c>
      <c r="R34" s="7" t="str">
        <f>IF(tblRestaurant[[#This Row],[Total Bill]]&lt;25,"Bronze",IF(tblRestaurant[[#This Row],[Total Bill]]&lt;50,"Silver",IF(tblRestaurant[[#This Row],[Total Bill]]&lt;75,"Gold","Platinum")))</f>
        <v>Silver</v>
      </c>
      <c r="S34" s="7" cm="1">
        <f t="array" ref="S34">_xlfn.SWITCH(tblRestaurant[[#This Row],[Revenue Tier]],"Bronze",1,"Silver",2,"Gold",3,"Platinum",4)</f>
        <v>2</v>
      </c>
      <c r="T34" s="13">
        <f>AVERAGE(tblRestaurant[[#This Row],[Total Bill]],tblRestaurant[[#This Row],[Party Size]])</f>
        <v>18.295000000000002</v>
      </c>
    </row>
    <row r="35" spans="1:20" ht="20.100000000000001" customHeight="1">
      <c r="A35">
        <v>34</v>
      </c>
      <c r="B35" s="2">
        <v>45660</v>
      </c>
      <c r="C35" t="s">
        <v>15</v>
      </c>
      <c r="D35" t="s">
        <v>10</v>
      </c>
      <c r="E35" t="s">
        <v>12</v>
      </c>
      <c r="F35">
        <v>4</v>
      </c>
      <c r="G35" s="3">
        <v>52.89</v>
      </c>
      <c r="H35" s="4">
        <v>0.18</v>
      </c>
      <c r="I35" t="b">
        <v>0</v>
      </c>
      <c r="J35" s="3">
        <f>tblRestaurant[[#This Row],[Total Bill]]*tblRestaurant[[#This Row],[Tip %]]</f>
        <v>9.5201999999999991</v>
      </c>
      <c r="K35" s="7" t="str">
        <f>IF(tblRestaurant[[#This Row],[Cash]]=TRUE,"Cash","Card")</f>
        <v>Card</v>
      </c>
      <c r="L35" s="7" t="str">
        <f>IF(tblRestaurant[[#This Row],[Total Bill]]&lt;20,"Low",IF(tblRestaurant[[#This Row],[Total Bill]]&lt;50,"Medium","High"))</f>
        <v>High</v>
      </c>
      <c r="M35" s="7" t="str">
        <f>IF(tblRestaurant[[#This Row],[Party Size]]&lt;=2,"Small",IF(tblRestaurant[[#This Row],[Party Size]]&lt;=4,"Medium","Large"))</f>
        <v>Medium</v>
      </c>
      <c r="N35" t="str">
        <f>TEXT(tblRestaurant[[#This Row],[Date]],"mmmm")</f>
        <v>January</v>
      </c>
      <c r="O35" s="12">
        <f>WEEKNUM(tblRestaurant[[#This Row],[Date]])</f>
        <v>1</v>
      </c>
      <c r="P35" s="7" t="str">
        <f>IF(OR(tblRestaurant[[#This Row],[Day]]="Sat",tblRestaurant[[#This Row],[Day]]="Sun"),"Weekend","Weekday")</f>
        <v>Weekday</v>
      </c>
      <c r="Q35" s="7" t="str">
        <f>IF(OR(tblRestaurant[[#This Row],[Day]]="Fri",tblRestaurant[[#This Row],[Day]]="Thu"),"Weekday","Weekend")</f>
        <v>Weekday</v>
      </c>
      <c r="R35" s="7" t="str">
        <f>IF(tblRestaurant[[#This Row],[Total Bill]]&lt;25,"Bronze",IF(tblRestaurant[[#This Row],[Total Bill]]&lt;50,"Silver",IF(tblRestaurant[[#This Row],[Total Bill]]&lt;75,"Gold","Platinum")))</f>
        <v>Gold</v>
      </c>
      <c r="S35" s="7" cm="1">
        <f t="array" ref="S35">_xlfn.SWITCH(tblRestaurant[[#This Row],[Revenue Tier]],"Bronze",1,"Silver",2,"Gold",3,"Platinum",4)</f>
        <v>3</v>
      </c>
      <c r="T35" s="13">
        <f>AVERAGE(tblRestaurant[[#This Row],[Total Bill]],tblRestaurant[[#This Row],[Party Size]])</f>
        <v>28.445</v>
      </c>
    </row>
    <row r="36" spans="1:20" ht="20.100000000000001" customHeight="1">
      <c r="A36">
        <v>35</v>
      </c>
      <c r="B36" s="2">
        <v>45660</v>
      </c>
      <c r="C36" t="s">
        <v>15</v>
      </c>
      <c r="D36" t="s">
        <v>10</v>
      </c>
      <c r="E36" t="s">
        <v>14</v>
      </c>
      <c r="F36">
        <v>2</v>
      </c>
      <c r="G36" s="3">
        <v>36.22</v>
      </c>
      <c r="H36" s="4">
        <v>0.2</v>
      </c>
      <c r="I36" t="b">
        <v>1</v>
      </c>
      <c r="J36" s="3">
        <f>tblRestaurant[[#This Row],[Total Bill]]*tblRestaurant[[#This Row],[Tip %]]</f>
        <v>7.2439999999999998</v>
      </c>
      <c r="K36" s="7" t="str">
        <f>IF(tblRestaurant[[#This Row],[Cash]]=TRUE,"Cash","Card")</f>
        <v>Cash</v>
      </c>
      <c r="L36" s="7" t="str">
        <f>IF(tblRestaurant[[#This Row],[Total Bill]]&lt;20,"Low",IF(tblRestaurant[[#This Row],[Total Bill]]&lt;50,"Medium","High"))</f>
        <v>Medium</v>
      </c>
      <c r="M36" s="7" t="str">
        <f>IF(tblRestaurant[[#This Row],[Party Size]]&lt;=2,"Small",IF(tblRestaurant[[#This Row],[Party Size]]&lt;=4,"Medium","Large"))</f>
        <v>Small</v>
      </c>
      <c r="N36" t="str">
        <f>TEXT(tblRestaurant[[#This Row],[Date]],"mmmm")</f>
        <v>January</v>
      </c>
      <c r="O36" s="12">
        <f>WEEKNUM(tblRestaurant[[#This Row],[Date]])</f>
        <v>1</v>
      </c>
      <c r="P36" s="7" t="str">
        <f>IF(OR(tblRestaurant[[#This Row],[Day]]="Sat",tblRestaurant[[#This Row],[Day]]="Sun"),"Weekend","Weekday")</f>
        <v>Weekday</v>
      </c>
      <c r="Q36" s="7" t="str">
        <f>IF(OR(tblRestaurant[[#This Row],[Day]]="Fri",tblRestaurant[[#This Row],[Day]]="Thu"),"Weekday","Weekend")</f>
        <v>Weekday</v>
      </c>
      <c r="R36" s="7" t="str">
        <f>IF(tblRestaurant[[#This Row],[Total Bill]]&lt;25,"Bronze",IF(tblRestaurant[[#This Row],[Total Bill]]&lt;50,"Silver",IF(tblRestaurant[[#This Row],[Total Bill]]&lt;75,"Gold","Platinum")))</f>
        <v>Silver</v>
      </c>
      <c r="S36" s="7" cm="1">
        <f t="array" ref="S36">_xlfn.SWITCH(tblRestaurant[[#This Row],[Revenue Tier]],"Bronze",1,"Silver",2,"Gold",3,"Platinum",4)</f>
        <v>2</v>
      </c>
      <c r="T36" s="13">
        <f>AVERAGE(tblRestaurant[[#This Row],[Total Bill]],tblRestaurant[[#This Row],[Party Size]])</f>
        <v>19.11</v>
      </c>
    </row>
    <row r="37" spans="1:20" ht="20.100000000000001" customHeight="1">
      <c r="A37">
        <v>36</v>
      </c>
      <c r="B37" s="2">
        <v>45660</v>
      </c>
      <c r="C37" t="s">
        <v>15</v>
      </c>
      <c r="D37" t="s">
        <v>10</v>
      </c>
      <c r="E37" t="s">
        <v>14</v>
      </c>
      <c r="F37">
        <v>3</v>
      </c>
      <c r="G37" s="3">
        <v>36.619999999999997</v>
      </c>
      <c r="H37" s="4">
        <v>0.15</v>
      </c>
      <c r="I37" t="b">
        <v>1</v>
      </c>
      <c r="J37" s="3">
        <f>tblRestaurant[[#This Row],[Total Bill]]*tblRestaurant[[#This Row],[Tip %]]</f>
        <v>5.4929999999999994</v>
      </c>
      <c r="K37" s="7" t="str">
        <f>IF(tblRestaurant[[#This Row],[Cash]]=TRUE,"Cash","Card")</f>
        <v>Cash</v>
      </c>
      <c r="L37" s="7" t="str">
        <f>IF(tblRestaurant[[#This Row],[Total Bill]]&lt;20,"Low",IF(tblRestaurant[[#This Row],[Total Bill]]&lt;50,"Medium","High"))</f>
        <v>Medium</v>
      </c>
      <c r="M37" s="7" t="str">
        <f>IF(tblRestaurant[[#This Row],[Party Size]]&lt;=2,"Small",IF(tblRestaurant[[#This Row],[Party Size]]&lt;=4,"Medium","Large"))</f>
        <v>Medium</v>
      </c>
      <c r="N37" t="str">
        <f>TEXT(tblRestaurant[[#This Row],[Date]],"mmmm")</f>
        <v>January</v>
      </c>
      <c r="O37" s="12">
        <f>WEEKNUM(tblRestaurant[[#This Row],[Date]])</f>
        <v>1</v>
      </c>
      <c r="P37" s="7" t="str">
        <f>IF(OR(tblRestaurant[[#This Row],[Day]]="Sat",tblRestaurant[[#This Row],[Day]]="Sun"),"Weekend","Weekday")</f>
        <v>Weekday</v>
      </c>
      <c r="Q37" s="7" t="str">
        <f>IF(OR(tblRestaurant[[#This Row],[Day]]="Fri",tblRestaurant[[#This Row],[Day]]="Thu"),"Weekday","Weekend")</f>
        <v>Weekday</v>
      </c>
      <c r="R37" s="7" t="str">
        <f>IF(tblRestaurant[[#This Row],[Total Bill]]&lt;25,"Bronze",IF(tblRestaurant[[#This Row],[Total Bill]]&lt;50,"Silver",IF(tblRestaurant[[#This Row],[Total Bill]]&lt;75,"Gold","Platinum")))</f>
        <v>Silver</v>
      </c>
      <c r="S37" s="7" cm="1">
        <f t="array" ref="S37">_xlfn.SWITCH(tblRestaurant[[#This Row],[Revenue Tier]],"Bronze",1,"Silver",2,"Gold",3,"Platinum",4)</f>
        <v>2</v>
      </c>
      <c r="T37" s="13">
        <f>AVERAGE(tblRestaurant[[#This Row],[Total Bill]],tblRestaurant[[#This Row],[Party Size]])</f>
        <v>19.809999999999999</v>
      </c>
    </row>
    <row r="38" spans="1:20" ht="20.100000000000001" customHeight="1">
      <c r="A38">
        <v>37</v>
      </c>
      <c r="B38" s="2">
        <v>45660</v>
      </c>
      <c r="C38" t="s">
        <v>15</v>
      </c>
      <c r="D38" t="s">
        <v>10</v>
      </c>
      <c r="E38" t="s">
        <v>14</v>
      </c>
      <c r="F38">
        <v>3</v>
      </c>
      <c r="G38" s="3">
        <v>35.729999999999997</v>
      </c>
      <c r="H38" s="4">
        <v>0.18</v>
      </c>
      <c r="I38" t="b">
        <v>0</v>
      </c>
      <c r="J38" s="3">
        <f>tblRestaurant[[#This Row],[Total Bill]]*tblRestaurant[[#This Row],[Tip %]]</f>
        <v>6.4313999999999991</v>
      </c>
      <c r="K38" s="7" t="str">
        <f>IF(tblRestaurant[[#This Row],[Cash]]=TRUE,"Cash","Card")</f>
        <v>Card</v>
      </c>
      <c r="L38" s="7" t="str">
        <f>IF(tblRestaurant[[#This Row],[Total Bill]]&lt;20,"Low",IF(tblRestaurant[[#This Row],[Total Bill]]&lt;50,"Medium","High"))</f>
        <v>Medium</v>
      </c>
      <c r="M38" s="7" t="str">
        <f>IF(tblRestaurant[[#This Row],[Party Size]]&lt;=2,"Small",IF(tblRestaurant[[#This Row],[Party Size]]&lt;=4,"Medium","Large"))</f>
        <v>Medium</v>
      </c>
      <c r="N38" t="str">
        <f>TEXT(tblRestaurant[[#This Row],[Date]],"mmmm")</f>
        <v>January</v>
      </c>
      <c r="O38" s="12">
        <f>WEEKNUM(tblRestaurant[[#This Row],[Date]])</f>
        <v>1</v>
      </c>
      <c r="P38" s="7" t="str">
        <f>IF(OR(tblRestaurant[[#This Row],[Day]]="Sat",tblRestaurant[[#This Row],[Day]]="Sun"),"Weekend","Weekday")</f>
        <v>Weekday</v>
      </c>
      <c r="Q38" s="7" t="str">
        <f>IF(OR(tblRestaurant[[#This Row],[Day]]="Fri",tblRestaurant[[#This Row],[Day]]="Thu"),"Weekday","Weekend")</f>
        <v>Weekday</v>
      </c>
      <c r="R38" s="7" t="str">
        <f>IF(tblRestaurant[[#This Row],[Total Bill]]&lt;25,"Bronze",IF(tblRestaurant[[#This Row],[Total Bill]]&lt;50,"Silver",IF(tblRestaurant[[#This Row],[Total Bill]]&lt;75,"Gold","Platinum")))</f>
        <v>Silver</v>
      </c>
      <c r="S38" s="7" cm="1">
        <f t="array" ref="S38">_xlfn.SWITCH(tblRestaurant[[#This Row],[Revenue Tier]],"Bronze",1,"Silver",2,"Gold",3,"Platinum",4)</f>
        <v>2</v>
      </c>
      <c r="T38" s="13">
        <f>AVERAGE(tblRestaurant[[#This Row],[Total Bill]],tblRestaurant[[#This Row],[Party Size]])</f>
        <v>19.364999999999998</v>
      </c>
    </row>
    <row r="39" spans="1:20" ht="20.100000000000001" customHeight="1">
      <c r="A39">
        <v>38</v>
      </c>
      <c r="B39" s="2">
        <v>45660</v>
      </c>
      <c r="C39" t="s">
        <v>15</v>
      </c>
      <c r="D39" t="s">
        <v>10</v>
      </c>
      <c r="E39" t="s">
        <v>14</v>
      </c>
      <c r="F39">
        <v>3</v>
      </c>
      <c r="G39" s="3">
        <v>51.16</v>
      </c>
      <c r="H39" s="4">
        <v>0.18</v>
      </c>
      <c r="I39" t="b">
        <v>0</v>
      </c>
      <c r="J39" s="3">
        <f>tblRestaurant[[#This Row],[Total Bill]]*tblRestaurant[[#This Row],[Tip %]]</f>
        <v>9.2087999999999983</v>
      </c>
      <c r="K39" s="7" t="str">
        <f>IF(tblRestaurant[[#This Row],[Cash]]=TRUE,"Cash","Card")</f>
        <v>Card</v>
      </c>
      <c r="L39" s="7" t="str">
        <f>IF(tblRestaurant[[#This Row],[Total Bill]]&lt;20,"Low",IF(tblRestaurant[[#This Row],[Total Bill]]&lt;50,"Medium","High"))</f>
        <v>High</v>
      </c>
      <c r="M39" s="7" t="str">
        <f>IF(tblRestaurant[[#This Row],[Party Size]]&lt;=2,"Small",IF(tblRestaurant[[#This Row],[Party Size]]&lt;=4,"Medium","Large"))</f>
        <v>Medium</v>
      </c>
      <c r="N39" t="str">
        <f>TEXT(tblRestaurant[[#This Row],[Date]],"mmmm")</f>
        <v>January</v>
      </c>
      <c r="O39" s="12">
        <f>WEEKNUM(tblRestaurant[[#This Row],[Date]])</f>
        <v>1</v>
      </c>
      <c r="P39" s="7" t="str">
        <f>IF(OR(tblRestaurant[[#This Row],[Day]]="Sat",tblRestaurant[[#This Row],[Day]]="Sun"),"Weekend","Weekday")</f>
        <v>Weekday</v>
      </c>
      <c r="Q39" s="7" t="str">
        <f>IF(OR(tblRestaurant[[#This Row],[Day]]="Fri",tblRestaurant[[#This Row],[Day]]="Thu"),"Weekday","Weekend")</f>
        <v>Weekday</v>
      </c>
      <c r="R39" s="7" t="str">
        <f>IF(tblRestaurant[[#This Row],[Total Bill]]&lt;25,"Bronze",IF(tblRestaurant[[#This Row],[Total Bill]]&lt;50,"Silver",IF(tblRestaurant[[#This Row],[Total Bill]]&lt;75,"Gold","Platinum")))</f>
        <v>Gold</v>
      </c>
      <c r="S39" s="7" cm="1">
        <f t="array" ref="S39">_xlfn.SWITCH(tblRestaurant[[#This Row],[Revenue Tier]],"Bronze",1,"Silver",2,"Gold",3,"Platinum",4)</f>
        <v>3</v>
      </c>
      <c r="T39" s="13">
        <f>AVERAGE(tblRestaurant[[#This Row],[Total Bill]],tblRestaurant[[#This Row],[Party Size]])</f>
        <v>27.08</v>
      </c>
    </row>
    <row r="40" spans="1:20" ht="20.100000000000001" customHeight="1">
      <c r="A40">
        <v>39</v>
      </c>
      <c r="B40" s="2">
        <v>45660</v>
      </c>
      <c r="C40" t="s">
        <v>15</v>
      </c>
      <c r="D40" t="s">
        <v>10</v>
      </c>
      <c r="E40" t="s">
        <v>11</v>
      </c>
      <c r="F40">
        <v>3</v>
      </c>
      <c r="G40" s="3">
        <v>50.68</v>
      </c>
      <c r="H40" s="4">
        <v>0.2</v>
      </c>
      <c r="I40" t="b">
        <v>0</v>
      </c>
      <c r="J40" s="3">
        <f>tblRestaurant[[#This Row],[Total Bill]]*tblRestaurant[[#This Row],[Tip %]]</f>
        <v>10.136000000000001</v>
      </c>
      <c r="K40" s="7" t="str">
        <f>IF(tblRestaurant[[#This Row],[Cash]]=TRUE,"Cash","Card")</f>
        <v>Card</v>
      </c>
      <c r="L40" s="7" t="str">
        <f>IF(tblRestaurant[[#This Row],[Total Bill]]&lt;20,"Low",IF(tblRestaurant[[#This Row],[Total Bill]]&lt;50,"Medium","High"))</f>
        <v>High</v>
      </c>
      <c r="M40" s="7" t="str">
        <f>IF(tblRestaurant[[#This Row],[Party Size]]&lt;=2,"Small",IF(tblRestaurant[[#This Row],[Party Size]]&lt;=4,"Medium","Large"))</f>
        <v>Medium</v>
      </c>
      <c r="N40" t="str">
        <f>TEXT(tblRestaurant[[#This Row],[Date]],"mmmm")</f>
        <v>January</v>
      </c>
      <c r="O40" s="12">
        <f>WEEKNUM(tblRestaurant[[#This Row],[Date]])</f>
        <v>1</v>
      </c>
      <c r="P40" s="7" t="str">
        <f>IF(OR(tblRestaurant[[#This Row],[Day]]="Sat",tblRestaurant[[#This Row],[Day]]="Sun"),"Weekend","Weekday")</f>
        <v>Weekday</v>
      </c>
      <c r="Q40" s="7" t="str">
        <f>IF(OR(tblRestaurant[[#This Row],[Day]]="Fri",tblRestaurant[[#This Row],[Day]]="Thu"),"Weekday","Weekend")</f>
        <v>Weekday</v>
      </c>
      <c r="R40" s="7" t="str">
        <f>IF(tblRestaurant[[#This Row],[Total Bill]]&lt;25,"Bronze",IF(tblRestaurant[[#This Row],[Total Bill]]&lt;50,"Silver",IF(tblRestaurant[[#This Row],[Total Bill]]&lt;75,"Gold","Platinum")))</f>
        <v>Gold</v>
      </c>
      <c r="S40" s="7" cm="1">
        <f t="array" ref="S40">_xlfn.SWITCH(tblRestaurant[[#This Row],[Revenue Tier]],"Bronze",1,"Silver",2,"Gold",3,"Platinum",4)</f>
        <v>3</v>
      </c>
      <c r="T40" s="13">
        <f>AVERAGE(tblRestaurant[[#This Row],[Total Bill]],tblRestaurant[[#This Row],[Party Size]])</f>
        <v>26.84</v>
      </c>
    </row>
    <row r="41" spans="1:20" ht="20.100000000000001" customHeight="1">
      <c r="A41">
        <v>40</v>
      </c>
      <c r="B41" s="2">
        <v>45660</v>
      </c>
      <c r="C41" t="s">
        <v>15</v>
      </c>
      <c r="D41" t="s">
        <v>10</v>
      </c>
      <c r="E41" t="s">
        <v>11</v>
      </c>
      <c r="F41">
        <v>3</v>
      </c>
      <c r="G41" s="3">
        <v>37.25</v>
      </c>
      <c r="H41" s="4">
        <v>0.1</v>
      </c>
      <c r="I41" t="b">
        <v>0</v>
      </c>
      <c r="J41" s="3">
        <f>tblRestaurant[[#This Row],[Total Bill]]*tblRestaurant[[#This Row],[Tip %]]</f>
        <v>3.7250000000000001</v>
      </c>
      <c r="K41" s="7" t="str">
        <f>IF(tblRestaurant[[#This Row],[Cash]]=TRUE,"Cash","Card")</f>
        <v>Card</v>
      </c>
      <c r="L41" s="7" t="str">
        <f>IF(tblRestaurant[[#This Row],[Total Bill]]&lt;20,"Low",IF(tblRestaurant[[#This Row],[Total Bill]]&lt;50,"Medium","High"))</f>
        <v>Medium</v>
      </c>
      <c r="M41" s="7" t="str">
        <f>IF(tblRestaurant[[#This Row],[Party Size]]&lt;=2,"Small",IF(tblRestaurant[[#This Row],[Party Size]]&lt;=4,"Medium","Large"))</f>
        <v>Medium</v>
      </c>
      <c r="N41" t="str">
        <f>TEXT(tblRestaurant[[#This Row],[Date]],"mmmm")</f>
        <v>January</v>
      </c>
      <c r="O41" s="12">
        <f>WEEKNUM(tblRestaurant[[#This Row],[Date]])</f>
        <v>1</v>
      </c>
      <c r="P41" s="7" t="str">
        <f>IF(OR(tblRestaurant[[#This Row],[Day]]="Sat",tblRestaurant[[#This Row],[Day]]="Sun"),"Weekend","Weekday")</f>
        <v>Weekday</v>
      </c>
      <c r="Q41" s="7" t="str">
        <f>IF(OR(tblRestaurant[[#This Row],[Day]]="Fri",tblRestaurant[[#This Row],[Day]]="Thu"),"Weekday","Weekend")</f>
        <v>Weekday</v>
      </c>
      <c r="R41" s="7" t="str">
        <f>IF(tblRestaurant[[#This Row],[Total Bill]]&lt;25,"Bronze",IF(tblRestaurant[[#This Row],[Total Bill]]&lt;50,"Silver",IF(tblRestaurant[[#This Row],[Total Bill]]&lt;75,"Gold","Platinum")))</f>
        <v>Silver</v>
      </c>
      <c r="S41" s="7" cm="1">
        <f t="array" ref="S41">_xlfn.SWITCH(tblRestaurant[[#This Row],[Revenue Tier]],"Bronze",1,"Silver",2,"Gold",3,"Platinum",4)</f>
        <v>2</v>
      </c>
      <c r="T41" s="13">
        <f>AVERAGE(tblRestaurant[[#This Row],[Total Bill]],tblRestaurant[[#This Row],[Party Size]])</f>
        <v>20.125</v>
      </c>
    </row>
    <row r="42" spans="1:20" ht="20.100000000000001" customHeight="1">
      <c r="A42">
        <v>41</v>
      </c>
      <c r="B42" s="2">
        <v>45660</v>
      </c>
      <c r="C42" t="s">
        <v>15</v>
      </c>
      <c r="D42" t="s">
        <v>10</v>
      </c>
      <c r="E42" t="s">
        <v>14</v>
      </c>
      <c r="F42">
        <v>3</v>
      </c>
      <c r="G42" s="3">
        <v>22.38</v>
      </c>
      <c r="H42" s="4">
        <v>0.15</v>
      </c>
      <c r="I42" t="b">
        <v>0</v>
      </c>
      <c r="J42" s="3">
        <f>tblRestaurant[[#This Row],[Total Bill]]*tblRestaurant[[#This Row],[Tip %]]</f>
        <v>3.3569999999999998</v>
      </c>
      <c r="K42" s="7" t="str">
        <f>IF(tblRestaurant[[#This Row],[Cash]]=TRUE,"Cash","Card")</f>
        <v>Card</v>
      </c>
      <c r="L42" s="7" t="str">
        <f>IF(tblRestaurant[[#This Row],[Total Bill]]&lt;20,"Low",IF(tblRestaurant[[#This Row],[Total Bill]]&lt;50,"Medium","High"))</f>
        <v>Medium</v>
      </c>
      <c r="M42" s="7" t="str">
        <f>IF(tblRestaurant[[#This Row],[Party Size]]&lt;=2,"Small",IF(tblRestaurant[[#This Row],[Party Size]]&lt;=4,"Medium","Large"))</f>
        <v>Medium</v>
      </c>
      <c r="N42" t="str">
        <f>TEXT(tblRestaurant[[#This Row],[Date]],"mmmm")</f>
        <v>January</v>
      </c>
      <c r="O42" s="12">
        <f>WEEKNUM(tblRestaurant[[#This Row],[Date]])</f>
        <v>1</v>
      </c>
      <c r="P42" s="7" t="str">
        <f>IF(OR(tblRestaurant[[#This Row],[Day]]="Sat",tblRestaurant[[#This Row],[Day]]="Sun"),"Weekend","Weekday")</f>
        <v>Weekday</v>
      </c>
      <c r="Q42" s="7" t="str">
        <f>IF(OR(tblRestaurant[[#This Row],[Day]]="Fri",tblRestaurant[[#This Row],[Day]]="Thu"),"Weekday","Weekend")</f>
        <v>Weekday</v>
      </c>
      <c r="R42" s="7" t="str">
        <f>IF(tblRestaurant[[#This Row],[Total Bill]]&lt;25,"Bronze",IF(tblRestaurant[[#This Row],[Total Bill]]&lt;50,"Silver",IF(tblRestaurant[[#This Row],[Total Bill]]&lt;75,"Gold","Platinum")))</f>
        <v>Bronze</v>
      </c>
      <c r="S42" s="7" cm="1">
        <f t="array" ref="S42">_xlfn.SWITCH(tblRestaurant[[#This Row],[Revenue Tier]],"Bronze",1,"Silver",2,"Gold",3,"Platinum",4)</f>
        <v>1</v>
      </c>
      <c r="T42" s="13">
        <f>AVERAGE(tblRestaurant[[#This Row],[Total Bill]],tblRestaurant[[#This Row],[Party Size]])</f>
        <v>12.69</v>
      </c>
    </row>
    <row r="43" spans="1:20" ht="20.100000000000001" customHeight="1">
      <c r="A43">
        <v>42</v>
      </c>
      <c r="B43" s="2">
        <v>45661</v>
      </c>
      <c r="C43" t="s">
        <v>16</v>
      </c>
      <c r="D43" t="s">
        <v>10</v>
      </c>
      <c r="E43" t="s">
        <v>14</v>
      </c>
      <c r="F43">
        <v>2</v>
      </c>
      <c r="G43" s="3">
        <v>23.16</v>
      </c>
      <c r="H43" s="4">
        <v>0.2</v>
      </c>
      <c r="I43" t="b">
        <v>1</v>
      </c>
      <c r="J43" s="3">
        <f>tblRestaurant[[#This Row],[Total Bill]]*tblRestaurant[[#This Row],[Tip %]]</f>
        <v>4.6320000000000006</v>
      </c>
      <c r="K43" s="7" t="str">
        <f>IF(tblRestaurant[[#This Row],[Cash]]=TRUE,"Cash","Card")</f>
        <v>Cash</v>
      </c>
      <c r="L43" s="7" t="str">
        <f>IF(tblRestaurant[[#This Row],[Total Bill]]&lt;20,"Low",IF(tblRestaurant[[#This Row],[Total Bill]]&lt;50,"Medium","High"))</f>
        <v>Medium</v>
      </c>
      <c r="M43" s="7" t="str">
        <f>IF(tblRestaurant[[#This Row],[Party Size]]&lt;=2,"Small",IF(tblRestaurant[[#This Row],[Party Size]]&lt;=4,"Medium","Large"))</f>
        <v>Small</v>
      </c>
      <c r="N43" t="str">
        <f>TEXT(tblRestaurant[[#This Row],[Date]],"mmmm")</f>
        <v>January</v>
      </c>
      <c r="O43" s="12">
        <f>WEEKNUM(tblRestaurant[[#This Row],[Date]])</f>
        <v>1</v>
      </c>
      <c r="P43" s="7" t="str">
        <f>IF(OR(tblRestaurant[[#This Row],[Day]]="Sat",tblRestaurant[[#This Row],[Day]]="Sun"),"Weekend","Weekday")</f>
        <v>Weekend</v>
      </c>
      <c r="Q43" s="7" t="str">
        <f>IF(OR(tblRestaurant[[#This Row],[Day]]="Fri",tblRestaurant[[#This Row],[Day]]="Thu"),"Weekday","Weekend")</f>
        <v>Weekend</v>
      </c>
      <c r="R43" s="7" t="str">
        <f>IF(tblRestaurant[[#This Row],[Total Bill]]&lt;25,"Bronze",IF(tblRestaurant[[#This Row],[Total Bill]]&lt;50,"Silver",IF(tblRestaurant[[#This Row],[Total Bill]]&lt;75,"Gold","Platinum")))</f>
        <v>Bronze</v>
      </c>
      <c r="S43" s="7" cm="1">
        <f t="array" ref="S43">_xlfn.SWITCH(tblRestaurant[[#This Row],[Revenue Tier]],"Bronze",1,"Silver",2,"Gold",3,"Platinum",4)</f>
        <v>1</v>
      </c>
      <c r="T43" s="13">
        <f>AVERAGE(tblRestaurant[[#This Row],[Total Bill]],tblRestaurant[[#This Row],[Party Size]])</f>
        <v>12.58</v>
      </c>
    </row>
    <row r="44" spans="1:20" ht="20.100000000000001" customHeight="1">
      <c r="A44">
        <v>43</v>
      </c>
      <c r="B44" s="2">
        <v>45661</v>
      </c>
      <c r="C44" t="s">
        <v>16</v>
      </c>
      <c r="D44" t="s">
        <v>10</v>
      </c>
      <c r="E44" t="s">
        <v>12</v>
      </c>
      <c r="F44">
        <v>2</v>
      </c>
      <c r="G44" s="3">
        <v>19.46</v>
      </c>
      <c r="H44" s="4">
        <v>0.1</v>
      </c>
      <c r="I44" t="b">
        <v>1</v>
      </c>
      <c r="J44" s="3">
        <f>tblRestaurant[[#This Row],[Total Bill]]*tblRestaurant[[#This Row],[Tip %]]</f>
        <v>1.9460000000000002</v>
      </c>
      <c r="K44" s="7" t="str">
        <f>IF(tblRestaurant[[#This Row],[Cash]]=TRUE,"Cash","Card")</f>
        <v>Cash</v>
      </c>
      <c r="L44" s="7" t="str">
        <f>IF(tblRestaurant[[#This Row],[Total Bill]]&lt;20,"Low",IF(tblRestaurant[[#This Row],[Total Bill]]&lt;50,"Medium","High"))</f>
        <v>Low</v>
      </c>
      <c r="M44" s="7" t="str">
        <f>IF(tblRestaurant[[#This Row],[Party Size]]&lt;=2,"Small",IF(tblRestaurant[[#This Row],[Party Size]]&lt;=4,"Medium","Large"))</f>
        <v>Small</v>
      </c>
      <c r="N44" t="str">
        <f>TEXT(tblRestaurant[[#This Row],[Date]],"mmmm")</f>
        <v>January</v>
      </c>
      <c r="O44" s="12">
        <f>WEEKNUM(tblRestaurant[[#This Row],[Date]])</f>
        <v>1</v>
      </c>
      <c r="P44" s="7" t="str">
        <f>IF(OR(tblRestaurant[[#This Row],[Day]]="Sat",tblRestaurant[[#This Row],[Day]]="Sun"),"Weekend","Weekday")</f>
        <v>Weekend</v>
      </c>
      <c r="Q44" s="7" t="str">
        <f>IF(OR(tblRestaurant[[#This Row],[Day]]="Fri",tblRestaurant[[#This Row],[Day]]="Thu"),"Weekday","Weekend")</f>
        <v>Weekend</v>
      </c>
      <c r="R44" s="7" t="str">
        <f>IF(tblRestaurant[[#This Row],[Total Bill]]&lt;25,"Bronze",IF(tblRestaurant[[#This Row],[Total Bill]]&lt;50,"Silver",IF(tblRestaurant[[#This Row],[Total Bill]]&lt;75,"Gold","Platinum")))</f>
        <v>Bronze</v>
      </c>
      <c r="S44" s="7" cm="1">
        <f t="array" ref="S44">_xlfn.SWITCH(tblRestaurant[[#This Row],[Revenue Tier]],"Bronze",1,"Silver",2,"Gold",3,"Platinum",4)</f>
        <v>1</v>
      </c>
      <c r="T44" s="13">
        <f>AVERAGE(tblRestaurant[[#This Row],[Total Bill]],tblRestaurant[[#This Row],[Party Size]])</f>
        <v>10.73</v>
      </c>
    </row>
    <row r="45" spans="1:20" ht="20.100000000000001" customHeight="1">
      <c r="A45">
        <v>44</v>
      </c>
      <c r="B45" s="2">
        <v>45661</v>
      </c>
      <c r="C45" t="s">
        <v>16</v>
      </c>
      <c r="D45" t="s">
        <v>10</v>
      </c>
      <c r="E45" t="s">
        <v>11</v>
      </c>
      <c r="F45">
        <v>2</v>
      </c>
      <c r="G45" s="3">
        <v>27.81</v>
      </c>
      <c r="H45" s="4">
        <v>0.25</v>
      </c>
      <c r="I45" t="b">
        <v>1</v>
      </c>
      <c r="J45" s="3">
        <f>tblRestaurant[[#This Row],[Total Bill]]*tblRestaurant[[#This Row],[Tip %]]</f>
        <v>6.9524999999999997</v>
      </c>
      <c r="K45" s="7" t="str">
        <f>IF(tblRestaurant[[#This Row],[Cash]]=TRUE,"Cash","Card")</f>
        <v>Cash</v>
      </c>
      <c r="L45" s="7" t="str">
        <f>IF(tblRestaurant[[#This Row],[Total Bill]]&lt;20,"Low",IF(tblRestaurant[[#This Row],[Total Bill]]&lt;50,"Medium","High"))</f>
        <v>Medium</v>
      </c>
      <c r="M45" s="7" t="str">
        <f>IF(tblRestaurant[[#This Row],[Party Size]]&lt;=2,"Small",IF(tblRestaurant[[#This Row],[Party Size]]&lt;=4,"Medium","Large"))</f>
        <v>Small</v>
      </c>
      <c r="N45" t="str">
        <f>TEXT(tblRestaurant[[#This Row],[Date]],"mmmm")</f>
        <v>January</v>
      </c>
      <c r="O45" s="12">
        <f>WEEKNUM(tblRestaurant[[#This Row],[Date]])</f>
        <v>1</v>
      </c>
      <c r="P45" s="7" t="str">
        <f>IF(OR(tblRestaurant[[#This Row],[Day]]="Sat",tblRestaurant[[#This Row],[Day]]="Sun"),"Weekend","Weekday")</f>
        <v>Weekend</v>
      </c>
      <c r="Q45" s="7" t="str">
        <f>IF(OR(tblRestaurant[[#This Row],[Day]]="Fri",tblRestaurant[[#This Row],[Day]]="Thu"),"Weekday","Weekend")</f>
        <v>Weekend</v>
      </c>
      <c r="R45" s="7" t="str">
        <f>IF(tblRestaurant[[#This Row],[Total Bill]]&lt;25,"Bronze",IF(tblRestaurant[[#This Row],[Total Bill]]&lt;50,"Silver",IF(tblRestaurant[[#This Row],[Total Bill]]&lt;75,"Gold","Platinum")))</f>
        <v>Silver</v>
      </c>
      <c r="S45" s="7" cm="1">
        <f t="array" ref="S45">_xlfn.SWITCH(tblRestaurant[[#This Row],[Revenue Tier]],"Bronze",1,"Silver",2,"Gold",3,"Platinum",4)</f>
        <v>2</v>
      </c>
      <c r="T45" s="13">
        <f>AVERAGE(tblRestaurant[[#This Row],[Total Bill]],tblRestaurant[[#This Row],[Party Size]])</f>
        <v>14.904999999999999</v>
      </c>
    </row>
    <row r="46" spans="1:20" ht="20.100000000000001" customHeight="1">
      <c r="A46">
        <v>45</v>
      </c>
      <c r="B46" s="2">
        <v>45661</v>
      </c>
      <c r="C46" t="s">
        <v>16</v>
      </c>
      <c r="D46" t="s">
        <v>10</v>
      </c>
      <c r="E46" t="s">
        <v>12</v>
      </c>
      <c r="F46">
        <v>4</v>
      </c>
      <c r="G46" s="3">
        <v>52.87</v>
      </c>
      <c r="H46" s="4">
        <v>0.18</v>
      </c>
      <c r="I46" t="b">
        <v>0</v>
      </c>
      <c r="J46" s="3">
        <f>tblRestaurant[[#This Row],[Total Bill]]*tblRestaurant[[#This Row],[Tip %]]</f>
        <v>9.5165999999999986</v>
      </c>
      <c r="K46" s="7" t="str">
        <f>IF(tblRestaurant[[#This Row],[Cash]]=TRUE,"Cash","Card")</f>
        <v>Card</v>
      </c>
      <c r="L46" s="7" t="str">
        <f>IF(tblRestaurant[[#This Row],[Total Bill]]&lt;20,"Low",IF(tblRestaurant[[#This Row],[Total Bill]]&lt;50,"Medium","High"))</f>
        <v>High</v>
      </c>
      <c r="M46" s="7" t="str">
        <f>IF(tblRestaurant[[#This Row],[Party Size]]&lt;=2,"Small",IF(tblRestaurant[[#This Row],[Party Size]]&lt;=4,"Medium","Large"))</f>
        <v>Medium</v>
      </c>
      <c r="N46" t="str">
        <f>TEXT(tblRestaurant[[#This Row],[Date]],"mmmm")</f>
        <v>January</v>
      </c>
      <c r="O46" s="12">
        <f>WEEKNUM(tblRestaurant[[#This Row],[Date]])</f>
        <v>1</v>
      </c>
      <c r="P46" s="7" t="str">
        <f>IF(OR(tblRestaurant[[#This Row],[Day]]="Sat",tblRestaurant[[#This Row],[Day]]="Sun"),"Weekend","Weekday")</f>
        <v>Weekend</v>
      </c>
      <c r="Q46" s="7" t="str">
        <f>IF(OR(tblRestaurant[[#This Row],[Day]]="Fri",tblRestaurant[[#This Row],[Day]]="Thu"),"Weekday","Weekend")</f>
        <v>Weekend</v>
      </c>
      <c r="R46" s="7" t="str">
        <f>IF(tblRestaurant[[#This Row],[Total Bill]]&lt;25,"Bronze",IF(tblRestaurant[[#This Row],[Total Bill]]&lt;50,"Silver",IF(tblRestaurant[[#This Row],[Total Bill]]&lt;75,"Gold","Platinum")))</f>
        <v>Gold</v>
      </c>
      <c r="S46" s="7" cm="1">
        <f t="array" ref="S46">_xlfn.SWITCH(tblRestaurant[[#This Row],[Revenue Tier]],"Bronze",1,"Silver",2,"Gold",3,"Platinum",4)</f>
        <v>3</v>
      </c>
      <c r="T46" s="13">
        <f>AVERAGE(tblRestaurant[[#This Row],[Total Bill]],tblRestaurant[[#This Row],[Party Size]])</f>
        <v>28.434999999999999</v>
      </c>
    </row>
    <row r="47" spans="1:20" ht="20.100000000000001" customHeight="1">
      <c r="A47">
        <v>46</v>
      </c>
      <c r="B47" s="2">
        <v>45661</v>
      </c>
      <c r="C47" t="s">
        <v>16</v>
      </c>
      <c r="D47" t="s">
        <v>10</v>
      </c>
      <c r="E47" t="s">
        <v>12</v>
      </c>
      <c r="F47">
        <v>2</v>
      </c>
      <c r="G47" s="3">
        <v>19.23</v>
      </c>
      <c r="H47" s="4">
        <v>0.2</v>
      </c>
      <c r="I47" t="b">
        <v>0</v>
      </c>
      <c r="J47" s="3">
        <f>tblRestaurant[[#This Row],[Total Bill]]*tblRestaurant[[#This Row],[Tip %]]</f>
        <v>3.8460000000000001</v>
      </c>
      <c r="K47" s="7" t="str">
        <f>IF(tblRestaurant[[#This Row],[Cash]]=TRUE,"Cash","Card")</f>
        <v>Card</v>
      </c>
      <c r="L47" s="7" t="str">
        <f>IF(tblRestaurant[[#This Row],[Total Bill]]&lt;20,"Low",IF(tblRestaurant[[#This Row],[Total Bill]]&lt;50,"Medium","High"))</f>
        <v>Low</v>
      </c>
      <c r="M47" s="7" t="str">
        <f>IF(tblRestaurant[[#This Row],[Party Size]]&lt;=2,"Small",IF(tblRestaurant[[#This Row],[Party Size]]&lt;=4,"Medium","Large"))</f>
        <v>Small</v>
      </c>
      <c r="N47" t="str">
        <f>TEXT(tblRestaurant[[#This Row],[Date]],"mmmm")</f>
        <v>January</v>
      </c>
      <c r="O47" s="12">
        <f>WEEKNUM(tblRestaurant[[#This Row],[Date]])</f>
        <v>1</v>
      </c>
      <c r="P47" s="7" t="str">
        <f>IF(OR(tblRestaurant[[#This Row],[Day]]="Sat",tblRestaurant[[#This Row],[Day]]="Sun"),"Weekend","Weekday")</f>
        <v>Weekend</v>
      </c>
      <c r="Q47" s="7" t="str">
        <f>IF(OR(tblRestaurant[[#This Row],[Day]]="Fri",tblRestaurant[[#This Row],[Day]]="Thu"),"Weekday","Weekend")</f>
        <v>Weekend</v>
      </c>
      <c r="R47" s="7" t="str">
        <f>IF(tblRestaurant[[#This Row],[Total Bill]]&lt;25,"Bronze",IF(tblRestaurant[[#This Row],[Total Bill]]&lt;50,"Silver",IF(tblRestaurant[[#This Row],[Total Bill]]&lt;75,"Gold","Platinum")))</f>
        <v>Bronze</v>
      </c>
      <c r="S47" s="7" cm="1">
        <f t="array" ref="S47">_xlfn.SWITCH(tblRestaurant[[#This Row],[Revenue Tier]],"Bronze",1,"Silver",2,"Gold",3,"Platinum",4)</f>
        <v>1</v>
      </c>
      <c r="T47" s="13">
        <f>AVERAGE(tblRestaurant[[#This Row],[Total Bill]],tblRestaurant[[#This Row],[Party Size]])</f>
        <v>10.615</v>
      </c>
    </row>
    <row r="48" spans="1:20" ht="20.100000000000001" customHeight="1">
      <c r="A48">
        <v>47</v>
      </c>
      <c r="B48" s="2">
        <v>45661</v>
      </c>
      <c r="C48" t="s">
        <v>16</v>
      </c>
      <c r="D48" t="s">
        <v>10</v>
      </c>
      <c r="E48" t="s">
        <v>12</v>
      </c>
      <c r="F48">
        <v>2</v>
      </c>
      <c r="G48" s="3">
        <v>28.09</v>
      </c>
      <c r="H48" s="4">
        <v>0.2</v>
      </c>
      <c r="I48" t="b">
        <v>0</v>
      </c>
      <c r="J48" s="3">
        <f>tblRestaurant[[#This Row],[Total Bill]]*tblRestaurant[[#This Row],[Tip %]]</f>
        <v>5.6180000000000003</v>
      </c>
      <c r="K48" s="7" t="str">
        <f>IF(tblRestaurant[[#This Row],[Cash]]=TRUE,"Cash","Card")</f>
        <v>Card</v>
      </c>
      <c r="L48" s="7" t="str">
        <f>IF(tblRestaurant[[#This Row],[Total Bill]]&lt;20,"Low",IF(tblRestaurant[[#This Row],[Total Bill]]&lt;50,"Medium","High"))</f>
        <v>Medium</v>
      </c>
      <c r="M48" s="7" t="str">
        <f>IF(tblRestaurant[[#This Row],[Party Size]]&lt;=2,"Small",IF(tblRestaurant[[#This Row],[Party Size]]&lt;=4,"Medium","Large"))</f>
        <v>Small</v>
      </c>
      <c r="N48" t="str">
        <f>TEXT(tblRestaurant[[#This Row],[Date]],"mmmm")</f>
        <v>January</v>
      </c>
      <c r="O48" s="12">
        <f>WEEKNUM(tblRestaurant[[#This Row],[Date]])</f>
        <v>1</v>
      </c>
      <c r="P48" s="7" t="str">
        <f>IF(OR(tblRestaurant[[#This Row],[Day]]="Sat",tblRestaurant[[#This Row],[Day]]="Sun"),"Weekend","Weekday")</f>
        <v>Weekend</v>
      </c>
      <c r="Q48" s="7" t="str">
        <f>IF(OR(tblRestaurant[[#This Row],[Day]]="Fri",tblRestaurant[[#This Row],[Day]]="Thu"),"Weekday","Weekend")</f>
        <v>Weekend</v>
      </c>
      <c r="R48" s="7" t="str">
        <f>IF(tblRestaurant[[#This Row],[Total Bill]]&lt;25,"Bronze",IF(tblRestaurant[[#This Row],[Total Bill]]&lt;50,"Silver",IF(tblRestaurant[[#This Row],[Total Bill]]&lt;75,"Gold","Platinum")))</f>
        <v>Silver</v>
      </c>
      <c r="S48" s="7" cm="1">
        <f t="array" ref="S48">_xlfn.SWITCH(tblRestaurant[[#This Row],[Revenue Tier]],"Bronze",1,"Silver",2,"Gold",3,"Platinum",4)</f>
        <v>2</v>
      </c>
      <c r="T48" s="13">
        <f>AVERAGE(tblRestaurant[[#This Row],[Total Bill]],tblRestaurant[[#This Row],[Party Size]])</f>
        <v>15.045</v>
      </c>
    </row>
    <row r="49" spans="1:20" ht="20.100000000000001" customHeight="1">
      <c r="A49">
        <v>48</v>
      </c>
      <c r="B49" s="2">
        <v>45661</v>
      </c>
      <c r="C49" t="s">
        <v>16</v>
      </c>
      <c r="D49" t="s">
        <v>10</v>
      </c>
      <c r="E49" t="s">
        <v>13</v>
      </c>
      <c r="F49">
        <v>4</v>
      </c>
      <c r="G49" s="3">
        <v>67.22</v>
      </c>
      <c r="H49" s="4">
        <v>0.15</v>
      </c>
      <c r="I49" t="b">
        <v>1</v>
      </c>
      <c r="J49" s="3">
        <f>tblRestaurant[[#This Row],[Total Bill]]*tblRestaurant[[#This Row],[Tip %]]</f>
        <v>10.083</v>
      </c>
      <c r="K49" s="7" t="str">
        <f>IF(tblRestaurant[[#This Row],[Cash]]=TRUE,"Cash","Card")</f>
        <v>Cash</v>
      </c>
      <c r="L49" s="7" t="str">
        <f>IF(tblRestaurant[[#This Row],[Total Bill]]&lt;20,"Low",IF(tblRestaurant[[#This Row],[Total Bill]]&lt;50,"Medium","High"))</f>
        <v>High</v>
      </c>
      <c r="M49" s="7" t="str">
        <f>IF(tblRestaurant[[#This Row],[Party Size]]&lt;=2,"Small",IF(tblRestaurant[[#This Row],[Party Size]]&lt;=4,"Medium","Large"))</f>
        <v>Medium</v>
      </c>
      <c r="N49" t="str">
        <f>TEXT(tblRestaurant[[#This Row],[Date]],"mmmm")</f>
        <v>January</v>
      </c>
      <c r="O49" s="12">
        <f>WEEKNUM(tblRestaurant[[#This Row],[Date]])</f>
        <v>1</v>
      </c>
      <c r="P49" s="7" t="str">
        <f>IF(OR(tblRestaurant[[#This Row],[Day]]="Sat",tblRestaurant[[#This Row],[Day]]="Sun"),"Weekend","Weekday")</f>
        <v>Weekend</v>
      </c>
      <c r="Q49" s="7" t="str">
        <f>IF(OR(tblRestaurant[[#This Row],[Day]]="Fri",tblRestaurant[[#This Row],[Day]]="Thu"),"Weekday","Weekend")</f>
        <v>Weekend</v>
      </c>
      <c r="R49" s="7" t="str">
        <f>IF(tblRestaurant[[#This Row],[Total Bill]]&lt;25,"Bronze",IF(tblRestaurant[[#This Row],[Total Bill]]&lt;50,"Silver",IF(tblRestaurant[[#This Row],[Total Bill]]&lt;75,"Gold","Platinum")))</f>
        <v>Gold</v>
      </c>
      <c r="S49" s="7" cm="1">
        <f t="array" ref="S49">_xlfn.SWITCH(tblRestaurant[[#This Row],[Revenue Tier]],"Bronze",1,"Silver",2,"Gold",3,"Platinum",4)</f>
        <v>3</v>
      </c>
      <c r="T49" s="13">
        <f>AVERAGE(tblRestaurant[[#This Row],[Total Bill]],tblRestaurant[[#This Row],[Party Size]])</f>
        <v>35.61</v>
      </c>
    </row>
    <row r="50" spans="1:20" ht="20.100000000000001" customHeight="1">
      <c r="A50">
        <v>49</v>
      </c>
      <c r="B50" s="2">
        <v>45661</v>
      </c>
      <c r="C50" t="s">
        <v>16</v>
      </c>
      <c r="D50" t="s">
        <v>10</v>
      </c>
      <c r="E50" t="s">
        <v>12</v>
      </c>
      <c r="F50">
        <v>3</v>
      </c>
      <c r="G50" s="3">
        <v>17.649999999999999</v>
      </c>
      <c r="H50" s="4">
        <v>0.15</v>
      </c>
      <c r="I50" t="b">
        <v>0</v>
      </c>
      <c r="J50" s="3">
        <f>tblRestaurant[[#This Row],[Total Bill]]*tblRestaurant[[#This Row],[Tip %]]</f>
        <v>2.6474999999999995</v>
      </c>
      <c r="K50" s="7" t="str">
        <f>IF(tblRestaurant[[#This Row],[Cash]]=TRUE,"Cash","Card")</f>
        <v>Card</v>
      </c>
      <c r="L50" s="7" t="str">
        <f>IF(tblRestaurant[[#This Row],[Total Bill]]&lt;20,"Low",IF(tblRestaurant[[#This Row],[Total Bill]]&lt;50,"Medium","High"))</f>
        <v>Low</v>
      </c>
      <c r="M50" s="7" t="str">
        <f>IF(tblRestaurant[[#This Row],[Party Size]]&lt;=2,"Small",IF(tblRestaurant[[#This Row],[Party Size]]&lt;=4,"Medium","Large"))</f>
        <v>Medium</v>
      </c>
      <c r="N50" t="str">
        <f>TEXT(tblRestaurant[[#This Row],[Date]],"mmmm")</f>
        <v>January</v>
      </c>
      <c r="O50" s="12">
        <f>WEEKNUM(tblRestaurant[[#This Row],[Date]])</f>
        <v>1</v>
      </c>
      <c r="P50" s="7" t="str">
        <f>IF(OR(tblRestaurant[[#This Row],[Day]]="Sat",tblRestaurant[[#This Row],[Day]]="Sun"),"Weekend","Weekday")</f>
        <v>Weekend</v>
      </c>
      <c r="Q50" s="7" t="str">
        <f>IF(OR(tblRestaurant[[#This Row],[Day]]="Fri",tblRestaurant[[#This Row],[Day]]="Thu"),"Weekday","Weekend")</f>
        <v>Weekend</v>
      </c>
      <c r="R50" s="7" t="str">
        <f>IF(tblRestaurant[[#This Row],[Total Bill]]&lt;25,"Bronze",IF(tblRestaurant[[#This Row],[Total Bill]]&lt;50,"Silver",IF(tblRestaurant[[#This Row],[Total Bill]]&lt;75,"Gold","Platinum")))</f>
        <v>Bronze</v>
      </c>
      <c r="S50" s="7" cm="1">
        <f t="array" ref="S50">_xlfn.SWITCH(tblRestaurant[[#This Row],[Revenue Tier]],"Bronze",1,"Silver",2,"Gold",3,"Platinum",4)</f>
        <v>1</v>
      </c>
      <c r="T50" s="13">
        <f>AVERAGE(tblRestaurant[[#This Row],[Total Bill]],tblRestaurant[[#This Row],[Party Size]])</f>
        <v>10.324999999999999</v>
      </c>
    </row>
    <row r="51" spans="1:20" ht="20.100000000000001" customHeight="1">
      <c r="A51">
        <v>50</v>
      </c>
      <c r="B51" s="2">
        <v>45661</v>
      </c>
      <c r="C51" t="s">
        <v>16</v>
      </c>
      <c r="D51" t="s">
        <v>10</v>
      </c>
      <c r="E51" t="s">
        <v>14</v>
      </c>
      <c r="F51">
        <v>2</v>
      </c>
      <c r="G51" s="3">
        <v>20.77</v>
      </c>
      <c r="H51" s="4">
        <v>0.2</v>
      </c>
      <c r="I51" t="b">
        <v>0</v>
      </c>
      <c r="J51" s="3">
        <f>tblRestaurant[[#This Row],[Total Bill]]*tblRestaurant[[#This Row],[Tip %]]</f>
        <v>4.1539999999999999</v>
      </c>
      <c r="K51" s="7" t="str">
        <f>IF(tblRestaurant[[#This Row],[Cash]]=TRUE,"Cash","Card")</f>
        <v>Card</v>
      </c>
      <c r="L51" s="7" t="str">
        <f>IF(tblRestaurant[[#This Row],[Total Bill]]&lt;20,"Low",IF(tblRestaurant[[#This Row],[Total Bill]]&lt;50,"Medium","High"))</f>
        <v>Medium</v>
      </c>
      <c r="M51" s="7" t="str">
        <f>IF(tblRestaurant[[#This Row],[Party Size]]&lt;=2,"Small",IF(tblRestaurant[[#This Row],[Party Size]]&lt;=4,"Medium","Large"))</f>
        <v>Small</v>
      </c>
      <c r="N51" t="str">
        <f>TEXT(tblRestaurant[[#This Row],[Date]],"mmmm")</f>
        <v>January</v>
      </c>
      <c r="O51" s="12">
        <f>WEEKNUM(tblRestaurant[[#This Row],[Date]])</f>
        <v>1</v>
      </c>
      <c r="P51" s="7" t="str">
        <f>IF(OR(tblRestaurant[[#This Row],[Day]]="Sat",tblRestaurant[[#This Row],[Day]]="Sun"),"Weekend","Weekday")</f>
        <v>Weekend</v>
      </c>
      <c r="Q51" s="7" t="str">
        <f>IF(OR(tblRestaurant[[#This Row],[Day]]="Fri",tblRestaurant[[#This Row],[Day]]="Thu"),"Weekday","Weekend")</f>
        <v>Weekend</v>
      </c>
      <c r="R51" s="7" t="str">
        <f>IF(tblRestaurant[[#This Row],[Total Bill]]&lt;25,"Bronze",IF(tblRestaurant[[#This Row],[Total Bill]]&lt;50,"Silver",IF(tblRestaurant[[#This Row],[Total Bill]]&lt;75,"Gold","Platinum")))</f>
        <v>Bronze</v>
      </c>
      <c r="S51" s="7" cm="1">
        <f t="array" ref="S51">_xlfn.SWITCH(tblRestaurant[[#This Row],[Revenue Tier]],"Bronze",1,"Silver",2,"Gold",3,"Platinum",4)</f>
        <v>1</v>
      </c>
      <c r="T51" s="13">
        <f>AVERAGE(tblRestaurant[[#This Row],[Total Bill]],tblRestaurant[[#This Row],[Party Size]])</f>
        <v>11.385</v>
      </c>
    </row>
    <row r="52" spans="1:20" ht="20.100000000000001" customHeight="1">
      <c r="A52">
        <v>51</v>
      </c>
      <c r="B52" s="2">
        <v>45661</v>
      </c>
      <c r="C52" t="s">
        <v>16</v>
      </c>
      <c r="D52" t="s">
        <v>10</v>
      </c>
      <c r="E52" t="s">
        <v>12</v>
      </c>
      <c r="F52">
        <v>2</v>
      </c>
      <c r="G52" s="3">
        <v>22.38</v>
      </c>
      <c r="H52" s="4">
        <v>0.15</v>
      </c>
      <c r="I52" t="b">
        <v>0</v>
      </c>
      <c r="J52" s="3">
        <f>tblRestaurant[[#This Row],[Total Bill]]*tblRestaurant[[#This Row],[Tip %]]</f>
        <v>3.3569999999999998</v>
      </c>
      <c r="K52" s="7" t="str">
        <f>IF(tblRestaurant[[#This Row],[Cash]]=TRUE,"Cash","Card")</f>
        <v>Card</v>
      </c>
      <c r="L52" s="7" t="str">
        <f>IF(tblRestaurant[[#This Row],[Total Bill]]&lt;20,"Low",IF(tblRestaurant[[#This Row],[Total Bill]]&lt;50,"Medium","High"))</f>
        <v>Medium</v>
      </c>
      <c r="M52" s="7" t="str">
        <f>IF(tblRestaurant[[#This Row],[Party Size]]&lt;=2,"Small",IF(tblRestaurant[[#This Row],[Party Size]]&lt;=4,"Medium","Large"))</f>
        <v>Small</v>
      </c>
      <c r="N52" t="str">
        <f>TEXT(tblRestaurant[[#This Row],[Date]],"mmmm")</f>
        <v>January</v>
      </c>
      <c r="O52" s="12">
        <f>WEEKNUM(tblRestaurant[[#This Row],[Date]])</f>
        <v>1</v>
      </c>
      <c r="P52" s="7" t="str">
        <f>IF(OR(tblRestaurant[[#This Row],[Day]]="Sat",tblRestaurant[[#This Row],[Day]]="Sun"),"Weekend","Weekday")</f>
        <v>Weekend</v>
      </c>
      <c r="Q52" s="7" t="str">
        <f>IF(OR(tblRestaurant[[#This Row],[Day]]="Fri",tblRestaurant[[#This Row],[Day]]="Thu"),"Weekday","Weekend")</f>
        <v>Weekend</v>
      </c>
      <c r="R52" s="7" t="str">
        <f>IF(tblRestaurant[[#This Row],[Total Bill]]&lt;25,"Bronze",IF(tblRestaurant[[#This Row],[Total Bill]]&lt;50,"Silver",IF(tblRestaurant[[#This Row],[Total Bill]]&lt;75,"Gold","Platinum")))</f>
        <v>Bronze</v>
      </c>
      <c r="S52" s="7" cm="1">
        <f t="array" ref="S52">_xlfn.SWITCH(tblRestaurant[[#This Row],[Revenue Tier]],"Bronze",1,"Silver",2,"Gold",3,"Platinum",4)</f>
        <v>1</v>
      </c>
      <c r="T52" s="13">
        <f>AVERAGE(tblRestaurant[[#This Row],[Total Bill]],tblRestaurant[[#This Row],[Party Size]])</f>
        <v>12.19</v>
      </c>
    </row>
    <row r="53" spans="1:20" ht="20.100000000000001" customHeight="1">
      <c r="A53">
        <v>52</v>
      </c>
      <c r="B53" s="2">
        <v>45661</v>
      </c>
      <c r="C53" t="s">
        <v>16</v>
      </c>
      <c r="D53" t="s">
        <v>10</v>
      </c>
      <c r="E53" t="s">
        <v>13</v>
      </c>
      <c r="F53">
        <v>2</v>
      </c>
      <c r="G53" s="3">
        <v>12.95</v>
      </c>
      <c r="H53" s="4">
        <v>0.25</v>
      </c>
      <c r="I53" t="b">
        <v>0</v>
      </c>
      <c r="J53" s="3">
        <f>tblRestaurant[[#This Row],[Total Bill]]*tblRestaurant[[#This Row],[Tip %]]</f>
        <v>3.2374999999999998</v>
      </c>
      <c r="K53" s="7" t="str">
        <f>IF(tblRestaurant[[#This Row],[Cash]]=TRUE,"Cash","Card")</f>
        <v>Card</v>
      </c>
      <c r="L53" s="7" t="str">
        <f>IF(tblRestaurant[[#This Row],[Total Bill]]&lt;20,"Low",IF(tblRestaurant[[#This Row],[Total Bill]]&lt;50,"Medium","High"))</f>
        <v>Low</v>
      </c>
      <c r="M53" s="7" t="str">
        <f>IF(tblRestaurant[[#This Row],[Party Size]]&lt;=2,"Small",IF(tblRestaurant[[#This Row],[Party Size]]&lt;=4,"Medium","Large"))</f>
        <v>Small</v>
      </c>
      <c r="N53" t="str">
        <f>TEXT(tblRestaurant[[#This Row],[Date]],"mmmm")</f>
        <v>January</v>
      </c>
      <c r="O53" s="12">
        <f>WEEKNUM(tblRestaurant[[#This Row],[Date]])</f>
        <v>1</v>
      </c>
      <c r="P53" s="7" t="str">
        <f>IF(OR(tblRestaurant[[#This Row],[Day]]="Sat",tblRestaurant[[#This Row],[Day]]="Sun"),"Weekend","Weekday")</f>
        <v>Weekend</v>
      </c>
      <c r="Q53" s="7" t="str">
        <f>IF(OR(tblRestaurant[[#This Row],[Day]]="Fri",tblRestaurant[[#This Row],[Day]]="Thu"),"Weekday","Weekend")</f>
        <v>Weekend</v>
      </c>
      <c r="R53" s="7" t="str">
        <f>IF(tblRestaurant[[#This Row],[Total Bill]]&lt;25,"Bronze",IF(tblRestaurant[[#This Row],[Total Bill]]&lt;50,"Silver",IF(tblRestaurant[[#This Row],[Total Bill]]&lt;75,"Gold","Platinum")))</f>
        <v>Bronze</v>
      </c>
      <c r="S53" s="7" cm="1">
        <f t="array" ref="S53">_xlfn.SWITCH(tblRestaurant[[#This Row],[Revenue Tier]],"Bronze",1,"Silver",2,"Gold",3,"Platinum",4)</f>
        <v>1</v>
      </c>
      <c r="T53" s="13">
        <f>AVERAGE(tblRestaurant[[#This Row],[Total Bill]],tblRestaurant[[#This Row],[Party Size]])</f>
        <v>7.4749999999999996</v>
      </c>
    </row>
    <row r="54" spans="1:20" ht="20.100000000000001" customHeight="1">
      <c r="A54">
        <v>53</v>
      </c>
      <c r="B54" s="2">
        <v>45661</v>
      </c>
      <c r="C54" t="s">
        <v>16</v>
      </c>
      <c r="D54" t="s">
        <v>10</v>
      </c>
      <c r="E54" t="s">
        <v>13</v>
      </c>
      <c r="F54">
        <v>4</v>
      </c>
      <c r="G54" s="3">
        <v>54.23</v>
      </c>
      <c r="H54" s="4">
        <v>0.18</v>
      </c>
      <c r="I54" t="b">
        <v>0</v>
      </c>
      <c r="J54" s="3">
        <f>tblRestaurant[[#This Row],[Total Bill]]*tblRestaurant[[#This Row],[Tip %]]</f>
        <v>9.7613999999999983</v>
      </c>
      <c r="K54" s="7" t="str">
        <f>IF(tblRestaurant[[#This Row],[Cash]]=TRUE,"Cash","Card")</f>
        <v>Card</v>
      </c>
      <c r="L54" s="7" t="str">
        <f>IF(tblRestaurant[[#This Row],[Total Bill]]&lt;20,"Low",IF(tblRestaurant[[#This Row],[Total Bill]]&lt;50,"Medium","High"))</f>
        <v>High</v>
      </c>
      <c r="M54" s="7" t="str">
        <f>IF(tblRestaurant[[#This Row],[Party Size]]&lt;=2,"Small",IF(tblRestaurant[[#This Row],[Party Size]]&lt;=4,"Medium","Large"))</f>
        <v>Medium</v>
      </c>
      <c r="N54" t="str">
        <f>TEXT(tblRestaurant[[#This Row],[Date]],"mmmm")</f>
        <v>January</v>
      </c>
      <c r="O54" s="12">
        <f>WEEKNUM(tblRestaurant[[#This Row],[Date]])</f>
        <v>1</v>
      </c>
      <c r="P54" s="7" t="str">
        <f>IF(OR(tblRestaurant[[#This Row],[Day]]="Sat",tblRestaurant[[#This Row],[Day]]="Sun"),"Weekend","Weekday")</f>
        <v>Weekend</v>
      </c>
      <c r="Q54" s="7" t="str">
        <f>IF(OR(tblRestaurant[[#This Row],[Day]]="Fri",tblRestaurant[[#This Row],[Day]]="Thu"),"Weekday","Weekend")</f>
        <v>Weekend</v>
      </c>
      <c r="R54" s="7" t="str">
        <f>IF(tblRestaurant[[#This Row],[Total Bill]]&lt;25,"Bronze",IF(tblRestaurant[[#This Row],[Total Bill]]&lt;50,"Silver",IF(tblRestaurant[[#This Row],[Total Bill]]&lt;75,"Gold","Platinum")))</f>
        <v>Gold</v>
      </c>
      <c r="S54" s="7" cm="1">
        <f t="array" ref="S54">_xlfn.SWITCH(tblRestaurant[[#This Row],[Revenue Tier]],"Bronze",1,"Silver",2,"Gold",3,"Platinum",4)</f>
        <v>3</v>
      </c>
      <c r="T54" s="13">
        <f>AVERAGE(tblRestaurant[[#This Row],[Total Bill]],tblRestaurant[[#This Row],[Party Size]])</f>
        <v>29.114999999999998</v>
      </c>
    </row>
    <row r="55" spans="1:20" ht="20.100000000000001" customHeight="1">
      <c r="A55">
        <v>54</v>
      </c>
      <c r="B55" s="2">
        <v>45661</v>
      </c>
      <c r="C55" t="s">
        <v>16</v>
      </c>
      <c r="D55" t="s">
        <v>10</v>
      </c>
      <c r="E55" t="s">
        <v>13</v>
      </c>
      <c r="F55">
        <v>2</v>
      </c>
      <c r="G55" s="3">
        <v>30.23</v>
      </c>
      <c r="H55" s="4">
        <v>0.2</v>
      </c>
      <c r="I55" t="b">
        <v>0</v>
      </c>
      <c r="J55" s="3">
        <f>tblRestaurant[[#This Row],[Total Bill]]*tblRestaurant[[#This Row],[Tip %]]</f>
        <v>6.0460000000000003</v>
      </c>
      <c r="K55" s="7" t="str">
        <f>IF(tblRestaurant[[#This Row],[Cash]]=TRUE,"Cash","Card")</f>
        <v>Card</v>
      </c>
      <c r="L55" s="7" t="str">
        <f>IF(tblRestaurant[[#This Row],[Total Bill]]&lt;20,"Low",IF(tblRestaurant[[#This Row],[Total Bill]]&lt;50,"Medium","High"))</f>
        <v>Medium</v>
      </c>
      <c r="M55" s="7" t="str">
        <f>IF(tblRestaurant[[#This Row],[Party Size]]&lt;=2,"Small",IF(tblRestaurant[[#This Row],[Party Size]]&lt;=4,"Medium","Large"))</f>
        <v>Small</v>
      </c>
      <c r="N55" t="str">
        <f>TEXT(tblRestaurant[[#This Row],[Date]],"mmmm")</f>
        <v>January</v>
      </c>
      <c r="O55" s="12">
        <f>WEEKNUM(tblRestaurant[[#This Row],[Date]])</f>
        <v>1</v>
      </c>
      <c r="P55" s="7" t="str">
        <f>IF(OR(tblRestaurant[[#This Row],[Day]]="Sat",tblRestaurant[[#This Row],[Day]]="Sun"),"Weekend","Weekday")</f>
        <v>Weekend</v>
      </c>
      <c r="Q55" s="7" t="str">
        <f>IF(OR(tblRestaurant[[#This Row],[Day]]="Fri",tblRestaurant[[#This Row],[Day]]="Thu"),"Weekday","Weekend")</f>
        <v>Weekend</v>
      </c>
      <c r="R55" s="7" t="str">
        <f>IF(tblRestaurant[[#This Row],[Total Bill]]&lt;25,"Bronze",IF(tblRestaurant[[#This Row],[Total Bill]]&lt;50,"Silver",IF(tblRestaurant[[#This Row],[Total Bill]]&lt;75,"Gold","Platinum")))</f>
        <v>Silver</v>
      </c>
      <c r="S55" s="7" cm="1">
        <f t="array" ref="S55">_xlfn.SWITCH(tblRestaurant[[#This Row],[Revenue Tier]],"Bronze",1,"Silver",2,"Gold",3,"Platinum",4)</f>
        <v>2</v>
      </c>
      <c r="T55" s="13">
        <f>AVERAGE(tblRestaurant[[#This Row],[Total Bill]],tblRestaurant[[#This Row],[Party Size]])</f>
        <v>16.115000000000002</v>
      </c>
    </row>
    <row r="56" spans="1:20" ht="20.100000000000001" customHeight="1">
      <c r="A56">
        <v>55</v>
      </c>
      <c r="B56" s="2">
        <v>45661</v>
      </c>
      <c r="C56" t="s">
        <v>16</v>
      </c>
      <c r="D56" t="s">
        <v>10</v>
      </c>
      <c r="E56" t="s">
        <v>14</v>
      </c>
      <c r="F56">
        <v>4</v>
      </c>
      <c r="G56" s="3">
        <v>43.6</v>
      </c>
      <c r="H56" s="4">
        <v>0.25</v>
      </c>
      <c r="I56" t="b">
        <v>0</v>
      </c>
      <c r="J56" s="3">
        <f>tblRestaurant[[#This Row],[Total Bill]]*tblRestaurant[[#This Row],[Tip %]]</f>
        <v>10.9</v>
      </c>
      <c r="K56" s="7" t="str">
        <f>IF(tblRestaurant[[#This Row],[Cash]]=TRUE,"Cash","Card")</f>
        <v>Card</v>
      </c>
      <c r="L56" s="7" t="str">
        <f>IF(tblRestaurant[[#This Row],[Total Bill]]&lt;20,"Low",IF(tblRestaurant[[#This Row],[Total Bill]]&lt;50,"Medium","High"))</f>
        <v>Medium</v>
      </c>
      <c r="M56" s="7" t="str">
        <f>IF(tblRestaurant[[#This Row],[Party Size]]&lt;=2,"Small",IF(tblRestaurant[[#This Row],[Party Size]]&lt;=4,"Medium","Large"))</f>
        <v>Medium</v>
      </c>
      <c r="N56" t="str">
        <f>TEXT(tblRestaurant[[#This Row],[Date]],"mmmm")</f>
        <v>January</v>
      </c>
      <c r="O56" s="12">
        <f>WEEKNUM(tblRestaurant[[#This Row],[Date]])</f>
        <v>1</v>
      </c>
      <c r="P56" s="7" t="str">
        <f>IF(OR(tblRestaurant[[#This Row],[Day]]="Sat",tblRestaurant[[#This Row],[Day]]="Sun"),"Weekend","Weekday")</f>
        <v>Weekend</v>
      </c>
      <c r="Q56" s="7" t="str">
        <f>IF(OR(tblRestaurant[[#This Row],[Day]]="Fri",tblRestaurant[[#This Row],[Day]]="Thu"),"Weekday","Weekend")</f>
        <v>Weekend</v>
      </c>
      <c r="R56" s="7" t="str">
        <f>IF(tblRestaurant[[#This Row],[Total Bill]]&lt;25,"Bronze",IF(tblRestaurant[[#This Row],[Total Bill]]&lt;50,"Silver",IF(tblRestaurant[[#This Row],[Total Bill]]&lt;75,"Gold","Platinum")))</f>
        <v>Silver</v>
      </c>
      <c r="S56" s="7" cm="1">
        <f t="array" ref="S56">_xlfn.SWITCH(tblRestaurant[[#This Row],[Revenue Tier]],"Bronze",1,"Silver",2,"Gold",3,"Platinum",4)</f>
        <v>2</v>
      </c>
      <c r="T56" s="13">
        <f>AVERAGE(tblRestaurant[[#This Row],[Total Bill]],tblRestaurant[[#This Row],[Party Size]])</f>
        <v>23.8</v>
      </c>
    </row>
    <row r="57" spans="1:20" ht="20.100000000000001" customHeight="1">
      <c r="A57">
        <v>56</v>
      </c>
      <c r="B57" s="2">
        <v>45661</v>
      </c>
      <c r="C57" t="s">
        <v>16</v>
      </c>
      <c r="D57" t="s">
        <v>10</v>
      </c>
      <c r="E57" t="s">
        <v>12</v>
      </c>
      <c r="F57">
        <v>2</v>
      </c>
      <c r="G57" s="3">
        <v>27.24</v>
      </c>
      <c r="H57" s="4">
        <v>0.1</v>
      </c>
      <c r="I57" t="b">
        <v>0</v>
      </c>
      <c r="J57" s="3">
        <f>tblRestaurant[[#This Row],[Total Bill]]*tblRestaurant[[#This Row],[Tip %]]</f>
        <v>2.7240000000000002</v>
      </c>
      <c r="K57" s="7" t="str">
        <f>IF(tblRestaurant[[#This Row],[Cash]]=TRUE,"Cash","Card")</f>
        <v>Card</v>
      </c>
      <c r="L57" s="7" t="str">
        <f>IF(tblRestaurant[[#This Row],[Total Bill]]&lt;20,"Low",IF(tblRestaurant[[#This Row],[Total Bill]]&lt;50,"Medium","High"))</f>
        <v>Medium</v>
      </c>
      <c r="M57" s="7" t="str">
        <f>IF(tblRestaurant[[#This Row],[Party Size]]&lt;=2,"Small",IF(tblRestaurant[[#This Row],[Party Size]]&lt;=4,"Medium","Large"))</f>
        <v>Small</v>
      </c>
      <c r="N57" t="str">
        <f>TEXT(tblRestaurant[[#This Row],[Date]],"mmmm")</f>
        <v>January</v>
      </c>
      <c r="O57" s="12">
        <f>WEEKNUM(tblRestaurant[[#This Row],[Date]])</f>
        <v>1</v>
      </c>
      <c r="P57" s="7" t="str">
        <f>IF(OR(tblRestaurant[[#This Row],[Day]]="Sat",tblRestaurant[[#This Row],[Day]]="Sun"),"Weekend","Weekday")</f>
        <v>Weekend</v>
      </c>
      <c r="Q57" s="7" t="str">
        <f>IF(OR(tblRestaurant[[#This Row],[Day]]="Fri",tblRestaurant[[#This Row],[Day]]="Thu"),"Weekday","Weekend")</f>
        <v>Weekend</v>
      </c>
      <c r="R57" s="7" t="str">
        <f>IF(tblRestaurant[[#This Row],[Total Bill]]&lt;25,"Bronze",IF(tblRestaurant[[#This Row],[Total Bill]]&lt;50,"Silver",IF(tblRestaurant[[#This Row],[Total Bill]]&lt;75,"Gold","Platinum")))</f>
        <v>Silver</v>
      </c>
      <c r="S57" s="7" cm="1">
        <f t="array" ref="S57">_xlfn.SWITCH(tblRestaurant[[#This Row],[Revenue Tier]],"Bronze",1,"Silver",2,"Gold",3,"Platinum",4)</f>
        <v>2</v>
      </c>
      <c r="T57" s="13">
        <f>AVERAGE(tblRestaurant[[#This Row],[Total Bill]],tblRestaurant[[#This Row],[Party Size]])</f>
        <v>14.62</v>
      </c>
    </row>
    <row r="58" spans="1:20" ht="20.100000000000001" customHeight="1">
      <c r="A58">
        <v>57</v>
      </c>
      <c r="B58" s="2">
        <v>45661</v>
      </c>
      <c r="C58" t="s">
        <v>16</v>
      </c>
      <c r="D58" t="s">
        <v>17</v>
      </c>
      <c r="E58" t="s">
        <v>14</v>
      </c>
      <c r="F58">
        <v>4</v>
      </c>
      <c r="G58" s="3">
        <v>81.150000000000006</v>
      </c>
      <c r="H58" s="4">
        <v>0.15</v>
      </c>
      <c r="I58" t="b">
        <v>0</v>
      </c>
      <c r="J58" s="3">
        <f>tblRestaurant[[#This Row],[Total Bill]]*tblRestaurant[[#This Row],[Tip %]]</f>
        <v>12.172500000000001</v>
      </c>
      <c r="K58" s="7" t="str">
        <f>IF(tblRestaurant[[#This Row],[Cash]]=TRUE,"Cash","Card")</f>
        <v>Card</v>
      </c>
      <c r="L58" s="7" t="str">
        <f>IF(tblRestaurant[[#This Row],[Total Bill]]&lt;20,"Low",IF(tblRestaurant[[#This Row],[Total Bill]]&lt;50,"Medium","High"))</f>
        <v>High</v>
      </c>
      <c r="M58" s="7" t="str">
        <f>IF(tblRestaurant[[#This Row],[Party Size]]&lt;=2,"Small",IF(tblRestaurant[[#This Row],[Party Size]]&lt;=4,"Medium","Large"))</f>
        <v>Medium</v>
      </c>
      <c r="N58" t="str">
        <f>TEXT(tblRestaurant[[#This Row],[Date]],"mmmm")</f>
        <v>January</v>
      </c>
      <c r="O58" s="12">
        <f>WEEKNUM(tblRestaurant[[#This Row],[Date]])</f>
        <v>1</v>
      </c>
      <c r="P58" s="7" t="str">
        <f>IF(OR(tblRestaurant[[#This Row],[Day]]="Sat",tblRestaurant[[#This Row],[Day]]="Sun"),"Weekend","Weekday")</f>
        <v>Weekend</v>
      </c>
      <c r="Q58" s="7" t="str">
        <f>IF(OR(tblRestaurant[[#This Row],[Day]]="Fri",tblRestaurant[[#This Row],[Day]]="Thu"),"Weekday","Weekend")</f>
        <v>Weekend</v>
      </c>
      <c r="R58" s="7" t="str">
        <f>IF(tblRestaurant[[#This Row],[Total Bill]]&lt;25,"Bronze",IF(tblRestaurant[[#This Row],[Total Bill]]&lt;50,"Silver",IF(tblRestaurant[[#This Row],[Total Bill]]&lt;75,"Gold","Platinum")))</f>
        <v>Platinum</v>
      </c>
      <c r="S58" s="7" cm="1">
        <f t="array" ref="S58">_xlfn.SWITCH(tblRestaurant[[#This Row],[Revenue Tier]],"Bronze",1,"Silver",2,"Gold",3,"Platinum",4)</f>
        <v>4</v>
      </c>
      <c r="T58" s="13">
        <f>AVERAGE(tblRestaurant[[#This Row],[Total Bill]],tblRestaurant[[#This Row],[Party Size]])</f>
        <v>42.575000000000003</v>
      </c>
    </row>
    <row r="59" spans="1:20" ht="20.100000000000001" customHeight="1">
      <c r="A59">
        <v>58</v>
      </c>
      <c r="B59" s="2">
        <v>45661</v>
      </c>
      <c r="C59" t="s">
        <v>16</v>
      </c>
      <c r="D59" t="s">
        <v>17</v>
      </c>
      <c r="E59" t="s">
        <v>12</v>
      </c>
      <c r="F59">
        <v>2</v>
      </c>
      <c r="G59" s="3">
        <v>26.82</v>
      </c>
      <c r="H59" s="4">
        <v>0.2</v>
      </c>
      <c r="I59" t="b">
        <v>0</v>
      </c>
      <c r="J59" s="3">
        <f>tblRestaurant[[#This Row],[Total Bill]]*tblRestaurant[[#This Row],[Tip %]]</f>
        <v>5.3640000000000008</v>
      </c>
      <c r="K59" s="7" t="str">
        <f>IF(tblRestaurant[[#This Row],[Cash]]=TRUE,"Cash","Card")</f>
        <v>Card</v>
      </c>
      <c r="L59" s="7" t="str">
        <f>IF(tblRestaurant[[#This Row],[Total Bill]]&lt;20,"Low",IF(tblRestaurant[[#This Row],[Total Bill]]&lt;50,"Medium","High"))</f>
        <v>Medium</v>
      </c>
      <c r="M59" s="7" t="str">
        <f>IF(tblRestaurant[[#This Row],[Party Size]]&lt;=2,"Small",IF(tblRestaurant[[#This Row],[Party Size]]&lt;=4,"Medium","Large"))</f>
        <v>Small</v>
      </c>
      <c r="N59" t="str">
        <f>TEXT(tblRestaurant[[#This Row],[Date]],"mmmm")</f>
        <v>January</v>
      </c>
      <c r="O59" s="12">
        <f>WEEKNUM(tblRestaurant[[#This Row],[Date]])</f>
        <v>1</v>
      </c>
      <c r="P59" s="7" t="str">
        <f>IF(OR(tblRestaurant[[#This Row],[Day]]="Sat",tblRestaurant[[#This Row],[Day]]="Sun"),"Weekend","Weekday")</f>
        <v>Weekend</v>
      </c>
      <c r="Q59" s="7" t="str">
        <f>IF(OR(tblRestaurant[[#This Row],[Day]]="Fri",tblRestaurant[[#This Row],[Day]]="Thu"),"Weekday","Weekend")</f>
        <v>Weekend</v>
      </c>
      <c r="R59" s="7" t="str">
        <f>IF(tblRestaurant[[#This Row],[Total Bill]]&lt;25,"Bronze",IF(tblRestaurant[[#This Row],[Total Bill]]&lt;50,"Silver",IF(tblRestaurant[[#This Row],[Total Bill]]&lt;75,"Gold","Platinum")))</f>
        <v>Silver</v>
      </c>
      <c r="S59" s="7" cm="1">
        <f t="array" ref="S59">_xlfn.SWITCH(tblRestaurant[[#This Row],[Revenue Tier]],"Bronze",1,"Silver",2,"Gold",3,"Platinum",4)</f>
        <v>2</v>
      </c>
      <c r="T59" s="13">
        <f>AVERAGE(tblRestaurant[[#This Row],[Total Bill]],tblRestaurant[[#This Row],[Party Size]])</f>
        <v>14.41</v>
      </c>
    </row>
    <row r="60" spans="1:20" ht="20.100000000000001" customHeight="1">
      <c r="A60">
        <v>59</v>
      </c>
      <c r="B60" s="2">
        <v>45661</v>
      </c>
      <c r="C60" t="s">
        <v>16</v>
      </c>
      <c r="D60" t="s">
        <v>17</v>
      </c>
      <c r="E60" t="s">
        <v>12</v>
      </c>
      <c r="F60">
        <v>2</v>
      </c>
      <c r="G60" s="3">
        <v>20.85</v>
      </c>
      <c r="H60" s="4">
        <v>0.2</v>
      </c>
      <c r="I60" t="b">
        <v>0</v>
      </c>
      <c r="J60" s="3">
        <f>tblRestaurant[[#This Row],[Total Bill]]*tblRestaurant[[#This Row],[Tip %]]</f>
        <v>4.1700000000000008</v>
      </c>
      <c r="K60" s="7" t="str">
        <f>IF(tblRestaurant[[#This Row],[Cash]]=TRUE,"Cash","Card")</f>
        <v>Card</v>
      </c>
      <c r="L60" s="7" t="str">
        <f>IF(tblRestaurant[[#This Row],[Total Bill]]&lt;20,"Low",IF(tblRestaurant[[#This Row],[Total Bill]]&lt;50,"Medium","High"))</f>
        <v>Medium</v>
      </c>
      <c r="M60" s="7" t="str">
        <f>IF(tblRestaurant[[#This Row],[Party Size]]&lt;=2,"Small",IF(tblRestaurant[[#This Row],[Party Size]]&lt;=4,"Medium","Large"))</f>
        <v>Small</v>
      </c>
      <c r="N60" t="str">
        <f>TEXT(tblRestaurant[[#This Row],[Date]],"mmmm")</f>
        <v>January</v>
      </c>
      <c r="O60" s="12">
        <f>WEEKNUM(tblRestaurant[[#This Row],[Date]])</f>
        <v>1</v>
      </c>
      <c r="P60" s="7" t="str">
        <f>IF(OR(tblRestaurant[[#This Row],[Day]]="Sat",tblRestaurant[[#This Row],[Day]]="Sun"),"Weekend","Weekday")</f>
        <v>Weekend</v>
      </c>
      <c r="Q60" s="7" t="str">
        <f>IF(OR(tblRestaurant[[#This Row],[Day]]="Fri",tblRestaurant[[#This Row],[Day]]="Thu"),"Weekday","Weekend")</f>
        <v>Weekend</v>
      </c>
      <c r="R60" s="7" t="str">
        <f>IF(tblRestaurant[[#This Row],[Total Bill]]&lt;25,"Bronze",IF(tblRestaurant[[#This Row],[Total Bill]]&lt;50,"Silver",IF(tblRestaurant[[#This Row],[Total Bill]]&lt;75,"Gold","Platinum")))</f>
        <v>Bronze</v>
      </c>
      <c r="S60" s="7" cm="1">
        <f t="array" ref="S60">_xlfn.SWITCH(tblRestaurant[[#This Row],[Revenue Tier]],"Bronze",1,"Silver",2,"Gold",3,"Platinum",4)</f>
        <v>1</v>
      </c>
      <c r="T60" s="13">
        <f>AVERAGE(tblRestaurant[[#This Row],[Total Bill]],tblRestaurant[[#This Row],[Party Size]])</f>
        <v>11.425000000000001</v>
      </c>
    </row>
    <row r="61" spans="1:20" ht="20.100000000000001" customHeight="1">
      <c r="A61">
        <v>60</v>
      </c>
      <c r="B61" s="2">
        <v>45661</v>
      </c>
      <c r="C61" t="s">
        <v>16</v>
      </c>
      <c r="D61" t="s">
        <v>17</v>
      </c>
      <c r="E61" t="s">
        <v>14</v>
      </c>
      <c r="F61">
        <v>4</v>
      </c>
      <c r="G61" s="3">
        <v>50.36</v>
      </c>
      <c r="H61" s="4">
        <v>0.25</v>
      </c>
      <c r="I61" t="b">
        <v>0</v>
      </c>
      <c r="J61" s="3">
        <f>tblRestaurant[[#This Row],[Total Bill]]*tblRestaurant[[#This Row],[Tip %]]</f>
        <v>12.59</v>
      </c>
      <c r="K61" s="7" t="str">
        <f>IF(tblRestaurant[[#This Row],[Cash]]=TRUE,"Cash","Card")</f>
        <v>Card</v>
      </c>
      <c r="L61" s="7" t="str">
        <f>IF(tblRestaurant[[#This Row],[Total Bill]]&lt;20,"Low",IF(tblRestaurant[[#This Row],[Total Bill]]&lt;50,"Medium","High"))</f>
        <v>High</v>
      </c>
      <c r="M61" s="7" t="str">
        <f>IF(tblRestaurant[[#This Row],[Party Size]]&lt;=2,"Small",IF(tblRestaurant[[#This Row],[Party Size]]&lt;=4,"Medium","Large"))</f>
        <v>Medium</v>
      </c>
      <c r="N61" t="str">
        <f>TEXT(tblRestaurant[[#This Row],[Date]],"mmmm")</f>
        <v>January</v>
      </c>
      <c r="O61" s="12">
        <f>WEEKNUM(tblRestaurant[[#This Row],[Date]])</f>
        <v>1</v>
      </c>
      <c r="P61" s="7" t="str">
        <f>IF(OR(tblRestaurant[[#This Row],[Day]]="Sat",tblRestaurant[[#This Row],[Day]]="Sun"),"Weekend","Weekday")</f>
        <v>Weekend</v>
      </c>
      <c r="Q61" s="7" t="str">
        <f>IF(OR(tblRestaurant[[#This Row],[Day]]="Fri",tblRestaurant[[#This Row],[Day]]="Thu"),"Weekday","Weekend")</f>
        <v>Weekend</v>
      </c>
      <c r="R61" s="7" t="str">
        <f>IF(tblRestaurant[[#This Row],[Total Bill]]&lt;25,"Bronze",IF(tblRestaurant[[#This Row],[Total Bill]]&lt;50,"Silver",IF(tblRestaurant[[#This Row],[Total Bill]]&lt;75,"Gold","Platinum")))</f>
        <v>Gold</v>
      </c>
      <c r="S61" s="7" cm="1">
        <f t="array" ref="S61">_xlfn.SWITCH(tblRestaurant[[#This Row],[Revenue Tier]],"Bronze",1,"Silver",2,"Gold",3,"Platinum",4)</f>
        <v>3</v>
      </c>
      <c r="T61" s="13">
        <f>AVERAGE(tblRestaurant[[#This Row],[Total Bill]],tblRestaurant[[#This Row],[Party Size]])</f>
        <v>27.18</v>
      </c>
    </row>
    <row r="62" spans="1:20" ht="20.100000000000001" customHeight="1">
      <c r="A62">
        <v>61</v>
      </c>
      <c r="B62" s="2">
        <v>45661</v>
      </c>
      <c r="C62" t="s">
        <v>16</v>
      </c>
      <c r="D62" t="s">
        <v>17</v>
      </c>
      <c r="E62" t="s">
        <v>11</v>
      </c>
      <c r="F62">
        <v>2</v>
      </c>
      <c r="G62" s="3">
        <v>20.73</v>
      </c>
      <c r="H62" s="4">
        <v>0.15</v>
      </c>
      <c r="I62" t="b">
        <v>1</v>
      </c>
      <c r="J62" s="3">
        <f>tblRestaurant[[#This Row],[Total Bill]]*tblRestaurant[[#This Row],[Tip %]]</f>
        <v>3.1095000000000002</v>
      </c>
      <c r="K62" s="7" t="str">
        <f>IF(tblRestaurant[[#This Row],[Cash]]=TRUE,"Cash","Card")</f>
        <v>Cash</v>
      </c>
      <c r="L62" s="7" t="str">
        <f>IF(tblRestaurant[[#This Row],[Total Bill]]&lt;20,"Low",IF(tblRestaurant[[#This Row],[Total Bill]]&lt;50,"Medium","High"))</f>
        <v>Medium</v>
      </c>
      <c r="M62" s="7" t="str">
        <f>IF(tblRestaurant[[#This Row],[Party Size]]&lt;=2,"Small",IF(tblRestaurant[[#This Row],[Party Size]]&lt;=4,"Medium","Large"))</f>
        <v>Small</v>
      </c>
      <c r="N62" t="str">
        <f>TEXT(tblRestaurant[[#This Row],[Date]],"mmmm")</f>
        <v>January</v>
      </c>
      <c r="O62" s="12">
        <f>WEEKNUM(tblRestaurant[[#This Row],[Date]])</f>
        <v>1</v>
      </c>
      <c r="P62" s="7" t="str">
        <f>IF(OR(tblRestaurant[[#This Row],[Day]]="Sat",tblRestaurant[[#This Row],[Day]]="Sun"),"Weekend","Weekday")</f>
        <v>Weekend</v>
      </c>
      <c r="Q62" s="7" t="str">
        <f>IF(OR(tblRestaurant[[#This Row],[Day]]="Fri",tblRestaurant[[#This Row],[Day]]="Thu"),"Weekday","Weekend")</f>
        <v>Weekend</v>
      </c>
      <c r="R62" s="7" t="str">
        <f>IF(tblRestaurant[[#This Row],[Total Bill]]&lt;25,"Bronze",IF(tblRestaurant[[#This Row],[Total Bill]]&lt;50,"Silver",IF(tblRestaurant[[#This Row],[Total Bill]]&lt;75,"Gold","Platinum")))</f>
        <v>Bronze</v>
      </c>
      <c r="S62" s="7" cm="1">
        <f t="array" ref="S62">_xlfn.SWITCH(tblRestaurant[[#This Row],[Revenue Tier]],"Bronze",1,"Silver",2,"Gold",3,"Platinum",4)</f>
        <v>1</v>
      </c>
      <c r="T62" s="13">
        <f>AVERAGE(tblRestaurant[[#This Row],[Total Bill]],tblRestaurant[[#This Row],[Party Size]])</f>
        <v>11.365</v>
      </c>
    </row>
    <row r="63" spans="1:20" ht="20.100000000000001" customHeight="1">
      <c r="A63">
        <v>62</v>
      </c>
      <c r="B63" s="2">
        <v>45661</v>
      </c>
      <c r="C63" t="s">
        <v>16</v>
      </c>
      <c r="D63" t="s">
        <v>17</v>
      </c>
      <c r="E63" t="s">
        <v>14</v>
      </c>
      <c r="F63">
        <v>2</v>
      </c>
      <c r="G63" s="3">
        <v>30.1</v>
      </c>
      <c r="H63" s="4">
        <v>0.2</v>
      </c>
      <c r="I63" t="b">
        <v>0</v>
      </c>
      <c r="J63" s="3">
        <f>tblRestaurant[[#This Row],[Total Bill]]*tblRestaurant[[#This Row],[Tip %]]</f>
        <v>6.0200000000000005</v>
      </c>
      <c r="K63" s="7" t="str">
        <f>IF(tblRestaurant[[#This Row],[Cash]]=TRUE,"Cash","Card")</f>
        <v>Card</v>
      </c>
      <c r="L63" s="7" t="str">
        <f>IF(tblRestaurant[[#This Row],[Total Bill]]&lt;20,"Low",IF(tblRestaurant[[#This Row],[Total Bill]]&lt;50,"Medium","High"))</f>
        <v>Medium</v>
      </c>
      <c r="M63" s="7" t="str">
        <f>IF(tblRestaurant[[#This Row],[Party Size]]&lt;=2,"Small",IF(tblRestaurant[[#This Row],[Party Size]]&lt;=4,"Medium","Large"))</f>
        <v>Small</v>
      </c>
      <c r="N63" t="str">
        <f>TEXT(tblRestaurant[[#This Row],[Date]],"mmmm")</f>
        <v>January</v>
      </c>
      <c r="O63" s="12">
        <f>WEEKNUM(tblRestaurant[[#This Row],[Date]])</f>
        <v>1</v>
      </c>
      <c r="P63" s="7" t="str">
        <f>IF(OR(tblRestaurant[[#This Row],[Day]]="Sat",tblRestaurant[[#This Row],[Day]]="Sun"),"Weekend","Weekday")</f>
        <v>Weekend</v>
      </c>
      <c r="Q63" s="7" t="str">
        <f>IF(OR(tblRestaurant[[#This Row],[Day]]="Fri",tblRestaurant[[#This Row],[Day]]="Thu"),"Weekday","Weekend")</f>
        <v>Weekend</v>
      </c>
      <c r="R63" s="7" t="str">
        <f>IF(tblRestaurant[[#This Row],[Total Bill]]&lt;25,"Bronze",IF(tblRestaurant[[#This Row],[Total Bill]]&lt;50,"Silver",IF(tblRestaurant[[#This Row],[Total Bill]]&lt;75,"Gold","Platinum")))</f>
        <v>Silver</v>
      </c>
      <c r="S63" s="7" cm="1">
        <f t="array" ref="S63">_xlfn.SWITCH(tblRestaurant[[#This Row],[Revenue Tier]],"Bronze",1,"Silver",2,"Gold",3,"Platinum",4)</f>
        <v>2</v>
      </c>
      <c r="T63" s="13">
        <f>AVERAGE(tblRestaurant[[#This Row],[Total Bill]],tblRestaurant[[#This Row],[Party Size]])</f>
        <v>16.05</v>
      </c>
    </row>
    <row r="64" spans="1:20" ht="20.100000000000001" customHeight="1">
      <c r="A64">
        <v>63</v>
      </c>
      <c r="B64" s="2">
        <v>45661</v>
      </c>
      <c r="C64" t="s">
        <v>16</v>
      </c>
      <c r="D64" t="s">
        <v>17</v>
      </c>
      <c r="E64" t="s">
        <v>11</v>
      </c>
      <c r="F64">
        <v>2</v>
      </c>
      <c r="G64" s="3">
        <v>17.309999999999999</v>
      </c>
      <c r="H64" s="4">
        <v>0.15</v>
      </c>
      <c r="I64" t="b">
        <v>0</v>
      </c>
      <c r="J64" s="3">
        <f>tblRestaurant[[#This Row],[Total Bill]]*tblRestaurant[[#This Row],[Tip %]]</f>
        <v>2.5964999999999998</v>
      </c>
      <c r="K64" s="7" t="str">
        <f>IF(tblRestaurant[[#This Row],[Cash]]=TRUE,"Cash","Card")</f>
        <v>Card</v>
      </c>
      <c r="L64" s="7" t="str">
        <f>IF(tblRestaurant[[#This Row],[Total Bill]]&lt;20,"Low",IF(tblRestaurant[[#This Row],[Total Bill]]&lt;50,"Medium","High"))</f>
        <v>Low</v>
      </c>
      <c r="M64" s="7" t="str">
        <f>IF(tblRestaurant[[#This Row],[Party Size]]&lt;=2,"Small",IF(tblRestaurant[[#This Row],[Party Size]]&lt;=4,"Medium","Large"))</f>
        <v>Small</v>
      </c>
      <c r="N64" t="str">
        <f>TEXT(tblRestaurant[[#This Row],[Date]],"mmmm")</f>
        <v>January</v>
      </c>
      <c r="O64" s="12">
        <f>WEEKNUM(tblRestaurant[[#This Row],[Date]])</f>
        <v>1</v>
      </c>
      <c r="P64" s="7" t="str">
        <f>IF(OR(tblRestaurant[[#This Row],[Day]]="Sat",tblRestaurant[[#This Row],[Day]]="Sun"),"Weekend","Weekday")</f>
        <v>Weekend</v>
      </c>
      <c r="Q64" s="7" t="str">
        <f>IF(OR(tblRestaurant[[#This Row],[Day]]="Fri",tblRestaurant[[#This Row],[Day]]="Thu"),"Weekday","Weekend")</f>
        <v>Weekend</v>
      </c>
      <c r="R64" s="7" t="str">
        <f>IF(tblRestaurant[[#This Row],[Total Bill]]&lt;25,"Bronze",IF(tblRestaurant[[#This Row],[Total Bill]]&lt;50,"Silver",IF(tblRestaurant[[#This Row],[Total Bill]]&lt;75,"Gold","Platinum")))</f>
        <v>Bronze</v>
      </c>
      <c r="S64" s="7" cm="1">
        <f t="array" ref="S64">_xlfn.SWITCH(tblRestaurant[[#This Row],[Revenue Tier]],"Bronze",1,"Silver",2,"Gold",3,"Platinum",4)</f>
        <v>1</v>
      </c>
      <c r="T64" s="13">
        <f>AVERAGE(tblRestaurant[[#This Row],[Total Bill]],tblRestaurant[[#This Row],[Party Size]])</f>
        <v>9.6549999999999994</v>
      </c>
    </row>
    <row r="65" spans="1:20" ht="20.100000000000001" customHeight="1">
      <c r="A65">
        <v>64</v>
      </c>
      <c r="B65" s="2">
        <v>45661</v>
      </c>
      <c r="C65" t="s">
        <v>16</v>
      </c>
      <c r="D65" t="s">
        <v>17</v>
      </c>
      <c r="E65" t="s">
        <v>12</v>
      </c>
      <c r="F65">
        <v>4</v>
      </c>
      <c r="G65" s="3">
        <v>54.52</v>
      </c>
      <c r="H65" s="4">
        <v>0.18</v>
      </c>
      <c r="I65" t="b">
        <v>0</v>
      </c>
      <c r="J65" s="3">
        <f>tblRestaurant[[#This Row],[Total Bill]]*tblRestaurant[[#This Row],[Tip %]]</f>
        <v>9.813600000000001</v>
      </c>
      <c r="K65" s="7" t="str">
        <f>IF(tblRestaurant[[#This Row],[Cash]]=TRUE,"Cash","Card")</f>
        <v>Card</v>
      </c>
      <c r="L65" s="7" t="str">
        <f>IF(tblRestaurant[[#This Row],[Total Bill]]&lt;20,"Low",IF(tblRestaurant[[#This Row],[Total Bill]]&lt;50,"Medium","High"))</f>
        <v>High</v>
      </c>
      <c r="M65" s="7" t="str">
        <f>IF(tblRestaurant[[#This Row],[Party Size]]&lt;=2,"Small",IF(tblRestaurant[[#This Row],[Party Size]]&lt;=4,"Medium","Large"))</f>
        <v>Medium</v>
      </c>
      <c r="N65" t="str">
        <f>TEXT(tblRestaurant[[#This Row],[Date]],"mmmm")</f>
        <v>January</v>
      </c>
      <c r="O65" s="12">
        <f>WEEKNUM(tblRestaurant[[#This Row],[Date]])</f>
        <v>1</v>
      </c>
      <c r="P65" s="7" t="str">
        <f>IF(OR(tblRestaurant[[#This Row],[Day]]="Sat",tblRestaurant[[#This Row],[Day]]="Sun"),"Weekend","Weekday")</f>
        <v>Weekend</v>
      </c>
      <c r="Q65" s="7" t="str">
        <f>IF(OR(tblRestaurant[[#This Row],[Day]]="Fri",tblRestaurant[[#This Row],[Day]]="Thu"),"Weekday","Weekend")</f>
        <v>Weekend</v>
      </c>
      <c r="R65" s="7" t="str">
        <f>IF(tblRestaurant[[#This Row],[Total Bill]]&lt;25,"Bronze",IF(tblRestaurant[[#This Row],[Total Bill]]&lt;50,"Silver",IF(tblRestaurant[[#This Row],[Total Bill]]&lt;75,"Gold","Platinum")))</f>
        <v>Gold</v>
      </c>
      <c r="S65" s="7" cm="1">
        <f t="array" ref="S65">_xlfn.SWITCH(tblRestaurant[[#This Row],[Revenue Tier]],"Bronze",1,"Silver",2,"Gold",3,"Platinum",4)</f>
        <v>3</v>
      </c>
      <c r="T65" s="13">
        <f>AVERAGE(tblRestaurant[[#This Row],[Total Bill]],tblRestaurant[[#This Row],[Party Size]])</f>
        <v>29.26</v>
      </c>
    </row>
    <row r="66" spans="1:20" ht="20.100000000000001" customHeight="1">
      <c r="A66">
        <v>65</v>
      </c>
      <c r="B66" s="2">
        <v>45661</v>
      </c>
      <c r="C66" t="s">
        <v>16</v>
      </c>
      <c r="D66" t="s">
        <v>17</v>
      </c>
      <c r="E66" t="s">
        <v>14</v>
      </c>
      <c r="F66">
        <v>3</v>
      </c>
      <c r="G66" s="3">
        <v>52</v>
      </c>
      <c r="H66" s="4">
        <v>0.1</v>
      </c>
      <c r="I66" t="b">
        <v>0</v>
      </c>
      <c r="J66" s="3">
        <f>tblRestaurant[[#This Row],[Total Bill]]*tblRestaurant[[#This Row],[Tip %]]</f>
        <v>5.2</v>
      </c>
      <c r="K66" s="7" t="str">
        <f>IF(tblRestaurant[[#This Row],[Cash]]=TRUE,"Cash","Card")</f>
        <v>Card</v>
      </c>
      <c r="L66" s="7" t="str">
        <f>IF(tblRestaurant[[#This Row],[Total Bill]]&lt;20,"Low",IF(tblRestaurant[[#This Row],[Total Bill]]&lt;50,"Medium","High"))</f>
        <v>High</v>
      </c>
      <c r="M66" s="7" t="str">
        <f>IF(tblRestaurant[[#This Row],[Party Size]]&lt;=2,"Small",IF(tblRestaurant[[#This Row],[Party Size]]&lt;=4,"Medium","Large"))</f>
        <v>Medium</v>
      </c>
      <c r="N66" t="str">
        <f>TEXT(tblRestaurant[[#This Row],[Date]],"mmmm")</f>
        <v>January</v>
      </c>
      <c r="O66" s="12">
        <f>WEEKNUM(tblRestaurant[[#This Row],[Date]])</f>
        <v>1</v>
      </c>
      <c r="P66" s="7" t="str">
        <f>IF(OR(tblRestaurant[[#This Row],[Day]]="Sat",tblRestaurant[[#This Row],[Day]]="Sun"),"Weekend","Weekday")</f>
        <v>Weekend</v>
      </c>
      <c r="Q66" s="7" t="str">
        <f>IF(OR(tblRestaurant[[#This Row],[Day]]="Fri",tblRestaurant[[#This Row],[Day]]="Thu"),"Weekday","Weekend")</f>
        <v>Weekend</v>
      </c>
      <c r="R66" s="7" t="str">
        <f>IF(tblRestaurant[[#This Row],[Total Bill]]&lt;25,"Bronze",IF(tblRestaurant[[#This Row],[Total Bill]]&lt;50,"Silver",IF(tblRestaurant[[#This Row],[Total Bill]]&lt;75,"Gold","Platinum")))</f>
        <v>Gold</v>
      </c>
      <c r="S66" s="7" cm="1">
        <f t="array" ref="S66">_xlfn.SWITCH(tblRestaurant[[#This Row],[Revenue Tier]],"Bronze",1,"Silver",2,"Gold",3,"Platinum",4)</f>
        <v>3</v>
      </c>
      <c r="T66" s="13">
        <f>AVERAGE(tblRestaurant[[#This Row],[Total Bill]],tblRestaurant[[#This Row],[Party Size]])</f>
        <v>27.5</v>
      </c>
    </row>
    <row r="67" spans="1:20" ht="20.100000000000001" customHeight="1">
      <c r="A67">
        <v>66</v>
      </c>
      <c r="B67" s="2">
        <v>45661</v>
      </c>
      <c r="C67" t="s">
        <v>16</v>
      </c>
      <c r="D67" t="s">
        <v>17</v>
      </c>
      <c r="E67" t="s">
        <v>14</v>
      </c>
      <c r="F67">
        <v>3</v>
      </c>
      <c r="G67" s="3">
        <v>38.200000000000003</v>
      </c>
      <c r="H67" s="4">
        <v>0.18</v>
      </c>
      <c r="I67" t="b">
        <v>1</v>
      </c>
      <c r="J67" s="3">
        <f>tblRestaurant[[#This Row],[Total Bill]]*tblRestaurant[[#This Row],[Tip %]]</f>
        <v>6.8760000000000003</v>
      </c>
      <c r="K67" s="7" t="str">
        <f>IF(tblRestaurant[[#This Row],[Cash]]=TRUE,"Cash","Card")</f>
        <v>Cash</v>
      </c>
      <c r="L67" s="7" t="str">
        <f>IF(tblRestaurant[[#This Row],[Total Bill]]&lt;20,"Low",IF(tblRestaurant[[#This Row],[Total Bill]]&lt;50,"Medium","High"))</f>
        <v>Medium</v>
      </c>
      <c r="M67" s="7" t="str">
        <f>IF(tblRestaurant[[#This Row],[Party Size]]&lt;=2,"Small",IF(tblRestaurant[[#This Row],[Party Size]]&lt;=4,"Medium","Large"))</f>
        <v>Medium</v>
      </c>
      <c r="N67" t="str">
        <f>TEXT(tblRestaurant[[#This Row],[Date]],"mmmm")</f>
        <v>January</v>
      </c>
      <c r="O67" s="12">
        <f>WEEKNUM(tblRestaurant[[#This Row],[Date]])</f>
        <v>1</v>
      </c>
      <c r="P67" s="7" t="str">
        <f>IF(OR(tblRestaurant[[#This Row],[Day]]="Sat",tblRestaurant[[#This Row],[Day]]="Sun"),"Weekend","Weekday")</f>
        <v>Weekend</v>
      </c>
      <c r="Q67" s="7" t="str">
        <f>IF(OR(tblRestaurant[[#This Row],[Day]]="Fri",tblRestaurant[[#This Row],[Day]]="Thu"),"Weekday","Weekend")</f>
        <v>Weekend</v>
      </c>
      <c r="R67" s="7" t="str">
        <f>IF(tblRestaurant[[#This Row],[Total Bill]]&lt;25,"Bronze",IF(tblRestaurant[[#This Row],[Total Bill]]&lt;50,"Silver",IF(tblRestaurant[[#This Row],[Total Bill]]&lt;75,"Gold","Platinum")))</f>
        <v>Silver</v>
      </c>
      <c r="S67" s="7" cm="1">
        <f t="array" ref="S67">_xlfn.SWITCH(tblRestaurant[[#This Row],[Revenue Tier]],"Bronze",1,"Silver",2,"Gold",3,"Platinum",4)</f>
        <v>2</v>
      </c>
      <c r="T67" s="13">
        <f>AVERAGE(tblRestaurant[[#This Row],[Total Bill]],tblRestaurant[[#This Row],[Party Size]])</f>
        <v>20.6</v>
      </c>
    </row>
    <row r="68" spans="1:20" ht="20.100000000000001" customHeight="1">
      <c r="A68">
        <v>67</v>
      </c>
      <c r="B68" s="2">
        <v>45661</v>
      </c>
      <c r="C68" t="s">
        <v>16</v>
      </c>
      <c r="D68" t="s">
        <v>17</v>
      </c>
      <c r="E68" t="s">
        <v>14</v>
      </c>
      <c r="F68">
        <v>2</v>
      </c>
      <c r="G68" s="3">
        <v>23.21</v>
      </c>
      <c r="H68" s="4">
        <v>0.2</v>
      </c>
      <c r="I68" t="b">
        <v>0</v>
      </c>
      <c r="J68" s="3">
        <f>tblRestaurant[[#This Row],[Total Bill]]*tblRestaurant[[#This Row],[Tip %]]</f>
        <v>4.6420000000000003</v>
      </c>
      <c r="K68" s="7" t="str">
        <f>IF(tblRestaurant[[#This Row],[Cash]]=TRUE,"Cash","Card")</f>
        <v>Card</v>
      </c>
      <c r="L68" s="7" t="str">
        <f>IF(tblRestaurant[[#This Row],[Total Bill]]&lt;20,"Low",IF(tblRestaurant[[#This Row],[Total Bill]]&lt;50,"Medium","High"))</f>
        <v>Medium</v>
      </c>
      <c r="M68" s="7" t="str">
        <f>IF(tblRestaurant[[#This Row],[Party Size]]&lt;=2,"Small",IF(tblRestaurant[[#This Row],[Party Size]]&lt;=4,"Medium","Large"))</f>
        <v>Small</v>
      </c>
      <c r="N68" t="str">
        <f>TEXT(tblRestaurant[[#This Row],[Date]],"mmmm")</f>
        <v>January</v>
      </c>
      <c r="O68" s="12">
        <f>WEEKNUM(tblRestaurant[[#This Row],[Date]])</f>
        <v>1</v>
      </c>
      <c r="P68" s="7" t="str">
        <f>IF(OR(tblRestaurant[[#This Row],[Day]]="Sat",tblRestaurant[[#This Row],[Day]]="Sun"),"Weekend","Weekday")</f>
        <v>Weekend</v>
      </c>
      <c r="Q68" s="7" t="str">
        <f>IF(OR(tblRestaurant[[#This Row],[Day]]="Fri",tblRestaurant[[#This Row],[Day]]="Thu"),"Weekday","Weekend")</f>
        <v>Weekend</v>
      </c>
      <c r="R68" s="7" t="str">
        <f>IF(tblRestaurant[[#This Row],[Total Bill]]&lt;25,"Bronze",IF(tblRestaurant[[#This Row],[Total Bill]]&lt;50,"Silver",IF(tblRestaurant[[#This Row],[Total Bill]]&lt;75,"Gold","Platinum")))</f>
        <v>Bronze</v>
      </c>
      <c r="S68" s="7" cm="1">
        <f t="array" ref="S68">_xlfn.SWITCH(tblRestaurant[[#This Row],[Revenue Tier]],"Bronze",1,"Silver",2,"Gold",3,"Platinum",4)</f>
        <v>1</v>
      </c>
      <c r="T68" s="13">
        <f>AVERAGE(tblRestaurant[[#This Row],[Total Bill]],tblRestaurant[[#This Row],[Party Size]])</f>
        <v>12.605</v>
      </c>
    </row>
    <row r="69" spans="1:20" ht="20.100000000000001" customHeight="1">
      <c r="A69">
        <v>68</v>
      </c>
      <c r="B69" s="2">
        <v>45661</v>
      </c>
      <c r="C69" t="s">
        <v>16</v>
      </c>
      <c r="D69" t="s">
        <v>17</v>
      </c>
      <c r="E69" t="s">
        <v>12</v>
      </c>
      <c r="F69">
        <v>1</v>
      </c>
      <c r="G69" s="3">
        <v>12.82</v>
      </c>
      <c r="H69" s="4">
        <v>0.25</v>
      </c>
      <c r="I69" t="b">
        <v>0</v>
      </c>
      <c r="J69" s="3">
        <f>tblRestaurant[[#This Row],[Total Bill]]*tblRestaurant[[#This Row],[Tip %]]</f>
        <v>3.2050000000000001</v>
      </c>
      <c r="K69" s="7" t="str">
        <f>IF(tblRestaurant[[#This Row],[Cash]]=TRUE,"Cash","Card")</f>
        <v>Card</v>
      </c>
      <c r="L69" s="7" t="str">
        <f>IF(tblRestaurant[[#This Row],[Total Bill]]&lt;20,"Low",IF(tblRestaurant[[#This Row],[Total Bill]]&lt;50,"Medium","High"))</f>
        <v>Low</v>
      </c>
      <c r="M69" s="7" t="str">
        <f>IF(tblRestaurant[[#This Row],[Party Size]]&lt;=2,"Small",IF(tblRestaurant[[#This Row],[Party Size]]&lt;=4,"Medium","Large"))</f>
        <v>Small</v>
      </c>
      <c r="N69" t="str">
        <f>TEXT(tblRestaurant[[#This Row],[Date]],"mmmm")</f>
        <v>January</v>
      </c>
      <c r="O69" s="12">
        <f>WEEKNUM(tblRestaurant[[#This Row],[Date]])</f>
        <v>1</v>
      </c>
      <c r="P69" s="7" t="str">
        <f>IF(OR(tblRestaurant[[#This Row],[Day]]="Sat",tblRestaurant[[#This Row],[Day]]="Sun"),"Weekend","Weekday")</f>
        <v>Weekend</v>
      </c>
      <c r="Q69" s="7" t="str">
        <f>IF(OR(tblRestaurant[[#This Row],[Day]]="Fri",tblRestaurant[[#This Row],[Day]]="Thu"),"Weekday","Weekend")</f>
        <v>Weekend</v>
      </c>
      <c r="R69" s="7" t="str">
        <f>IF(tblRestaurant[[#This Row],[Total Bill]]&lt;25,"Bronze",IF(tblRestaurant[[#This Row],[Total Bill]]&lt;50,"Silver",IF(tblRestaurant[[#This Row],[Total Bill]]&lt;75,"Gold","Platinum")))</f>
        <v>Bronze</v>
      </c>
      <c r="S69" s="7" cm="1">
        <f t="array" ref="S69">_xlfn.SWITCH(tblRestaurant[[#This Row],[Revenue Tier]],"Bronze",1,"Silver",2,"Gold",3,"Platinum",4)</f>
        <v>1</v>
      </c>
      <c r="T69" s="13">
        <f>AVERAGE(tblRestaurant[[#This Row],[Total Bill]],tblRestaurant[[#This Row],[Party Size]])</f>
        <v>6.91</v>
      </c>
    </row>
    <row r="70" spans="1:20" ht="20.100000000000001" customHeight="1">
      <c r="A70">
        <v>69</v>
      </c>
      <c r="B70" s="2">
        <v>45661</v>
      </c>
      <c r="C70" t="s">
        <v>16</v>
      </c>
      <c r="D70" t="s">
        <v>17</v>
      </c>
      <c r="E70" t="s">
        <v>12</v>
      </c>
      <c r="F70">
        <v>2</v>
      </c>
      <c r="G70" s="3">
        <v>15.12</v>
      </c>
      <c r="H70" s="4">
        <v>0.18</v>
      </c>
      <c r="I70" t="b">
        <v>0</v>
      </c>
      <c r="J70" s="3">
        <f>tblRestaurant[[#This Row],[Total Bill]]*tblRestaurant[[#This Row],[Tip %]]</f>
        <v>2.7215999999999996</v>
      </c>
      <c r="K70" s="7" t="str">
        <f>IF(tblRestaurant[[#This Row],[Cash]]=TRUE,"Cash","Card")</f>
        <v>Card</v>
      </c>
      <c r="L70" s="7" t="str">
        <f>IF(tblRestaurant[[#This Row],[Total Bill]]&lt;20,"Low",IF(tblRestaurant[[#This Row],[Total Bill]]&lt;50,"Medium","High"))</f>
        <v>Low</v>
      </c>
      <c r="M70" s="7" t="str">
        <f>IF(tblRestaurant[[#This Row],[Party Size]]&lt;=2,"Small",IF(tblRestaurant[[#This Row],[Party Size]]&lt;=4,"Medium","Large"))</f>
        <v>Small</v>
      </c>
      <c r="N70" t="str">
        <f>TEXT(tblRestaurant[[#This Row],[Date]],"mmmm")</f>
        <v>January</v>
      </c>
      <c r="O70" s="12">
        <f>WEEKNUM(tblRestaurant[[#This Row],[Date]])</f>
        <v>1</v>
      </c>
      <c r="P70" s="7" t="str">
        <f>IF(OR(tblRestaurant[[#This Row],[Day]]="Sat",tblRestaurant[[#This Row],[Day]]="Sun"),"Weekend","Weekday")</f>
        <v>Weekend</v>
      </c>
      <c r="Q70" s="7" t="str">
        <f>IF(OR(tblRestaurant[[#This Row],[Day]]="Fri",tblRestaurant[[#This Row],[Day]]="Thu"),"Weekday","Weekend")</f>
        <v>Weekend</v>
      </c>
      <c r="R70" s="7" t="str">
        <f>IF(tblRestaurant[[#This Row],[Total Bill]]&lt;25,"Bronze",IF(tblRestaurant[[#This Row],[Total Bill]]&lt;50,"Silver",IF(tblRestaurant[[#This Row],[Total Bill]]&lt;75,"Gold","Platinum")))</f>
        <v>Bronze</v>
      </c>
      <c r="S70" s="7" cm="1">
        <f t="array" ref="S70">_xlfn.SWITCH(tblRestaurant[[#This Row],[Revenue Tier]],"Bronze",1,"Silver",2,"Gold",3,"Platinum",4)</f>
        <v>1</v>
      </c>
      <c r="T70" s="13">
        <f>AVERAGE(tblRestaurant[[#This Row],[Total Bill]],tblRestaurant[[#This Row],[Party Size]])</f>
        <v>8.5599999999999987</v>
      </c>
    </row>
    <row r="71" spans="1:20" ht="20.100000000000001" customHeight="1">
      <c r="A71">
        <v>70</v>
      </c>
      <c r="B71" s="2">
        <v>45661</v>
      </c>
      <c r="C71" t="s">
        <v>16</v>
      </c>
      <c r="D71" t="s">
        <v>17</v>
      </c>
      <c r="E71" t="s">
        <v>13</v>
      </c>
      <c r="F71">
        <v>2</v>
      </c>
      <c r="G71" s="3">
        <v>19.62</v>
      </c>
      <c r="H71" s="4">
        <v>0.2</v>
      </c>
      <c r="I71" t="b">
        <v>1</v>
      </c>
      <c r="J71" s="3">
        <f>tblRestaurant[[#This Row],[Total Bill]]*tblRestaurant[[#This Row],[Tip %]]</f>
        <v>3.9240000000000004</v>
      </c>
      <c r="K71" s="7" t="str">
        <f>IF(tblRestaurant[[#This Row],[Cash]]=TRUE,"Cash","Card")</f>
        <v>Cash</v>
      </c>
      <c r="L71" s="7" t="str">
        <f>IF(tblRestaurant[[#This Row],[Total Bill]]&lt;20,"Low",IF(tblRestaurant[[#This Row],[Total Bill]]&lt;50,"Medium","High"))</f>
        <v>Low</v>
      </c>
      <c r="M71" s="7" t="str">
        <f>IF(tblRestaurant[[#This Row],[Party Size]]&lt;=2,"Small",IF(tblRestaurant[[#This Row],[Party Size]]&lt;=4,"Medium","Large"))</f>
        <v>Small</v>
      </c>
      <c r="N71" t="str">
        <f>TEXT(tblRestaurant[[#This Row],[Date]],"mmmm")</f>
        <v>January</v>
      </c>
      <c r="O71" s="12">
        <f>WEEKNUM(tblRestaurant[[#This Row],[Date]])</f>
        <v>1</v>
      </c>
      <c r="P71" s="7" t="str">
        <f>IF(OR(tblRestaurant[[#This Row],[Day]]="Sat",tblRestaurant[[#This Row],[Day]]="Sun"),"Weekend","Weekday")</f>
        <v>Weekend</v>
      </c>
      <c r="Q71" s="7" t="str">
        <f>IF(OR(tblRestaurant[[#This Row],[Day]]="Fri",tblRestaurant[[#This Row],[Day]]="Thu"),"Weekday","Weekend")</f>
        <v>Weekend</v>
      </c>
      <c r="R71" s="7" t="str">
        <f>IF(tblRestaurant[[#This Row],[Total Bill]]&lt;25,"Bronze",IF(tblRestaurant[[#This Row],[Total Bill]]&lt;50,"Silver",IF(tblRestaurant[[#This Row],[Total Bill]]&lt;75,"Gold","Platinum")))</f>
        <v>Bronze</v>
      </c>
      <c r="S71" s="7" cm="1">
        <f t="array" ref="S71">_xlfn.SWITCH(tblRestaurant[[#This Row],[Revenue Tier]],"Bronze",1,"Silver",2,"Gold",3,"Platinum",4)</f>
        <v>1</v>
      </c>
      <c r="T71" s="13">
        <f>AVERAGE(tblRestaurant[[#This Row],[Total Bill]],tblRestaurant[[#This Row],[Party Size]])</f>
        <v>10.81</v>
      </c>
    </row>
    <row r="72" spans="1:20" ht="20.100000000000001" customHeight="1">
      <c r="A72">
        <v>71</v>
      </c>
      <c r="B72" s="2">
        <v>45661</v>
      </c>
      <c r="C72" t="s">
        <v>16</v>
      </c>
      <c r="D72" t="s">
        <v>17</v>
      </c>
      <c r="E72" t="s">
        <v>14</v>
      </c>
      <c r="F72">
        <v>2</v>
      </c>
      <c r="G72" s="3">
        <v>12.62</v>
      </c>
      <c r="H72" s="4">
        <v>0.1</v>
      </c>
      <c r="I72" t="b">
        <v>0</v>
      </c>
      <c r="J72" s="3">
        <f>tblRestaurant[[#This Row],[Total Bill]]*tblRestaurant[[#This Row],[Tip %]]</f>
        <v>1.262</v>
      </c>
      <c r="K72" s="7" t="str">
        <f>IF(tblRestaurant[[#This Row],[Cash]]=TRUE,"Cash","Card")</f>
        <v>Card</v>
      </c>
      <c r="L72" s="7" t="str">
        <f>IF(tblRestaurant[[#This Row],[Total Bill]]&lt;20,"Low",IF(tblRestaurant[[#This Row],[Total Bill]]&lt;50,"Medium","High"))</f>
        <v>Low</v>
      </c>
      <c r="M72" s="7" t="str">
        <f>IF(tblRestaurant[[#This Row],[Party Size]]&lt;=2,"Small",IF(tblRestaurant[[#This Row],[Party Size]]&lt;=4,"Medium","Large"))</f>
        <v>Small</v>
      </c>
      <c r="N72" t="str">
        <f>TEXT(tblRestaurant[[#This Row],[Date]],"mmmm")</f>
        <v>January</v>
      </c>
      <c r="O72" s="12">
        <f>WEEKNUM(tblRestaurant[[#This Row],[Date]])</f>
        <v>1</v>
      </c>
      <c r="P72" s="7" t="str">
        <f>IF(OR(tblRestaurant[[#This Row],[Day]]="Sat",tblRestaurant[[#This Row],[Day]]="Sun"),"Weekend","Weekday")</f>
        <v>Weekend</v>
      </c>
      <c r="Q72" s="7" t="str">
        <f>IF(OR(tblRestaurant[[#This Row],[Day]]="Fri",tblRestaurant[[#This Row],[Day]]="Thu"),"Weekday","Weekend")</f>
        <v>Weekend</v>
      </c>
      <c r="R72" s="7" t="str">
        <f>IF(tblRestaurant[[#This Row],[Total Bill]]&lt;25,"Bronze",IF(tblRestaurant[[#This Row],[Total Bill]]&lt;50,"Silver",IF(tblRestaurant[[#This Row],[Total Bill]]&lt;75,"Gold","Platinum")))</f>
        <v>Bronze</v>
      </c>
      <c r="S72" s="7" cm="1">
        <f t="array" ref="S72">_xlfn.SWITCH(tblRestaurant[[#This Row],[Revenue Tier]],"Bronze",1,"Silver",2,"Gold",3,"Platinum",4)</f>
        <v>1</v>
      </c>
      <c r="T72" s="13">
        <f>AVERAGE(tblRestaurant[[#This Row],[Total Bill]],tblRestaurant[[#This Row],[Party Size]])</f>
        <v>7.31</v>
      </c>
    </row>
    <row r="73" spans="1:20" ht="20.100000000000001" customHeight="1">
      <c r="A73">
        <v>72</v>
      </c>
      <c r="B73" s="2">
        <v>45661</v>
      </c>
      <c r="C73" t="s">
        <v>16</v>
      </c>
      <c r="D73" t="s">
        <v>17</v>
      </c>
      <c r="E73" t="s">
        <v>14</v>
      </c>
      <c r="F73">
        <v>3</v>
      </c>
      <c r="G73" s="3">
        <v>42.93</v>
      </c>
      <c r="H73" s="4">
        <v>0.2</v>
      </c>
      <c r="I73" t="b">
        <v>1</v>
      </c>
      <c r="J73" s="3">
        <f>tblRestaurant[[#This Row],[Total Bill]]*tblRestaurant[[#This Row],[Tip %]]</f>
        <v>8.5860000000000003</v>
      </c>
      <c r="K73" s="7" t="str">
        <f>IF(tblRestaurant[[#This Row],[Cash]]=TRUE,"Cash","Card")</f>
        <v>Cash</v>
      </c>
      <c r="L73" s="7" t="str">
        <f>IF(tblRestaurant[[#This Row],[Total Bill]]&lt;20,"Low",IF(tblRestaurant[[#This Row],[Total Bill]]&lt;50,"Medium","High"))</f>
        <v>Medium</v>
      </c>
      <c r="M73" s="7" t="str">
        <f>IF(tblRestaurant[[#This Row],[Party Size]]&lt;=2,"Small",IF(tblRestaurant[[#This Row],[Party Size]]&lt;=4,"Medium","Large"))</f>
        <v>Medium</v>
      </c>
      <c r="N73" t="str">
        <f>TEXT(tblRestaurant[[#This Row],[Date]],"mmmm")</f>
        <v>January</v>
      </c>
      <c r="O73" s="12">
        <f>WEEKNUM(tblRestaurant[[#This Row],[Date]])</f>
        <v>1</v>
      </c>
      <c r="P73" s="7" t="str">
        <f>IF(OR(tblRestaurant[[#This Row],[Day]]="Sat",tblRestaurant[[#This Row],[Day]]="Sun"),"Weekend","Weekday")</f>
        <v>Weekend</v>
      </c>
      <c r="Q73" s="7" t="str">
        <f>IF(OR(tblRestaurant[[#This Row],[Day]]="Fri",tblRestaurant[[#This Row],[Day]]="Thu"),"Weekday","Weekend")</f>
        <v>Weekend</v>
      </c>
      <c r="R73" s="7" t="str">
        <f>IF(tblRestaurant[[#This Row],[Total Bill]]&lt;25,"Bronze",IF(tblRestaurant[[#This Row],[Total Bill]]&lt;50,"Silver",IF(tblRestaurant[[#This Row],[Total Bill]]&lt;75,"Gold","Platinum")))</f>
        <v>Silver</v>
      </c>
      <c r="S73" s="7" cm="1">
        <f t="array" ref="S73">_xlfn.SWITCH(tblRestaurant[[#This Row],[Revenue Tier]],"Bronze",1,"Silver",2,"Gold",3,"Platinum",4)</f>
        <v>2</v>
      </c>
      <c r="T73" s="13">
        <f>AVERAGE(tblRestaurant[[#This Row],[Total Bill]],tblRestaurant[[#This Row],[Party Size]])</f>
        <v>22.965</v>
      </c>
    </row>
    <row r="74" spans="1:20" ht="20.100000000000001" customHeight="1">
      <c r="A74">
        <v>73</v>
      </c>
      <c r="B74" s="2">
        <v>45661</v>
      </c>
      <c r="C74" t="s">
        <v>16</v>
      </c>
      <c r="D74" t="s">
        <v>17</v>
      </c>
      <c r="E74" t="s">
        <v>11</v>
      </c>
      <c r="F74">
        <v>2</v>
      </c>
      <c r="G74" s="3">
        <v>23.31</v>
      </c>
      <c r="H74" s="4">
        <v>0.2</v>
      </c>
      <c r="I74" t="b">
        <v>0</v>
      </c>
      <c r="J74" s="3">
        <f>tblRestaurant[[#This Row],[Total Bill]]*tblRestaurant[[#This Row],[Tip %]]</f>
        <v>4.6619999999999999</v>
      </c>
      <c r="K74" s="7" t="str">
        <f>IF(tblRestaurant[[#This Row],[Cash]]=TRUE,"Cash","Card")</f>
        <v>Card</v>
      </c>
      <c r="L74" s="7" t="str">
        <f>IF(tblRestaurant[[#This Row],[Total Bill]]&lt;20,"Low",IF(tblRestaurant[[#This Row],[Total Bill]]&lt;50,"Medium","High"))</f>
        <v>Medium</v>
      </c>
      <c r="M74" s="7" t="str">
        <f>IF(tblRestaurant[[#This Row],[Party Size]]&lt;=2,"Small",IF(tblRestaurant[[#This Row],[Party Size]]&lt;=4,"Medium","Large"))</f>
        <v>Small</v>
      </c>
      <c r="N74" t="str">
        <f>TEXT(tblRestaurant[[#This Row],[Date]],"mmmm")</f>
        <v>January</v>
      </c>
      <c r="O74" s="12">
        <f>WEEKNUM(tblRestaurant[[#This Row],[Date]])</f>
        <v>1</v>
      </c>
      <c r="P74" s="7" t="str">
        <f>IF(OR(tblRestaurant[[#This Row],[Day]]="Sat",tblRestaurant[[#This Row],[Day]]="Sun"),"Weekend","Weekday")</f>
        <v>Weekend</v>
      </c>
      <c r="Q74" s="7" t="str">
        <f>IF(OR(tblRestaurant[[#This Row],[Day]]="Fri",tblRestaurant[[#This Row],[Day]]="Thu"),"Weekday","Weekend")</f>
        <v>Weekend</v>
      </c>
      <c r="R74" s="7" t="str">
        <f>IF(tblRestaurant[[#This Row],[Total Bill]]&lt;25,"Bronze",IF(tblRestaurant[[#This Row],[Total Bill]]&lt;50,"Silver",IF(tblRestaurant[[#This Row],[Total Bill]]&lt;75,"Gold","Platinum")))</f>
        <v>Bronze</v>
      </c>
      <c r="S74" s="7" cm="1">
        <f t="array" ref="S74">_xlfn.SWITCH(tblRestaurant[[#This Row],[Revenue Tier]],"Bronze",1,"Silver",2,"Gold",3,"Platinum",4)</f>
        <v>1</v>
      </c>
      <c r="T74" s="13">
        <f>AVERAGE(tblRestaurant[[#This Row],[Total Bill]],tblRestaurant[[#This Row],[Party Size]])</f>
        <v>12.654999999999999</v>
      </c>
    </row>
    <row r="75" spans="1:20" ht="20.100000000000001" customHeight="1">
      <c r="A75">
        <v>74</v>
      </c>
      <c r="B75" s="2">
        <v>45661</v>
      </c>
      <c r="C75" t="s">
        <v>16</v>
      </c>
      <c r="D75" t="s">
        <v>17</v>
      </c>
      <c r="E75" t="s">
        <v>13</v>
      </c>
      <c r="F75">
        <v>2</v>
      </c>
      <c r="G75" s="3">
        <v>20.51</v>
      </c>
      <c r="H75" s="4">
        <v>0.25</v>
      </c>
      <c r="I75" t="b">
        <v>0</v>
      </c>
      <c r="J75" s="3">
        <f>tblRestaurant[[#This Row],[Total Bill]]*tblRestaurant[[#This Row],[Tip %]]</f>
        <v>5.1275000000000004</v>
      </c>
      <c r="K75" s="7" t="str">
        <f>IF(tblRestaurant[[#This Row],[Cash]]=TRUE,"Cash","Card")</f>
        <v>Card</v>
      </c>
      <c r="L75" s="7" t="str">
        <f>IF(tblRestaurant[[#This Row],[Total Bill]]&lt;20,"Low",IF(tblRestaurant[[#This Row],[Total Bill]]&lt;50,"Medium","High"))</f>
        <v>Medium</v>
      </c>
      <c r="M75" s="7" t="str">
        <f>IF(tblRestaurant[[#This Row],[Party Size]]&lt;=2,"Small",IF(tblRestaurant[[#This Row],[Party Size]]&lt;=4,"Medium","Large"))</f>
        <v>Small</v>
      </c>
      <c r="N75" t="str">
        <f>TEXT(tblRestaurant[[#This Row],[Date]],"mmmm")</f>
        <v>January</v>
      </c>
      <c r="O75" s="12">
        <f>WEEKNUM(tblRestaurant[[#This Row],[Date]])</f>
        <v>1</v>
      </c>
      <c r="P75" s="7" t="str">
        <f>IF(OR(tblRestaurant[[#This Row],[Day]]="Sat",tblRestaurant[[#This Row],[Day]]="Sun"),"Weekend","Weekday")</f>
        <v>Weekend</v>
      </c>
      <c r="Q75" s="7" t="str">
        <f>IF(OR(tblRestaurant[[#This Row],[Day]]="Fri",tblRestaurant[[#This Row],[Day]]="Thu"),"Weekday","Weekend")</f>
        <v>Weekend</v>
      </c>
      <c r="R75" s="7" t="str">
        <f>IF(tblRestaurant[[#This Row],[Total Bill]]&lt;25,"Bronze",IF(tblRestaurant[[#This Row],[Total Bill]]&lt;50,"Silver",IF(tblRestaurant[[#This Row],[Total Bill]]&lt;75,"Gold","Platinum")))</f>
        <v>Bronze</v>
      </c>
      <c r="S75" s="7" cm="1">
        <f t="array" ref="S75">_xlfn.SWITCH(tblRestaurant[[#This Row],[Revenue Tier]],"Bronze",1,"Silver",2,"Gold",3,"Platinum",4)</f>
        <v>1</v>
      </c>
      <c r="T75" s="13">
        <f>AVERAGE(tblRestaurant[[#This Row],[Total Bill]],tblRestaurant[[#This Row],[Party Size]])</f>
        <v>11.255000000000001</v>
      </c>
    </row>
    <row r="76" spans="1:20" ht="20.100000000000001" customHeight="1">
      <c r="A76">
        <v>75</v>
      </c>
      <c r="B76" s="2">
        <v>45661</v>
      </c>
      <c r="C76" t="s">
        <v>16</v>
      </c>
      <c r="D76" t="s">
        <v>17</v>
      </c>
      <c r="E76" t="s">
        <v>12</v>
      </c>
      <c r="F76">
        <v>2</v>
      </c>
      <c r="G76" s="3">
        <v>11.81</v>
      </c>
      <c r="H76" s="4">
        <v>0.2</v>
      </c>
      <c r="I76" t="b">
        <v>0</v>
      </c>
      <c r="J76" s="3">
        <f>tblRestaurant[[#This Row],[Total Bill]]*tblRestaurant[[#This Row],[Tip %]]</f>
        <v>2.3620000000000001</v>
      </c>
      <c r="K76" s="7" t="str">
        <f>IF(tblRestaurant[[#This Row],[Cash]]=TRUE,"Cash","Card")</f>
        <v>Card</v>
      </c>
      <c r="L76" s="7" t="str">
        <f>IF(tblRestaurant[[#This Row],[Total Bill]]&lt;20,"Low",IF(tblRestaurant[[#This Row],[Total Bill]]&lt;50,"Medium","High"))</f>
        <v>Low</v>
      </c>
      <c r="M76" s="7" t="str">
        <f>IF(tblRestaurant[[#This Row],[Party Size]]&lt;=2,"Small",IF(tblRestaurant[[#This Row],[Party Size]]&lt;=4,"Medium","Large"))</f>
        <v>Small</v>
      </c>
      <c r="N76" t="str">
        <f>TEXT(tblRestaurant[[#This Row],[Date]],"mmmm")</f>
        <v>January</v>
      </c>
      <c r="O76" s="12">
        <f>WEEKNUM(tblRestaurant[[#This Row],[Date]])</f>
        <v>1</v>
      </c>
      <c r="P76" s="7" t="str">
        <f>IF(OR(tblRestaurant[[#This Row],[Day]]="Sat",tblRestaurant[[#This Row],[Day]]="Sun"),"Weekend","Weekday")</f>
        <v>Weekend</v>
      </c>
      <c r="Q76" s="7" t="str">
        <f>IF(OR(tblRestaurant[[#This Row],[Day]]="Fri",tblRestaurant[[#This Row],[Day]]="Thu"),"Weekday","Weekend")</f>
        <v>Weekend</v>
      </c>
      <c r="R76" s="7" t="str">
        <f>IF(tblRestaurant[[#This Row],[Total Bill]]&lt;25,"Bronze",IF(tblRestaurant[[#This Row],[Total Bill]]&lt;50,"Silver",IF(tblRestaurant[[#This Row],[Total Bill]]&lt;75,"Gold","Platinum")))</f>
        <v>Bronze</v>
      </c>
      <c r="S76" s="7" cm="1">
        <f t="array" ref="S76">_xlfn.SWITCH(tblRestaurant[[#This Row],[Revenue Tier]],"Bronze",1,"Silver",2,"Gold",3,"Platinum",4)</f>
        <v>1</v>
      </c>
      <c r="T76" s="13">
        <f>AVERAGE(tblRestaurant[[#This Row],[Total Bill]],tblRestaurant[[#This Row],[Party Size]])</f>
        <v>6.9050000000000002</v>
      </c>
    </row>
    <row r="77" spans="1:20" ht="20.100000000000001" customHeight="1">
      <c r="A77">
        <v>76</v>
      </c>
      <c r="B77" s="2">
        <v>45661</v>
      </c>
      <c r="C77" t="s">
        <v>16</v>
      </c>
      <c r="D77" t="s">
        <v>17</v>
      </c>
      <c r="E77" t="s">
        <v>13</v>
      </c>
      <c r="F77">
        <v>2</v>
      </c>
      <c r="G77" s="3">
        <v>32.11</v>
      </c>
      <c r="H77" s="4">
        <v>0.2</v>
      </c>
      <c r="I77" t="b">
        <v>0</v>
      </c>
      <c r="J77" s="3">
        <f>tblRestaurant[[#This Row],[Total Bill]]*tblRestaurant[[#This Row],[Tip %]]</f>
        <v>6.4220000000000006</v>
      </c>
      <c r="K77" s="7" t="str">
        <f>IF(tblRestaurant[[#This Row],[Cash]]=TRUE,"Cash","Card")</f>
        <v>Card</v>
      </c>
      <c r="L77" s="7" t="str">
        <f>IF(tblRestaurant[[#This Row],[Total Bill]]&lt;20,"Low",IF(tblRestaurant[[#This Row],[Total Bill]]&lt;50,"Medium","High"))</f>
        <v>Medium</v>
      </c>
      <c r="M77" s="7" t="str">
        <f>IF(tblRestaurant[[#This Row],[Party Size]]&lt;=2,"Small",IF(tblRestaurant[[#This Row],[Party Size]]&lt;=4,"Medium","Large"))</f>
        <v>Small</v>
      </c>
      <c r="N77" t="str">
        <f>TEXT(tblRestaurant[[#This Row],[Date]],"mmmm")</f>
        <v>January</v>
      </c>
      <c r="O77" s="12">
        <f>WEEKNUM(tblRestaurant[[#This Row],[Date]])</f>
        <v>1</v>
      </c>
      <c r="P77" s="7" t="str">
        <f>IF(OR(tblRestaurant[[#This Row],[Day]]="Sat",tblRestaurant[[#This Row],[Day]]="Sun"),"Weekend","Weekday")</f>
        <v>Weekend</v>
      </c>
      <c r="Q77" s="7" t="str">
        <f>IF(OR(tblRestaurant[[#This Row],[Day]]="Fri",tblRestaurant[[#This Row],[Day]]="Thu"),"Weekday","Weekend")</f>
        <v>Weekend</v>
      </c>
      <c r="R77" s="7" t="str">
        <f>IF(tblRestaurant[[#This Row],[Total Bill]]&lt;25,"Bronze",IF(tblRestaurant[[#This Row],[Total Bill]]&lt;50,"Silver",IF(tblRestaurant[[#This Row],[Total Bill]]&lt;75,"Gold","Platinum")))</f>
        <v>Silver</v>
      </c>
      <c r="S77" s="7" cm="1">
        <f t="array" ref="S77">_xlfn.SWITCH(tblRestaurant[[#This Row],[Revenue Tier]],"Bronze",1,"Silver",2,"Gold",3,"Platinum",4)</f>
        <v>2</v>
      </c>
      <c r="T77" s="13">
        <f>AVERAGE(tblRestaurant[[#This Row],[Total Bill]],tblRestaurant[[#This Row],[Party Size]])</f>
        <v>17.055</v>
      </c>
    </row>
    <row r="78" spans="1:20" ht="20.100000000000001" customHeight="1">
      <c r="A78">
        <v>77</v>
      </c>
      <c r="B78" s="2">
        <v>45661</v>
      </c>
      <c r="C78" t="s">
        <v>16</v>
      </c>
      <c r="D78" t="s">
        <v>17</v>
      </c>
      <c r="E78" t="s">
        <v>12</v>
      </c>
      <c r="F78">
        <v>2</v>
      </c>
      <c r="G78" s="3">
        <v>9</v>
      </c>
      <c r="H78" s="4">
        <v>0.2</v>
      </c>
      <c r="I78" t="b">
        <v>1</v>
      </c>
      <c r="J78" s="3">
        <f>tblRestaurant[[#This Row],[Total Bill]]*tblRestaurant[[#This Row],[Tip %]]</f>
        <v>1.8</v>
      </c>
      <c r="K78" s="7" t="str">
        <f>IF(tblRestaurant[[#This Row],[Cash]]=TRUE,"Cash","Card")</f>
        <v>Cash</v>
      </c>
      <c r="L78" s="7" t="str">
        <f>IF(tblRestaurant[[#This Row],[Total Bill]]&lt;20,"Low",IF(tblRestaurant[[#This Row],[Total Bill]]&lt;50,"Medium","High"))</f>
        <v>Low</v>
      </c>
      <c r="M78" s="7" t="str">
        <f>IF(tblRestaurant[[#This Row],[Party Size]]&lt;=2,"Small",IF(tblRestaurant[[#This Row],[Party Size]]&lt;=4,"Medium","Large"))</f>
        <v>Small</v>
      </c>
      <c r="N78" t="str">
        <f>TEXT(tblRestaurant[[#This Row],[Date]],"mmmm")</f>
        <v>January</v>
      </c>
      <c r="O78" s="12">
        <f>WEEKNUM(tblRestaurant[[#This Row],[Date]])</f>
        <v>1</v>
      </c>
      <c r="P78" s="7" t="str">
        <f>IF(OR(tblRestaurant[[#This Row],[Day]]="Sat",tblRestaurant[[#This Row],[Day]]="Sun"),"Weekend","Weekday")</f>
        <v>Weekend</v>
      </c>
      <c r="Q78" s="7" t="str">
        <f>IF(OR(tblRestaurant[[#This Row],[Day]]="Fri",tblRestaurant[[#This Row],[Day]]="Thu"),"Weekday","Weekend")</f>
        <v>Weekend</v>
      </c>
      <c r="R78" s="7" t="str">
        <f>IF(tblRestaurant[[#This Row],[Total Bill]]&lt;25,"Bronze",IF(tblRestaurant[[#This Row],[Total Bill]]&lt;50,"Silver",IF(tblRestaurant[[#This Row],[Total Bill]]&lt;75,"Gold","Platinum")))</f>
        <v>Bronze</v>
      </c>
      <c r="S78" s="7" cm="1">
        <f t="array" ref="S78">_xlfn.SWITCH(tblRestaurant[[#This Row],[Revenue Tier]],"Bronze",1,"Silver",2,"Gold",3,"Platinum",4)</f>
        <v>1</v>
      </c>
      <c r="T78" s="13">
        <f>AVERAGE(tblRestaurant[[#This Row],[Total Bill]],tblRestaurant[[#This Row],[Party Size]])</f>
        <v>5.5</v>
      </c>
    </row>
    <row r="79" spans="1:20" ht="20.100000000000001" customHeight="1">
      <c r="A79">
        <v>78</v>
      </c>
      <c r="B79" s="2">
        <v>45662</v>
      </c>
      <c r="C79" t="s">
        <v>18</v>
      </c>
      <c r="D79" t="s">
        <v>19</v>
      </c>
      <c r="E79" t="s">
        <v>12</v>
      </c>
      <c r="F79">
        <v>4</v>
      </c>
      <c r="G79" s="3">
        <v>52.57</v>
      </c>
      <c r="H79" s="4">
        <v>0.18</v>
      </c>
      <c r="I79" t="b">
        <v>1</v>
      </c>
      <c r="J79" s="3">
        <f>tblRestaurant[[#This Row],[Total Bill]]*tblRestaurant[[#This Row],[Tip %]]</f>
        <v>9.4626000000000001</v>
      </c>
      <c r="K79" s="7" t="str">
        <f>IF(tblRestaurant[[#This Row],[Cash]]=TRUE,"Cash","Card")</f>
        <v>Cash</v>
      </c>
      <c r="L79" s="7" t="str">
        <f>IF(tblRestaurant[[#This Row],[Total Bill]]&lt;20,"Low",IF(tblRestaurant[[#This Row],[Total Bill]]&lt;50,"Medium","High"))</f>
        <v>High</v>
      </c>
      <c r="M79" s="7" t="str">
        <f>IF(tblRestaurant[[#This Row],[Party Size]]&lt;=2,"Small",IF(tblRestaurant[[#This Row],[Party Size]]&lt;=4,"Medium","Large"))</f>
        <v>Medium</v>
      </c>
      <c r="N79" t="str">
        <f>TEXT(tblRestaurant[[#This Row],[Date]],"mmmm")</f>
        <v>January</v>
      </c>
      <c r="O79" s="12">
        <f>WEEKNUM(tblRestaurant[[#This Row],[Date]])</f>
        <v>2</v>
      </c>
      <c r="P79" s="7" t="str">
        <f>IF(OR(tblRestaurant[[#This Row],[Day]]="Sat",tblRestaurant[[#This Row],[Day]]="Sun"),"Weekend","Weekday")</f>
        <v>Weekend</v>
      </c>
      <c r="Q79" s="7" t="str">
        <f>IF(OR(tblRestaurant[[#This Row],[Day]]="Fri",tblRestaurant[[#This Row],[Day]]="Thu"),"Weekday","Weekend")</f>
        <v>Weekend</v>
      </c>
      <c r="R79" s="7" t="str">
        <f>IF(tblRestaurant[[#This Row],[Total Bill]]&lt;25,"Bronze",IF(tblRestaurant[[#This Row],[Total Bill]]&lt;50,"Silver",IF(tblRestaurant[[#This Row],[Total Bill]]&lt;75,"Gold","Platinum")))</f>
        <v>Gold</v>
      </c>
      <c r="S79" s="7" cm="1">
        <f t="array" ref="S79">_xlfn.SWITCH(tblRestaurant[[#This Row],[Revenue Tier]],"Bronze",1,"Silver",2,"Gold",3,"Platinum",4)</f>
        <v>3</v>
      </c>
      <c r="T79" s="13">
        <f>AVERAGE(tblRestaurant[[#This Row],[Total Bill]],tblRestaurant[[#This Row],[Party Size]])</f>
        <v>28.285</v>
      </c>
    </row>
    <row r="80" spans="1:20" ht="20.100000000000001" customHeight="1">
      <c r="A80">
        <v>79</v>
      </c>
      <c r="B80" s="2">
        <v>45662</v>
      </c>
      <c r="C80" t="s">
        <v>18</v>
      </c>
      <c r="D80" t="s">
        <v>19</v>
      </c>
      <c r="E80" t="s">
        <v>11</v>
      </c>
      <c r="F80">
        <v>2</v>
      </c>
      <c r="G80" s="3">
        <v>37.520000000000003</v>
      </c>
      <c r="H80" s="4">
        <v>0.18</v>
      </c>
      <c r="I80" t="b">
        <v>0</v>
      </c>
      <c r="J80" s="3">
        <f>tblRestaurant[[#This Row],[Total Bill]]*tblRestaurant[[#This Row],[Tip %]]</f>
        <v>6.7536000000000005</v>
      </c>
      <c r="K80" s="7" t="str">
        <f>IF(tblRestaurant[[#This Row],[Cash]]=TRUE,"Cash","Card")</f>
        <v>Card</v>
      </c>
      <c r="L80" s="7" t="str">
        <f>IF(tblRestaurant[[#This Row],[Total Bill]]&lt;20,"Low",IF(tblRestaurant[[#This Row],[Total Bill]]&lt;50,"Medium","High"))</f>
        <v>Medium</v>
      </c>
      <c r="M80" s="7" t="str">
        <f>IF(tblRestaurant[[#This Row],[Party Size]]&lt;=2,"Small",IF(tblRestaurant[[#This Row],[Party Size]]&lt;=4,"Medium","Large"))</f>
        <v>Small</v>
      </c>
      <c r="N80" t="str">
        <f>TEXT(tblRestaurant[[#This Row],[Date]],"mmmm")</f>
        <v>January</v>
      </c>
      <c r="O80" s="12">
        <f>WEEKNUM(tblRestaurant[[#This Row],[Date]])</f>
        <v>2</v>
      </c>
      <c r="P80" s="7" t="str">
        <f>IF(OR(tblRestaurant[[#This Row],[Day]]="Sat",tblRestaurant[[#This Row],[Day]]="Sun"),"Weekend","Weekday")</f>
        <v>Weekend</v>
      </c>
      <c r="Q80" s="7" t="str">
        <f>IF(OR(tblRestaurant[[#This Row],[Day]]="Fri",tblRestaurant[[#This Row],[Day]]="Thu"),"Weekday","Weekend")</f>
        <v>Weekend</v>
      </c>
      <c r="R80" s="7" t="str">
        <f>IF(tblRestaurant[[#This Row],[Total Bill]]&lt;25,"Bronze",IF(tblRestaurant[[#This Row],[Total Bill]]&lt;50,"Silver",IF(tblRestaurant[[#This Row],[Total Bill]]&lt;75,"Gold","Platinum")))</f>
        <v>Silver</v>
      </c>
      <c r="S80" s="7" cm="1">
        <f t="array" ref="S80">_xlfn.SWITCH(tblRestaurant[[#This Row],[Revenue Tier]],"Bronze",1,"Silver",2,"Gold",3,"Platinum",4)</f>
        <v>2</v>
      </c>
      <c r="T80" s="13">
        <f>AVERAGE(tblRestaurant[[#This Row],[Total Bill]],tblRestaurant[[#This Row],[Party Size]])</f>
        <v>19.760000000000002</v>
      </c>
    </row>
    <row r="81" spans="1:20" ht="20.100000000000001" customHeight="1">
      <c r="A81">
        <v>80</v>
      </c>
      <c r="B81" s="2">
        <v>45662</v>
      </c>
      <c r="C81" t="s">
        <v>18</v>
      </c>
      <c r="D81" t="s">
        <v>19</v>
      </c>
      <c r="E81" t="s">
        <v>11</v>
      </c>
      <c r="F81">
        <v>2</v>
      </c>
      <c r="G81" s="3">
        <v>26.34</v>
      </c>
      <c r="H81" s="4">
        <v>0.2</v>
      </c>
      <c r="I81" t="b">
        <v>0</v>
      </c>
      <c r="J81" s="3">
        <f>tblRestaurant[[#This Row],[Total Bill]]*tblRestaurant[[#This Row],[Tip %]]</f>
        <v>5.2680000000000007</v>
      </c>
      <c r="K81" s="7" t="str">
        <f>IF(tblRestaurant[[#This Row],[Cash]]=TRUE,"Cash","Card")</f>
        <v>Card</v>
      </c>
      <c r="L81" s="7" t="str">
        <f>IF(tblRestaurant[[#This Row],[Total Bill]]&lt;20,"Low",IF(tblRestaurant[[#This Row],[Total Bill]]&lt;50,"Medium","High"))</f>
        <v>Medium</v>
      </c>
      <c r="M81" s="7" t="str">
        <f>IF(tblRestaurant[[#This Row],[Party Size]]&lt;=2,"Small",IF(tblRestaurant[[#This Row],[Party Size]]&lt;=4,"Medium","Large"))</f>
        <v>Small</v>
      </c>
      <c r="N81" t="str">
        <f>TEXT(tblRestaurant[[#This Row],[Date]],"mmmm")</f>
        <v>January</v>
      </c>
      <c r="O81" s="12">
        <f>WEEKNUM(tblRestaurant[[#This Row],[Date]])</f>
        <v>2</v>
      </c>
      <c r="P81" s="7" t="str">
        <f>IF(OR(tblRestaurant[[#This Row],[Day]]="Sat",tblRestaurant[[#This Row],[Day]]="Sun"),"Weekend","Weekday")</f>
        <v>Weekend</v>
      </c>
      <c r="Q81" s="7" t="str">
        <f>IF(OR(tblRestaurant[[#This Row],[Day]]="Fri",tblRestaurant[[#This Row],[Day]]="Thu"),"Weekday","Weekend")</f>
        <v>Weekend</v>
      </c>
      <c r="R81" s="7" t="str">
        <f>IF(tblRestaurant[[#This Row],[Total Bill]]&lt;25,"Bronze",IF(tblRestaurant[[#This Row],[Total Bill]]&lt;50,"Silver",IF(tblRestaurant[[#This Row],[Total Bill]]&lt;75,"Gold","Platinum")))</f>
        <v>Silver</v>
      </c>
      <c r="S81" s="7" cm="1">
        <f t="array" ref="S81">_xlfn.SWITCH(tblRestaurant[[#This Row],[Revenue Tier]],"Bronze",1,"Silver",2,"Gold",3,"Platinum",4)</f>
        <v>2</v>
      </c>
      <c r="T81" s="13">
        <f>AVERAGE(tblRestaurant[[#This Row],[Total Bill]],tblRestaurant[[#This Row],[Party Size]])</f>
        <v>14.17</v>
      </c>
    </row>
    <row r="82" spans="1:20" ht="20.100000000000001" customHeight="1">
      <c r="A82">
        <v>81</v>
      </c>
      <c r="B82" s="2">
        <v>45662</v>
      </c>
      <c r="C82" t="s">
        <v>18</v>
      </c>
      <c r="D82" t="s">
        <v>19</v>
      </c>
      <c r="E82" t="s">
        <v>13</v>
      </c>
      <c r="F82">
        <v>2</v>
      </c>
      <c r="G82" s="3">
        <v>26.85</v>
      </c>
      <c r="H82" s="4">
        <v>0.15</v>
      </c>
      <c r="I82" t="b">
        <v>1</v>
      </c>
      <c r="J82" s="3">
        <f>tblRestaurant[[#This Row],[Total Bill]]*tblRestaurant[[#This Row],[Tip %]]</f>
        <v>4.0274999999999999</v>
      </c>
      <c r="K82" s="7" t="str">
        <f>IF(tblRestaurant[[#This Row],[Cash]]=TRUE,"Cash","Card")</f>
        <v>Cash</v>
      </c>
      <c r="L82" s="7" t="str">
        <f>IF(tblRestaurant[[#This Row],[Total Bill]]&lt;20,"Low",IF(tblRestaurant[[#This Row],[Total Bill]]&lt;50,"Medium","High"))</f>
        <v>Medium</v>
      </c>
      <c r="M82" s="7" t="str">
        <f>IF(tblRestaurant[[#This Row],[Party Size]]&lt;=2,"Small",IF(tblRestaurant[[#This Row],[Party Size]]&lt;=4,"Medium","Large"))</f>
        <v>Small</v>
      </c>
      <c r="N82" t="str">
        <f>TEXT(tblRestaurant[[#This Row],[Date]],"mmmm")</f>
        <v>January</v>
      </c>
      <c r="O82" s="12">
        <f>WEEKNUM(tblRestaurant[[#This Row],[Date]])</f>
        <v>2</v>
      </c>
      <c r="P82" s="7" t="str">
        <f>IF(OR(tblRestaurant[[#This Row],[Day]]="Sat",tblRestaurant[[#This Row],[Day]]="Sun"),"Weekend","Weekday")</f>
        <v>Weekend</v>
      </c>
      <c r="Q82" s="7" t="str">
        <f>IF(OR(tblRestaurant[[#This Row],[Day]]="Fri",tblRestaurant[[#This Row],[Day]]="Thu"),"Weekday","Weekend")</f>
        <v>Weekend</v>
      </c>
      <c r="R82" s="7" t="str">
        <f>IF(tblRestaurant[[#This Row],[Total Bill]]&lt;25,"Bronze",IF(tblRestaurant[[#This Row],[Total Bill]]&lt;50,"Silver",IF(tblRestaurant[[#This Row],[Total Bill]]&lt;75,"Gold","Platinum")))</f>
        <v>Silver</v>
      </c>
      <c r="S82" s="7" cm="1">
        <f t="array" ref="S82">_xlfn.SWITCH(tblRestaurant[[#This Row],[Revenue Tier]],"Bronze",1,"Silver",2,"Gold",3,"Platinum",4)</f>
        <v>2</v>
      </c>
      <c r="T82" s="13">
        <f>AVERAGE(tblRestaurant[[#This Row],[Total Bill]],tblRestaurant[[#This Row],[Party Size]])</f>
        <v>14.425000000000001</v>
      </c>
    </row>
    <row r="83" spans="1:20" ht="20.100000000000001" customHeight="1">
      <c r="A83">
        <v>82</v>
      </c>
      <c r="B83" s="2">
        <v>45662</v>
      </c>
      <c r="C83" t="s">
        <v>18</v>
      </c>
      <c r="D83" t="s">
        <v>19</v>
      </c>
      <c r="E83" t="s">
        <v>12</v>
      </c>
      <c r="F83">
        <v>2</v>
      </c>
      <c r="G83" s="3">
        <v>15.21</v>
      </c>
      <c r="H83" s="4">
        <v>0.1</v>
      </c>
      <c r="I83" t="b">
        <v>0</v>
      </c>
      <c r="J83" s="3">
        <f>tblRestaurant[[#This Row],[Total Bill]]*tblRestaurant[[#This Row],[Tip %]]</f>
        <v>1.5210000000000001</v>
      </c>
      <c r="K83" s="7" t="str">
        <f>IF(tblRestaurant[[#This Row],[Cash]]=TRUE,"Cash","Card")</f>
        <v>Card</v>
      </c>
      <c r="L83" s="7" t="str">
        <f>IF(tblRestaurant[[#This Row],[Total Bill]]&lt;20,"Low",IF(tblRestaurant[[#This Row],[Total Bill]]&lt;50,"Medium","High"))</f>
        <v>Low</v>
      </c>
      <c r="M83" s="7" t="str">
        <f>IF(tblRestaurant[[#This Row],[Party Size]]&lt;=2,"Small",IF(tblRestaurant[[#This Row],[Party Size]]&lt;=4,"Medium","Large"))</f>
        <v>Small</v>
      </c>
      <c r="N83" t="str">
        <f>TEXT(tblRestaurant[[#This Row],[Date]],"mmmm")</f>
        <v>January</v>
      </c>
      <c r="O83" s="12">
        <f>WEEKNUM(tblRestaurant[[#This Row],[Date]])</f>
        <v>2</v>
      </c>
      <c r="P83" s="7" t="str">
        <f>IF(OR(tblRestaurant[[#This Row],[Day]]="Sat",tblRestaurant[[#This Row],[Day]]="Sun"),"Weekend","Weekday")</f>
        <v>Weekend</v>
      </c>
      <c r="Q83" s="7" t="str">
        <f>IF(OR(tblRestaurant[[#This Row],[Day]]="Fri",tblRestaurant[[#This Row],[Day]]="Thu"),"Weekday","Weekend")</f>
        <v>Weekend</v>
      </c>
      <c r="R83" s="7" t="str">
        <f>IF(tblRestaurant[[#This Row],[Total Bill]]&lt;25,"Bronze",IF(tblRestaurant[[#This Row],[Total Bill]]&lt;50,"Silver",IF(tblRestaurant[[#This Row],[Total Bill]]&lt;75,"Gold","Platinum")))</f>
        <v>Bronze</v>
      </c>
      <c r="S83" s="7" cm="1">
        <f t="array" ref="S83">_xlfn.SWITCH(tblRestaurant[[#This Row],[Revenue Tier]],"Bronze",1,"Silver",2,"Gold",3,"Platinum",4)</f>
        <v>1</v>
      </c>
      <c r="T83" s="13">
        <f>AVERAGE(tblRestaurant[[#This Row],[Total Bill]],tblRestaurant[[#This Row],[Party Size]])</f>
        <v>8.6050000000000004</v>
      </c>
    </row>
    <row r="84" spans="1:20" ht="20.100000000000001" customHeight="1">
      <c r="A84">
        <v>83</v>
      </c>
      <c r="B84" s="2">
        <v>45662</v>
      </c>
      <c r="C84" t="s">
        <v>18</v>
      </c>
      <c r="D84" t="s">
        <v>19</v>
      </c>
      <c r="E84" t="s">
        <v>14</v>
      </c>
      <c r="F84">
        <v>1</v>
      </c>
      <c r="G84" s="3">
        <v>13.37</v>
      </c>
      <c r="H84" s="4">
        <v>0.18</v>
      </c>
      <c r="I84" t="b">
        <v>0</v>
      </c>
      <c r="J84" s="3">
        <f>tblRestaurant[[#This Row],[Total Bill]]*tblRestaurant[[#This Row],[Tip %]]</f>
        <v>2.4065999999999996</v>
      </c>
      <c r="K84" s="7" t="str">
        <f>IF(tblRestaurant[[#This Row],[Cash]]=TRUE,"Cash","Card")</f>
        <v>Card</v>
      </c>
      <c r="L84" s="7" t="str">
        <f>IF(tblRestaurant[[#This Row],[Total Bill]]&lt;20,"Low",IF(tblRestaurant[[#This Row],[Total Bill]]&lt;50,"Medium","High"))</f>
        <v>Low</v>
      </c>
      <c r="M84" s="7" t="str">
        <f>IF(tblRestaurant[[#This Row],[Party Size]]&lt;=2,"Small",IF(tblRestaurant[[#This Row],[Party Size]]&lt;=4,"Medium","Large"))</f>
        <v>Small</v>
      </c>
      <c r="N84" t="str">
        <f>TEXT(tblRestaurant[[#This Row],[Date]],"mmmm")</f>
        <v>January</v>
      </c>
      <c r="O84" s="12">
        <f>WEEKNUM(tblRestaurant[[#This Row],[Date]])</f>
        <v>2</v>
      </c>
      <c r="P84" s="7" t="str">
        <f>IF(OR(tblRestaurant[[#This Row],[Day]]="Sat",tblRestaurant[[#This Row],[Day]]="Sun"),"Weekend","Weekday")</f>
        <v>Weekend</v>
      </c>
      <c r="Q84" s="7" t="str">
        <f>IF(OR(tblRestaurant[[#This Row],[Day]]="Fri",tblRestaurant[[#This Row],[Day]]="Thu"),"Weekday","Weekend")</f>
        <v>Weekend</v>
      </c>
      <c r="R84" s="7" t="str">
        <f>IF(tblRestaurant[[#This Row],[Total Bill]]&lt;25,"Bronze",IF(tblRestaurant[[#This Row],[Total Bill]]&lt;50,"Silver",IF(tblRestaurant[[#This Row],[Total Bill]]&lt;75,"Gold","Platinum")))</f>
        <v>Bronze</v>
      </c>
      <c r="S84" s="7" cm="1">
        <f t="array" ref="S84">_xlfn.SWITCH(tblRestaurant[[#This Row],[Revenue Tier]],"Bronze",1,"Silver",2,"Gold",3,"Platinum",4)</f>
        <v>1</v>
      </c>
      <c r="T84" s="13">
        <f>AVERAGE(tblRestaurant[[#This Row],[Total Bill]],tblRestaurant[[#This Row],[Party Size]])</f>
        <v>7.1849999999999996</v>
      </c>
    </row>
    <row r="85" spans="1:20" ht="20.100000000000001" customHeight="1">
      <c r="A85">
        <v>84</v>
      </c>
      <c r="B85" s="2">
        <v>45662</v>
      </c>
      <c r="C85" t="s">
        <v>18</v>
      </c>
      <c r="D85" t="s">
        <v>19</v>
      </c>
      <c r="E85" t="s">
        <v>13</v>
      </c>
      <c r="F85">
        <v>2</v>
      </c>
      <c r="G85" s="3">
        <v>18.68</v>
      </c>
      <c r="H85" s="4">
        <v>0.18</v>
      </c>
      <c r="I85" t="b">
        <v>1</v>
      </c>
      <c r="J85" s="3">
        <f>tblRestaurant[[#This Row],[Total Bill]]*tblRestaurant[[#This Row],[Tip %]]</f>
        <v>3.3623999999999996</v>
      </c>
      <c r="K85" s="7" t="str">
        <f>IF(tblRestaurant[[#This Row],[Cash]]=TRUE,"Cash","Card")</f>
        <v>Cash</v>
      </c>
      <c r="L85" s="7" t="str">
        <f>IF(tblRestaurant[[#This Row],[Total Bill]]&lt;20,"Low",IF(tblRestaurant[[#This Row],[Total Bill]]&lt;50,"Medium","High"))</f>
        <v>Low</v>
      </c>
      <c r="M85" s="7" t="str">
        <f>IF(tblRestaurant[[#This Row],[Party Size]]&lt;=2,"Small",IF(tblRestaurant[[#This Row],[Party Size]]&lt;=4,"Medium","Large"))</f>
        <v>Small</v>
      </c>
      <c r="N85" t="str">
        <f>TEXT(tblRestaurant[[#This Row],[Date]],"mmmm")</f>
        <v>January</v>
      </c>
      <c r="O85" s="12">
        <f>WEEKNUM(tblRestaurant[[#This Row],[Date]])</f>
        <v>2</v>
      </c>
      <c r="P85" s="7" t="str">
        <f>IF(OR(tblRestaurant[[#This Row],[Day]]="Sat",tblRestaurant[[#This Row],[Day]]="Sun"),"Weekend","Weekday")</f>
        <v>Weekend</v>
      </c>
      <c r="Q85" s="7" t="str">
        <f>IF(OR(tblRestaurant[[#This Row],[Day]]="Fri",tblRestaurant[[#This Row],[Day]]="Thu"),"Weekday","Weekend")</f>
        <v>Weekend</v>
      </c>
      <c r="R85" s="7" t="str">
        <f>IF(tblRestaurant[[#This Row],[Total Bill]]&lt;25,"Bronze",IF(tblRestaurant[[#This Row],[Total Bill]]&lt;50,"Silver",IF(tblRestaurant[[#This Row],[Total Bill]]&lt;75,"Gold","Platinum")))</f>
        <v>Bronze</v>
      </c>
      <c r="S85" s="7" cm="1">
        <f t="array" ref="S85">_xlfn.SWITCH(tblRestaurant[[#This Row],[Revenue Tier]],"Bronze",1,"Silver",2,"Gold",3,"Platinum",4)</f>
        <v>1</v>
      </c>
      <c r="T85" s="13">
        <f>AVERAGE(tblRestaurant[[#This Row],[Total Bill]],tblRestaurant[[#This Row],[Party Size]])</f>
        <v>10.34</v>
      </c>
    </row>
    <row r="86" spans="1:20" ht="20.100000000000001" customHeight="1">
      <c r="A86">
        <v>85</v>
      </c>
      <c r="B86" s="2">
        <v>45662</v>
      </c>
      <c r="C86" t="s">
        <v>18</v>
      </c>
      <c r="D86" t="s">
        <v>19</v>
      </c>
      <c r="E86" t="s">
        <v>11</v>
      </c>
      <c r="F86">
        <v>2</v>
      </c>
      <c r="G86" s="3">
        <v>28.59</v>
      </c>
      <c r="H86" s="4">
        <v>0.18</v>
      </c>
      <c r="I86" t="b">
        <v>0</v>
      </c>
      <c r="J86" s="3">
        <f>tblRestaurant[[#This Row],[Total Bill]]*tblRestaurant[[#This Row],[Tip %]]</f>
        <v>5.1461999999999994</v>
      </c>
      <c r="K86" s="7" t="str">
        <f>IF(tblRestaurant[[#This Row],[Cash]]=TRUE,"Cash","Card")</f>
        <v>Card</v>
      </c>
      <c r="L86" s="7" t="str">
        <f>IF(tblRestaurant[[#This Row],[Total Bill]]&lt;20,"Low",IF(tblRestaurant[[#This Row],[Total Bill]]&lt;50,"Medium","High"))</f>
        <v>Medium</v>
      </c>
      <c r="M86" s="7" t="str">
        <f>IF(tblRestaurant[[#This Row],[Party Size]]&lt;=2,"Small",IF(tblRestaurant[[#This Row],[Party Size]]&lt;=4,"Medium","Large"))</f>
        <v>Small</v>
      </c>
      <c r="N86" t="str">
        <f>TEXT(tblRestaurant[[#This Row],[Date]],"mmmm")</f>
        <v>January</v>
      </c>
      <c r="O86" s="12">
        <f>WEEKNUM(tblRestaurant[[#This Row],[Date]])</f>
        <v>2</v>
      </c>
      <c r="P86" s="7" t="str">
        <f>IF(OR(tblRestaurant[[#This Row],[Day]]="Sat",tblRestaurant[[#This Row],[Day]]="Sun"),"Weekend","Weekday")</f>
        <v>Weekend</v>
      </c>
      <c r="Q86" s="7" t="str">
        <f>IF(OR(tblRestaurant[[#This Row],[Day]]="Fri",tblRestaurant[[#This Row],[Day]]="Thu"),"Weekday","Weekend")</f>
        <v>Weekend</v>
      </c>
      <c r="R86" s="7" t="str">
        <f>IF(tblRestaurant[[#This Row],[Total Bill]]&lt;25,"Bronze",IF(tblRestaurant[[#This Row],[Total Bill]]&lt;50,"Silver",IF(tblRestaurant[[#This Row],[Total Bill]]&lt;75,"Gold","Platinum")))</f>
        <v>Silver</v>
      </c>
      <c r="S86" s="7" cm="1">
        <f t="array" ref="S86">_xlfn.SWITCH(tblRestaurant[[#This Row],[Revenue Tier]],"Bronze",1,"Silver",2,"Gold",3,"Platinum",4)</f>
        <v>2</v>
      </c>
      <c r="T86" s="13">
        <f>AVERAGE(tblRestaurant[[#This Row],[Total Bill]],tblRestaurant[[#This Row],[Party Size]])</f>
        <v>15.295</v>
      </c>
    </row>
    <row r="87" spans="1:20" ht="20.100000000000001" customHeight="1">
      <c r="A87">
        <v>86</v>
      </c>
      <c r="B87" s="2">
        <v>45662</v>
      </c>
      <c r="C87" t="s">
        <v>18</v>
      </c>
      <c r="D87" t="s">
        <v>19</v>
      </c>
      <c r="E87" t="s">
        <v>13</v>
      </c>
      <c r="F87">
        <v>4</v>
      </c>
      <c r="G87" s="3">
        <v>33.72</v>
      </c>
      <c r="H87" s="4">
        <v>0.2</v>
      </c>
      <c r="I87" t="b">
        <v>0</v>
      </c>
      <c r="J87" s="3">
        <f>tblRestaurant[[#This Row],[Total Bill]]*tblRestaurant[[#This Row],[Tip %]]</f>
        <v>6.7439999999999998</v>
      </c>
      <c r="K87" s="7" t="str">
        <f>IF(tblRestaurant[[#This Row],[Cash]]=TRUE,"Cash","Card")</f>
        <v>Card</v>
      </c>
      <c r="L87" s="7" t="str">
        <f>IF(tblRestaurant[[#This Row],[Total Bill]]&lt;20,"Low",IF(tblRestaurant[[#This Row],[Total Bill]]&lt;50,"Medium","High"))</f>
        <v>Medium</v>
      </c>
      <c r="M87" s="7" t="str">
        <f>IF(tblRestaurant[[#This Row],[Party Size]]&lt;=2,"Small",IF(tblRestaurant[[#This Row],[Party Size]]&lt;=4,"Medium","Large"))</f>
        <v>Medium</v>
      </c>
      <c r="N87" t="str">
        <f>TEXT(tblRestaurant[[#This Row],[Date]],"mmmm")</f>
        <v>January</v>
      </c>
      <c r="O87" s="12">
        <f>WEEKNUM(tblRestaurant[[#This Row],[Date]])</f>
        <v>2</v>
      </c>
      <c r="P87" s="7" t="str">
        <f>IF(OR(tblRestaurant[[#This Row],[Day]]="Sat",tblRestaurant[[#This Row],[Day]]="Sun"),"Weekend","Weekday")</f>
        <v>Weekend</v>
      </c>
      <c r="Q87" s="7" t="str">
        <f>IF(OR(tblRestaurant[[#This Row],[Day]]="Fri",tblRestaurant[[#This Row],[Day]]="Thu"),"Weekday","Weekend")</f>
        <v>Weekend</v>
      </c>
      <c r="R87" s="7" t="str">
        <f>IF(tblRestaurant[[#This Row],[Total Bill]]&lt;25,"Bronze",IF(tblRestaurant[[#This Row],[Total Bill]]&lt;50,"Silver",IF(tblRestaurant[[#This Row],[Total Bill]]&lt;75,"Gold","Platinum")))</f>
        <v>Silver</v>
      </c>
      <c r="S87" s="7" cm="1">
        <f t="array" ref="S87">_xlfn.SWITCH(tblRestaurant[[#This Row],[Revenue Tier]],"Bronze",1,"Silver",2,"Gold",3,"Platinum",4)</f>
        <v>2</v>
      </c>
      <c r="T87" s="13">
        <f>AVERAGE(tblRestaurant[[#This Row],[Total Bill]],tblRestaurant[[#This Row],[Party Size]])</f>
        <v>18.86</v>
      </c>
    </row>
    <row r="88" spans="1:20" ht="20.100000000000001" customHeight="1">
      <c r="A88">
        <v>87</v>
      </c>
      <c r="B88" s="2">
        <v>45662</v>
      </c>
      <c r="C88" t="s">
        <v>18</v>
      </c>
      <c r="D88" t="s">
        <v>19</v>
      </c>
      <c r="E88" t="s">
        <v>13</v>
      </c>
      <c r="F88">
        <v>2</v>
      </c>
      <c r="G88" s="3">
        <v>28.82</v>
      </c>
      <c r="H88" s="4">
        <v>0.18</v>
      </c>
      <c r="I88" t="b">
        <v>0</v>
      </c>
      <c r="J88" s="3">
        <f>tblRestaurant[[#This Row],[Total Bill]]*tblRestaurant[[#This Row],[Tip %]]</f>
        <v>5.1875999999999998</v>
      </c>
      <c r="K88" s="7" t="str">
        <f>IF(tblRestaurant[[#This Row],[Cash]]=TRUE,"Cash","Card")</f>
        <v>Card</v>
      </c>
      <c r="L88" s="7" t="str">
        <f>IF(tblRestaurant[[#This Row],[Total Bill]]&lt;20,"Low",IF(tblRestaurant[[#This Row],[Total Bill]]&lt;50,"Medium","High"))</f>
        <v>Medium</v>
      </c>
      <c r="M88" s="7" t="str">
        <f>IF(tblRestaurant[[#This Row],[Party Size]]&lt;=2,"Small",IF(tblRestaurant[[#This Row],[Party Size]]&lt;=4,"Medium","Large"))</f>
        <v>Small</v>
      </c>
      <c r="N88" t="str">
        <f>TEXT(tblRestaurant[[#This Row],[Date]],"mmmm")</f>
        <v>January</v>
      </c>
      <c r="O88" s="12">
        <f>WEEKNUM(tblRestaurant[[#This Row],[Date]])</f>
        <v>2</v>
      </c>
      <c r="P88" s="7" t="str">
        <f>IF(OR(tblRestaurant[[#This Row],[Day]]="Sat",tblRestaurant[[#This Row],[Day]]="Sun"),"Weekend","Weekday")</f>
        <v>Weekend</v>
      </c>
      <c r="Q88" s="7" t="str">
        <f>IF(OR(tblRestaurant[[#This Row],[Day]]="Fri",tblRestaurant[[#This Row],[Day]]="Thu"),"Weekday","Weekend")</f>
        <v>Weekend</v>
      </c>
      <c r="R88" s="7" t="str">
        <f>IF(tblRestaurant[[#This Row],[Total Bill]]&lt;25,"Bronze",IF(tblRestaurant[[#This Row],[Total Bill]]&lt;50,"Silver",IF(tblRestaurant[[#This Row],[Total Bill]]&lt;75,"Gold","Platinum")))</f>
        <v>Silver</v>
      </c>
      <c r="S88" s="7" cm="1">
        <f t="array" ref="S88">_xlfn.SWITCH(tblRestaurant[[#This Row],[Revenue Tier]],"Bronze",1,"Silver",2,"Gold",3,"Platinum",4)</f>
        <v>2</v>
      </c>
      <c r="T88" s="13">
        <f>AVERAGE(tblRestaurant[[#This Row],[Total Bill]],tblRestaurant[[#This Row],[Party Size]])</f>
        <v>15.41</v>
      </c>
    </row>
    <row r="89" spans="1:20" ht="20.100000000000001" customHeight="1">
      <c r="A89">
        <v>88</v>
      </c>
      <c r="B89" s="2">
        <v>45662</v>
      </c>
      <c r="C89" t="s">
        <v>18</v>
      </c>
      <c r="D89" t="s">
        <v>19</v>
      </c>
      <c r="E89" t="s">
        <v>12</v>
      </c>
      <c r="F89">
        <v>2</v>
      </c>
      <c r="G89" s="3">
        <v>16.23</v>
      </c>
      <c r="H89" s="4">
        <v>0.15</v>
      </c>
      <c r="I89" t="b">
        <v>0</v>
      </c>
      <c r="J89" s="3">
        <f>tblRestaurant[[#This Row],[Total Bill]]*tblRestaurant[[#This Row],[Tip %]]</f>
        <v>2.4344999999999999</v>
      </c>
      <c r="K89" s="7" t="str">
        <f>IF(tblRestaurant[[#This Row],[Cash]]=TRUE,"Cash","Card")</f>
        <v>Card</v>
      </c>
      <c r="L89" s="7" t="str">
        <f>IF(tblRestaurant[[#This Row],[Total Bill]]&lt;20,"Low",IF(tblRestaurant[[#This Row],[Total Bill]]&lt;50,"Medium","High"))</f>
        <v>Low</v>
      </c>
      <c r="M89" s="7" t="str">
        <f>IF(tblRestaurant[[#This Row],[Party Size]]&lt;=2,"Small",IF(tblRestaurant[[#This Row],[Party Size]]&lt;=4,"Medium","Large"))</f>
        <v>Small</v>
      </c>
      <c r="N89" t="str">
        <f>TEXT(tblRestaurant[[#This Row],[Date]],"mmmm")</f>
        <v>January</v>
      </c>
      <c r="O89" s="12">
        <f>WEEKNUM(tblRestaurant[[#This Row],[Date]])</f>
        <v>2</v>
      </c>
      <c r="P89" s="7" t="str">
        <f>IF(OR(tblRestaurant[[#This Row],[Day]]="Sat",tblRestaurant[[#This Row],[Day]]="Sun"),"Weekend","Weekday")</f>
        <v>Weekend</v>
      </c>
      <c r="Q89" s="7" t="str">
        <f>IF(OR(tblRestaurant[[#This Row],[Day]]="Fri",tblRestaurant[[#This Row],[Day]]="Thu"),"Weekday","Weekend")</f>
        <v>Weekend</v>
      </c>
      <c r="R89" s="7" t="str">
        <f>IF(tblRestaurant[[#This Row],[Total Bill]]&lt;25,"Bronze",IF(tblRestaurant[[#This Row],[Total Bill]]&lt;50,"Silver",IF(tblRestaurant[[#This Row],[Total Bill]]&lt;75,"Gold","Platinum")))</f>
        <v>Bronze</v>
      </c>
      <c r="S89" s="7" cm="1">
        <f t="array" ref="S89">_xlfn.SWITCH(tblRestaurant[[#This Row],[Revenue Tier]],"Bronze",1,"Silver",2,"Gold",3,"Platinum",4)</f>
        <v>1</v>
      </c>
      <c r="T89" s="13">
        <f>AVERAGE(tblRestaurant[[#This Row],[Total Bill]],tblRestaurant[[#This Row],[Party Size]])</f>
        <v>9.1150000000000002</v>
      </c>
    </row>
    <row r="90" spans="1:20" ht="20.100000000000001" customHeight="1">
      <c r="A90">
        <v>89</v>
      </c>
      <c r="B90" s="2">
        <v>45662</v>
      </c>
      <c r="C90" t="s">
        <v>18</v>
      </c>
      <c r="D90" t="s">
        <v>19</v>
      </c>
      <c r="E90" t="s">
        <v>12</v>
      </c>
      <c r="F90">
        <v>2</v>
      </c>
      <c r="G90" s="3">
        <v>44.59</v>
      </c>
      <c r="H90" s="4">
        <v>0.15</v>
      </c>
      <c r="I90" t="b">
        <v>0</v>
      </c>
      <c r="J90" s="3">
        <f>tblRestaurant[[#This Row],[Total Bill]]*tblRestaurant[[#This Row],[Tip %]]</f>
        <v>6.6885000000000003</v>
      </c>
      <c r="K90" s="7" t="str">
        <f>IF(tblRestaurant[[#This Row],[Cash]]=TRUE,"Cash","Card")</f>
        <v>Card</v>
      </c>
      <c r="L90" s="7" t="str">
        <f>IF(tblRestaurant[[#This Row],[Total Bill]]&lt;20,"Low",IF(tblRestaurant[[#This Row],[Total Bill]]&lt;50,"Medium","High"))</f>
        <v>Medium</v>
      </c>
      <c r="M90" s="7" t="str">
        <f>IF(tblRestaurant[[#This Row],[Party Size]]&lt;=2,"Small",IF(tblRestaurant[[#This Row],[Party Size]]&lt;=4,"Medium","Large"))</f>
        <v>Small</v>
      </c>
      <c r="N90" t="str">
        <f>TEXT(tblRestaurant[[#This Row],[Date]],"mmmm")</f>
        <v>January</v>
      </c>
      <c r="O90" s="12">
        <f>WEEKNUM(tblRestaurant[[#This Row],[Date]])</f>
        <v>2</v>
      </c>
      <c r="P90" s="7" t="str">
        <f>IF(OR(tblRestaurant[[#This Row],[Day]]="Sat",tblRestaurant[[#This Row],[Day]]="Sun"),"Weekend","Weekday")</f>
        <v>Weekend</v>
      </c>
      <c r="Q90" s="7" t="str">
        <f>IF(OR(tblRestaurant[[#This Row],[Day]]="Fri",tblRestaurant[[#This Row],[Day]]="Thu"),"Weekday","Weekend")</f>
        <v>Weekend</v>
      </c>
      <c r="R90" s="7" t="str">
        <f>IF(tblRestaurant[[#This Row],[Total Bill]]&lt;25,"Bronze",IF(tblRestaurant[[#This Row],[Total Bill]]&lt;50,"Silver",IF(tblRestaurant[[#This Row],[Total Bill]]&lt;75,"Gold","Platinum")))</f>
        <v>Silver</v>
      </c>
      <c r="S90" s="7" cm="1">
        <f t="array" ref="S90">_xlfn.SWITCH(tblRestaurant[[#This Row],[Revenue Tier]],"Bronze",1,"Silver",2,"Gold",3,"Platinum",4)</f>
        <v>2</v>
      </c>
      <c r="T90" s="13">
        <f>AVERAGE(tblRestaurant[[#This Row],[Total Bill]],tblRestaurant[[#This Row],[Party Size]])</f>
        <v>23.295000000000002</v>
      </c>
    </row>
    <row r="91" spans="1:20" ht="20.100000000000001" customHeight="1">
      <c r="A91">
        <v>90</v>
      </c>
      <c r="B91" s="2">
        <v>45662</v>
      </c>
      <c r="C91" t="s">
        <v>18</v>
      </c>
      <c r="D91" t="s">
        <v>19</v>
      </c>
      <c r="E91" t="s">
        <v>13</v>
      </c>
      <c r="F91">
        <v>2</v>
      </c>
      <c r="G91" s="3">
        <v>12.8</v>
      </c>
      <c r="H91" s="4">
        <v>0.18</v>
      </c>
      <c r="I91" t="b">
        <v>0</v>
      </c>
      <c r="J91" s="3">
        <f>tblRestaurant[[#This Row],[Total Bill]]*tblRestaurant[[#This Row],[Tip %]]</f>
        <v>2.3039999999999998</v>
      </c>
      <c r="K91" s="7" t="str">
        <f>IF(tblRestaurant[[#This Row],[Cash]]=TRUE,"Cash","Card")</f>
        <v>Card</v>
      </c>
      <c r="L91" s="7" t="str">
        <f>IF(tblRestaurant[[#This Row],[Total Bill]]&lt;20,"Low",IF(tblRestaurant[[#This Row],[Total Bill]]&lt;50,"Medium","High"))</f>
        <v>Low</v>
      </c>
      <c r="M91" s="7" t="str">
        <f>IF(tblRestaurant[[#This Row],[Party Size]]&lt;=2,"Small",IF(tblRestaurant[[#This Row],[Party Size]]&lt;=4,"Medium","Large"))</f>
        <v>Small</v>
      </c>
      <c r="N91" t="str">
        <f>TEXT(tblRestaurant[[#This Row],[Date]],"mmmm")</f>
        <v>January</v>
      </c>
      <c r="O91" s="12">
        <f>WEEKNUM(tblRestaurant[[#This Row],[Date]])</f>
        <v>2</v>
      </c>
      <c r="P91" s="7" t="str">
        <f>IF(OR(tblRestaurant[[#This Row],[Day]]="Sat",tblRestaurant[[#This Row],[Day]]="Sun"),"Weekend","Weekday")</f>
        <v>Weekend</v>
      </c>
      <c r="Q91" s="7" t="str">
        <f>IF(OR(tblRestaurant[[#This Row],[Day]]="Fri",tblRestaurant[[#This Row],[Day]]="Thu"),"Weekday","Weekend")</f>
        <v>Weekend</v>
      </c>
      <c r="R91" s="7" t="str">
        <f>IF(tblRestaurant[[#This Row],[Total Bill]]&lt;25,"Bronze",IF(tblRestaurant[[#This Row],[Total Bill]]&lt;50,"Silver",IF(tblRestaurant[[#This Row],[Total Bill]]&lt;75,"Gold","Platinum")))</f>
        <v>Bronze</v>
      </c>
      <c r="S91" s="7" cm="1">
        <f t="array" ref="S91">_xlfn.SWITCH(tblRestaurant[[#This Row],[Revenue Tier]],"Bronze",1,"Silver",2,"Gold",3,"Platinum",4)</f>
        <v>1</v>
      </c>
      <c r="T91" s="13">
        <f>AVERAGE(tblRestaurant[[#This Row],[Total Bill]],tblRestaurant[[#This Row],[Party Size]])</f>
        <v>7.4</v>
      </c>
    </row>
    <row r="92" spans="1:20" ht="20.100000000000001" customHeight="1">
      <c r="A92">
        <v>91</v>
      </c>
      <c r="B92" s="2">
        <v>45662</v>
      </c>
      <c r="C92" t="s">
        <v>18</v>
      </c>
      <c r="D92" t="s">
        <v>17</v>
      </c>
      <c r="E92" t="s">
        <v>14</v>
      </c>
      <c r="F92">
        <v>2</v>
      </c>
      <c r="G92" s="3">
        <v>22.9</v>
      </c>
      <c r="H92" s="4">
        <v>0.18</v>
      </c>
      <c r="I92" t="b">
        <v>0</v>
      </c>
      <c r="J92" s="3">
        <f>tblRestaurant[[#This Row],[Total Bill]]*tblRestaurant[[#This Row],[Tip %]]</f>
        <v>4.1219999999999999</v>
      </c>
      <c r="K92" s="7" t="str">
        <f>IF(tblRestaurant[[#This Row],[Cash]]=TRUE,"Cash","Card")</f>
        <v>Card</v>
      </c>
      <c r="L92" s="7" t="str">
        <f>IF(tblRestaurant[[#This Row],[Total Bill]]&lt;20,"Low",IF(tblRestaurant[[#This Row],[Total Bill]]&lt;50,"Medium","High"))</f>
        <v>Medium</v>
      </c>
      <c r="M92" s="7" t="str">
        <f>IF(tblRestaurant[[#This Row],[Party Size]]&lt;=2,"Small",IF(tblRestaurant[[#This Row],[Party Size]]&lt;=4,"Medium","Large"))</f>
        <v>Small</v>
      </c>
      <c r="N92" t="str">
        <f>TEXT(tblRestaurant[[#This Row],[Date]],"mmmm")</f>
        <v>January</v>
      </c>
      <c r="O92" s="12">
        <f>WEEKNUM(tblRestaurant[[#This Row],[Date]])</f>
        <v>2</v>
      </c>
      <c r="P92" s="7" t="str">
        <f>IF(OR(tblRestaurant[[#This Row],[Day]]="Sat",tblRestaurant[[#This Row],[Day]]="Sun"),"Weekend","Weekday")</f>
        <v>Weekend</v>
      </c>
      <c r="Q92" s="7" t="str">
        <f>IF(OR(tblRestaurant[[#This Row],[Day]]="Fri",tblRestaurant[[#This Row],[Day]]="Thu"),"Weekday","Weekend")</f>
        <v>Weekend</v>
      </c>
      <c r="R92" s="7" t="str">
        <f>IF(tblRestaurant[[#This Row],[Total Bill]]&lt;25,"Bronze",IF(tblRestaurant[[#This Row],[Total Bill]]&lt;50,"Silver",IF(tblRestaurant[[#This Row],[Total Bill]]&lt;75,"Gold","Platinum")))</f>
        <v>Bronze</v>
      </c>
      <c r="S92" s="7" cm="1">
        <f t="array" ref="S92">_xlfn.SWITCH(tblRestaurant[[#This Row],[Revenue Tier]],"Bronze",1,"Silver",2,"Gold",3,"Platinum",4)</f>
        <v>1</v>
      </c>
      <c r="T92" s="13">
        <f>AVERAGE(tblRestaurant[[#This Row],[Total Bill]],tblRestaurant[[#This Row],[Party Size]])</f>
        <v>12.45</v>
      </c>
    </row>
    <row r="93" spans="1:20" ht="20.100000000000001" customHeight="1">
      <c r="A93">
        <v>92</v>
      </c>
      <c r="B93" s="2">
        <v>45662</v>
      </c>
      <c r="C93" t="s">
        <v>18</v>
      </c>
      <c r="D93" t="s">
        <v>17</v>
      </c>
      <c r="E93" t="s">
        <v>12</v>
      </c>
      <c r="F93">
        <v>2</v>
      </c>
      <c r="G93" s="3">
        <v>23.66</v>
      </c>
      <c r="H93" s="4">
        <v>0.25</v>
      </c>
      <c r="I93" t="b">
        <v>0</v>
      </c>
      <c r="J93" s="3">
        <f>tblRestaurant[[#This Row],[Total Bill]]*tblRestaurant[[#This Row],[Tip %]]</f>
        <v>5.915</v>
      </c>
      <c r="K93" s="7" t="str">
        <f>IF(tblRestaurant[[#This Row],[Cash]]=TRUE,"Cash","Card")</f>
        <v>Card</v>
      </c>
      <c r="L93" s="7" t="str">
        <f>IF(tblRestaurant[[#This Row],[Total Bill]]&lt;20,"Low",IF(tblRestaurant[[#This Row],[Total Bill]]&lt;50,"Medium","High"))</f>
        <v>Medium</v>
      </c>
      <c r="M93" s="7" t="str">
        <f>IF(tblRestaurant[[#This Row],[Party Size]]&lt;=2,"Small",IF(tblRestaurant[[#This Row],[Party Size]]&lt;=4,"Medium","Large"))</f>
        <v>Small</v>
      </c>
      <c r="N93" t="str">
        <f>TEXT(tblRestaurant[[#This Row],[Date]],"mmmm")</f>
        <v>January</v>
      </c>
      <c r="O93" s="12">
        <f>WEEKNUM(tblRestaurant[[#This Row],[Date]])</f>
        <v>2</v>
      </c>
      <c r="P93" s="7" t="str">
        <f>IF(OR(tblRestaurant[[#This Row],[Day]]="Sat",tblRestaurant[[#This Row],[Day]]="Sun"),"Weekend","Weekday")</f>
        <v>Weekend</v>
      </c>
      <c r="Q93" s="7" t="str">
        <f>IF(OR(tblRestaurant[[#This Row],[Day]]="Fri",tblRestaurant[[#This Row],[Day]]="Thu"),"Weekday","Weekend")</f>
        <v>Weekend</v>
      </c>
      <c r="R93" s="7" t="str">
        <f>IF(tblRestaurant[[#This Row],[Total Bill]]&lt;25,"Bronze",IF(tblRestaurant[[#This Row],[Total Bill]]&lt;50,"Silver",IF(tblRestaurant[[#This Row],[Total Bill]]&lt;75,"Gold","Platinum")))</f>
        <v>Bronze</v>
      </c>
      <c r="S93" s="7" cm="1">
        <f t="array" ref="S93">_xlfn.SWITCH(tblRestaurant[[#This Row],[Revenue Tier]],"Bronze",1,"Silver",2,"Gold",3,"Platinum",4)</f>
        <v>1</v>
      </c>
      <c r="T93" s="13">
        <f>AVERAGE(tblRestaurant[[#This Row],[Total Bill]],tblRestaurant[[#This Row],[Party Size]])</f>
        <v>12.83</v>
      </c>
    </row>
    <row r="94" spans="1:20" ht="20.100000000000001" customHeight="1">
      <c r="A94">
        <v>93</v>
      </c>
      <c r="B94" s="2">
        <v>45662</v>
      </c>
      <c r="C94" t="s">
        <v>18</v>
      </c>
      <c r="D94" t="s">
        <v>17</v>
      </c>
      <c r="E94" t="s">
        <v>11</v>
      </c>
      <c r="F94">
        <v>2</v>
      </c>
      <c r="G94" s="3">
        <v>19.579999999999998</v>
      </c>
      <c r="H94" s="4">
        <v>0.2</v>
      </c>
      <c r="I94" t="b">
        <v>0</v>
      </c>
      <c r="J94" s="3">
        <f>tblRestaurant[[#This Row],[Total Bill]]*tblRestaurant[[#This Row],[Tip %]]</f>
        <v>3.9159999999999999</v>
      </c>
      <c r="K94" s="7" t="str">
        <f>IF(tblRestaurant[[#This Row],[Cash]]=TRUE,"Cash","Card")</f>
        <v>Card</v>
      </c>
      <c r="L94" s="7" t="str">
        <f>IF(tblRestaurant[[#This Row],[Total Bill]]&lt;20,"Low",IF(tblRestaurant[[#This Row],[Total Bill]]&lt;50,"Medium","High"))</f>
        <v>Low</v>
      </c>
      <c r="M94" s="7" t="str">
        <f>IF(tblRestaurant[[#This Row],[Party Size]]&lt;=2,"Small",IF(tblRestaurant[[#This Row],[Party Size]]&lt;=4,"Medium","Large"))</f>
        <v>Small</v>
      </c>
      <c r="N94" t="str">
        <f>TEXT(tblRestaurant[[#This Row],[Date]],"mmmm")</f>
        <v>January</v>
      </c>
      <c r="O94" s="12">
        <f>WEEKNUM(tblRestaurant[[#This Row],[Date]])</f>
        <v>2</v>
      </c>
      <c r="P94" s="7" t="str">
        <f>IF(OR(tblRestaurant[[#This Row],[Day]]="Sat",tblRestaurant[[#This Row],[Day]]="Sun"),"Weekend","Weekday")</f>
        <v>Weekend</v>
      </c>
      <c r="Q94" s="7" t="str">
        <f>IF(OR(tblRestaurant[[#This Row],[Day]]="Fri",tblRestaurant[[#This Row],[Day]]="Thu"),"Weekday","Weekend")</f>
        <v>Weekend</v>
      </c>
      <c r="R94" s="7" t="str">
        <f>IF(tblRestaurant[[#This Row],[Total Bill]]&lt;25,"Bronze",IF(tblRestaurant[[#This Row],[Total Bill]]&lt;50,"Silver",IF(tblRestaurant[[#This Row],[Total Bill]]&lt;75,"Gold","Platinum")))</f>
        <v>Bronze</v>
      </c>
      <c r="S94" s="7" cm="1">
        <f t="array" ref="S94">_xlfn.SWITCH(tblRestaurant[[#This Row],[Revenue Tier]],"Bronze",1,"Silver",2,"Gold",3,"Platinum",4)</f>
        <v>1</v>
      </c>
      <c r="T94" s="13">
        <f>AVERAGE(tblRestaurant[[#This Row],[Total Bill]],tblRestaurant[[#This Row],[Party Size]])</f>
        <v>10.79</v>
      </c>
    </row>
    <row r="95" spans="1:20" ht="20.100000000000001" customHeight="1">
      <c r="A95">
        <v>94</v>
      </c>
      <c r="B95" s="2">
        <v>45662</v>
      </c>
      <c r="C95" t="s">
        <v>18</v>
      </c>
      <c r="D95" t="s">
        <v>17</v>
      </c>
      <c r="E95" t="s">
        <v>11</v>
      </c>
      <c r="F95">
        <v>2</v>
      </c>
      <c r="G95" s="3">
        <v>31.69</v>
      </c>
      <c r="H95" s="4">
        <v>0.18</v>
      </c>
      <c r="I95" t="b">
        <v>0</v>
      </c>
      <c r="J95" s="3">
        <f>tblRestaurant[[#This Row],[Total Bill]]*tblRestaurant[[#This Row],[Tip %]]</f>
        <v>5.7042000000000002</v>
      </c>
      <c r="K95" s="7" t="str">
        <f>IF(tblRestaurant[[#This Row],[Cash]]=TRUE,"Cash","Card")</f>
        <v>Card</v>
      </c>
      <c r="L95" s="7" t="str">
        <f>IF(tblRestaurant[[#This Row],[Total Bill]]&lt;20,"Low",IF(tblRestaurant[[#This Row],[Total Bill]]&lt;50,"Medium","High"))</f>
        <v>Medium</v>
      </c>
      <c r="M95" s="7" t="str">
        <f>IF(tblRestaurant[[#This Row],[Party Size]]&lt;=2,"Small",IF(tblRestaurant[[#This Row],[Party Size]]&lt;=4,"Medium","Large"))</f>
        <v>Small</v>
      </c>
      <c r="N95" t="str">
        <f>TEXT(tblRestaurant[[#This Row],[Date]],"mmmm")</f>
        <v>January</v>
      </c>
      <c r="O95" s="12">
        <f>WEEKNUM(tblRestaurant[[#This Row],[Date]])</f>
        <v>2</v>
      </c>
      <c r="P95" s="7" t="str">
        <f>IF(OR(tblRestaurant[[#This Row],[Day]]="Sat",tblRestaurant[[#This Row],[Day]]="Sun"),"Weekend","Weekday")</f>
        <v>Weekend</v>
      </c>
      <c r="Q95" s="7" t="str">
        <f>IF(OR(tblRestaurant[[#This Row],[Day]]="Fri",tblRestaurant[[#This Row],[Day]]="Thu"),"Weekday","Weekend")</f>
        <v>Weekend</v>
      </c>
      <c r="R95" s="7" t="str">
        <f>IF(tblRestaurant[[#This Row],[Total Bill]]&lt;25,"Bronze",IF(tblRestaurant[[#This Row],[Total Bill]]&lt;50,"Silver",IF(tblRestaurant[[#This Row],[Total Bill]]&lt;75,"Gold","Platinum")))</f>
        <v>Silver</v>
      </c>
      <c r="S95" s="7" cm="1">
        <f t="array" ref="S95">_xlfn.SWITCH(tblRestaurant[[#This Row],[Revenue Tier]],"Bronze",1,"Silver",2,"Gold",3,"Platinum",4)</f>
        <v>2</v>
      </c>
      <c r="T95" s="13">
        <f>AVERAGE(tblRestaurant[[#This Row],[Total Bill]],tblRestaurant[[#This Row],[Party Size]])</f>
        <v>16.844999999999999</v>
      </c>
    </row>
    <row r="96" spans="1:20" ht="20.100000000000001" customHeight="1">
      <c r="A96">
        <v>95</v>
      </c>
      <c r="B96" s="2">
        <v>45662</v>
      </c>
      <c r="C96" t="s">
        <v>18</v>
      </c>
      <c r="D96" t="s">
        <v>17</v>
      </c>
      <c r="E96" t="s">
        <v>13</v>
      </c>
      <c r="F96">
        <v>2</v>
      </c>
      <c r="G96" s="3">
        <v>42.3</v>
      </c>
      <c r="H96" s="4">
        <v>0.15</v>
      </c>
      <c r="I96" t="b">
        <v>0</v>
      </c>
      <c r="J96" s="3">
        <f>tblRestaurant[[#This Row],[Total Bill]]*tblRestaurant[[#This Row],[Tip %]]</f>
        <v>6.3449999999999998</v>
      </c>
      <c r="K96" s="7" t="str">
        <f>IF(tblRestaurant[[#This Row],[Cash]]=TRUE,"Cash","Card")</f>
        <v>Card</v>
      </c>
      <c r="L96" s="7" t="str">
        <f>IF(tblRestaurant[[#This Row],[Total Bill]]&lt;20,"Low",IF(tblRestaurant[[#This Row],[Total Bill]]&lt;50,"Medium","High"))</f>
        <v>Medium</v>
      </c>
      <c r="M96" s="7" t="str">
        <f>IF(tblRestaurant[[#This Row],[Party Size]]&lt;=2,"Small",IF(tblRestaurant[[#This Row],[Party Size]]&lt;=4,"Medium","Large"))</f>
        <v>Small</v>
      </c>
      <c r="N96" t="str">
        <f>TEXT(tblRestaurant[[#This Row],[Date]],"mmmm")</f>
        <v>January</v>
      </c>
      <c r="O96" s="12">
        <f>WEEKNUM(tblRestaurant[[#This Row],[Date]])</f>
        <v>2</v>
      </c>
      <c r="P96" s="7" t="str">
        <f>IF(OR(tblRestaurant[[#This Row],[Day]]="Sat",tblRestaurant[[#This Row],[Day]]="Sun"),"Weekend","Weekday")</f>
        <v>Weekend</v>
      </c>
      <c r="Q96" s="7" t="str">
        <f>IF(OR(tblRestaurant[[#This Row],[Day]]="Fri",tblRestaurant[[#This Row],[Day]]="Thu"),"Weekday","Weekend")</f>
        <v>Weekend</v>
      </c>
      <c r="R96" s="7" t="str">
        <f>IF(tblRestaurant[[#This Row],[Total Bill]]&lt;25,"Bronze",IF(tblRestaurant[[#This Row],[Total Bill]]&lt;50,"Silver",IF(tblRestaurant[[#This Row],[Total Bill]]&lt;75,"Gold","Platinum")))</f>
        <v>Silver</v>
      </c>
      <c r="S96" s="7" cm="1">
        <f t="array" ref="S96">_xlfn.SWITCH(tblRestaurant[[#This Row],[Revenue Tier]],"Bronze",1,"Silver",2,"Gold",3,"Platinum",4)</f>
        <v>2</v>
      </c>
      <c r="T96" s="13">
        <f>AVERAGE(tblRestaurant[[#This Row],[Total Bill]],tblRestaurant[[#This Row],[Party Size]])</f>
        <v>22.15</v>
      </c>
    </row>
    <row r="97" spans="1:20" ht="20.100000000000001" customHeight="1">
      <c r="A97">
        <v>96</v>
      </c>
      <c r="B97" s="2">
        <v>45662</v>
      </c>
      <c r="C97" t="s">
        <v>18</v>
      </c>
      <c r="D97" t="s">
        <v>17</v>
      </c>
      <c r="E97" t="s">
        <v>11</v>
      </c>
      <c r="F97">
        <v>4</v>
      </c>
      <c r="G97" s="3">
        <v>35.950000000000003</v>
      </c>
      <c r="H97" s="4">
        <v>0.25</v>
      </c>
      <c r="I97" t="b">
        <v>0</v>
      </c>
      <c r="J97" s="3">
        <f>tblRestaurant[[#This Row],[Total Bill]]*tblRestaurant[[#This Row],[Tip %]]</f>
        <v>8.9875000000000007</v>
      </c>
      <c r="K97" s="7" t="str">
        <f>IF(tblRestaurant[[#This Row],[Cash]]=TRUE,"Cash","Card")</f>
        <v>Card</v>
      </c>
      <c r="L97" s="7" t="str">
        <f>IF(tblRestaurant[[#This Row],[Total Bill]]&lt;20,"Low",IF(tblRestaurant[[#This Row],[Total Bill]]&lt;50,"Medium","High"))</f>
        <v>Medium</v>
      </c>
      <c r="M97" s="7" t="str">
        <f>IF(tblRestaurant[[#This Row],[Party Size]]&lt;=2,"Small",IF(tblRestaurant[[#This Row],[Party Size]]&lt;=4,"Medium","Large"))</f>
        <v>Medium</v>
      </c>
      <c r="N97" t="str">
        <f>TEXT(tblRestaurant[[#This Row],[Date]],"mmmm")</f>
        <v>January</v>
      </c>
      <c r="O97" s="12">
        <f>WEEKNUM(tblRestaurant[[#This Row],[Date]])</f>
        <v>2</v>
      </c>
      <c r="P97" s="7" t="str">
        <f>IF(OR(tblRestaurant[[#This Row],[Day]]="Sat",tblRestaurant[[#This Row],[Day]]="Sun"),"Weekend","Weekday")</f>
        <v>Weekend</v>
      </c>
      <c r="Q97" s="7" t="str">
        <f>IF(OR(tblRestaurant[[#This Row],[Day]]="Fri",tblRestaurant[[#This Row],[Day]]="Thu"),"Weekday","Weekend")</f>
        <v>Weekend</v>
      </c>
      <c r="R97" s="7" t="str">
        <f>IF(tblRestaurant[[#This Row],[Total Bill]]&lt;25,"Bronze",IF(tblRestaurant[[#This Row],[Total Bill]]&lt;50,"Silver",IF(tblRestaurant[[#This Row],[Total Bill]]&lt;75,"Gold","Platinum")))</f>
        <v>Silver</v>
      </c>
      <c r="S97" s="7" cm="1">
        <f t="array" ref="S97">_xlfn.SWITCH(tblRestaurant[[#This Row],[Revenue Tier]],"Bronze",1,"Silver",2,"Gold",3,"Platinum",4)</f>
        <v>2</v>
      </c>
      <c r="T97" s="13">
        <f>AVERAGE(tblRestaurant[[#This Row],[Total Bill]],tblRestaurant[[#This Row],[Party Size]])</f>
        <v>19.975000000000001</v>
      </c>
    </row>
    <row r="98" spans="1:20" ht="20.100000000000001" customHeight="1">
      <c r="A98">
        <v>97</v>
      </c>
      <c r="B98" s="2">
        <v>45662</v>
      </c>
      <c r="C98" t="s">
        <v>18</v>
      </c>
      <c r="D98" t="s">
        <v>17</v>
      </c>
      <c r="E98" t="s">
        <v>11</v>
      </c>
      <c r="F98">
        <v>2</v>
      </c>
      <c r="G98" s="3">
        <v>24.46</v>
      </c>
      <c r="H98" s="4">
        <v>0.2</v>
      </c>
      <c r="I98" t="b">
        <v>0</v>
      </c>
      <c r="J98" s="3">
        <f>tblRestaurant[[#This Row],[Total Bill]]*tblRestaurant[[#This Row],[Tip %]]</f>
        <v>4.8920000000000003</v>
      </c>
      <c r="K98" s="7" t="str">
        <f>IF(tblRestaurant[[#This Row],[Cash]]=TRUE,"Cash","Card")</f>
        <v>Card</v>
      </c>
      <c r="L98" s="7" t="str">
        <f>IF(tblRestaurant[[#This Row],[Total Bill]]&lt;20,"Low",IF(tblRestaurant[[#This Row],[Total Bill]]&lt;50,"Medium","High"))</f>
        <v>Medium</v>
      </c>
      <c r="M98" s="7" t="str">
        <f>IF(tblRestaurant[[#This Row],[Party Size]]&lt;=2,"Small",IF(tblRestaurant[[#This Row],[Party Size]]&lt;=4,"Medium","Large"))</f>
        <v>Small</v>
      </c>
      <c r="N98" t="str">
        <f>TEXT(tblRestaurant[[#This Row],[Date]],"mmmm")</f>
        <v>January</v>
      </c>
      <c r="O98" s="12">
        <f>WEEKNUM(tblRestaurant[[#This Row],[Date]])</f>
        <v>2</v>
      </c>
      <c r="P98" s="7" t="str">
        <f>IF(OR(tblRestaurant[[#This Row],[Day]]="Sat",tblRestaurant[[#This Row],[Day]]="Sun"),"Weekend","Weekday")</f>
        <v>Weekend</v>
      </c>
      <c r="Q98" s="7" t="str">
        <f>IF(OR(tblRestaurant[[#This Row],[Day]]="Fri",tblRestaurant[[#This Row],[Day]]="Thu"),"Weekday","Weekend")</f>
        <v>Weekend</v>
      </c>
      <c r="R98" s="7" t="str">
        <f>IF(tblRestaurant[[#This Row],[Total Bill]]&lt;25,"Bronze",IF(tblRestaurant[[#This Row],[Total Bill]]&lt;50,"Silver",IF(tblRestaurant[[#This Row],[Total Bill]]&lt;75,"Gold","Platinum")))</f>
        <v>Bronze</v>
      </c>
      <c r="S98" s="7" cm="1">
        <f t="array" ref="S98">_xlfn.SWITCH(tblRestaurant[[#This Row],[Revenue Tier]],"Bronze",1,"Silver",2,"Gold",3,"Platinum",4)</f>
        <v>1</v>
      </c>
      <c r="T98" s="13">
        <f>AVERAGE(tblRestaurant[[#This Row],[Total Bill]],tblRestaurant[[#This Row],[Party Size]])</f>
        <v>13.23</v>
      </c>
    </row>
    <row r="99" spans="1:20" ht="20.100000000000001" customHeight="1">
      <c r="A99">
        <v>98</v>
      </c>
      <c r="B99" s="2">
        <v>45662</v>
      </c>
      <c r="C99" t="s">
        <v>18</v>
      </c>
      <c r="D99" t="s">
        <v>17</v>
      </c>
      <c r="E99" t="s">
        <v>12</v>
      </c>
      <c r="F99">
        <v>2</v>
      </c>
      <c r="G99" s="3">
        <v>32.78</v>
      </c>
      <c r="H99" s="4">
        <v>0.15</v>
      </c>
      <c r="I99" t="b">
        <v>0</v>
      </c>
      <c r="J99" s="3">
        <f>tblRestaurant[[#This Row],[Total Bill]]*tblRestaurant[[#This Row],[Tip %]]</f>
        <v>4.9169999999999998</v>
      </c>
      <c r="K99" s="7" t="str">
        <f>IF(tblRestaurant[[#This Row],[Cash]]=TRUE,"Cash","Card")</f>
        <v>Card</v>
      </c>
      <c r="L99" s="7" t="str">
        <f>IF(tblRestaurant[[#This Row],[Total Bill]]&lt;20,"Low",IF(tblRestaurant[[#This Row],[Total Bill]]&lt;50,"Medium","High"))</f>
        <v>Medium</v>
      </c>
      <c r="M99" s="7" t="str">
        <f>IF(tblRestaurant[[#This Row],[Party Size]]&lt;=2,"Small",IF(tblRestaurant[[#This Row],[Party Size]]&lt;=4,"Medium","Large"))</f>
        <v>Small</v>
      </c>
      <c r="N99" t="str">
        <f>TEXT(tblRestaurant[[#This Row],[Date]],"mmmm")</f>
        <v>January</v>
      </c>
      <c r="O99" s="12">
        <f>WEEKNUM(tblRestaurant[[#This Row],[Date]])</f>
        <v>2</v>
      </c>
      <c r="P99" s="7" t="str">
        <f>IF(OR(tblRestaurant[[#This Row],[Day]]="Sat",tblRestaurant[[#This Row],[Day]]="Sun"),"Weekend","Weekday")</f>
        <v>Weekend</v>
      </c>
      <c r="Q99" s="7" t="str">
        <f>IF(OR(tblRestaurant[[#This Row],[Day]]="Fri",tblRestaurant[[#This Row],[Day]]="Thu"),"Weekday","Weekend")</f>
        <v>Weekend</v>
      </c>
      <c r="R99" s="7" t="str">
        <f>IF(tblRestaurant[[#This Row],[Total Bill]]&lt;25,"Bronze",IF(tblRestaurant[[#This Row],[Total Bill]]&lt;50,"Silver",IF(tblRestaurant[[#This Row],[Total Bill]]&lt;75,"Gold","Platinum")))</f>
        <v>Silver</v>
      </c>
      <c r="S99" s="7" cm="1">
        <f t="array" ref="S99">_xlfn.SWITCH(tblRestaurant[[#This Row],[Revenue Tier]],"Bronze",1,"Silver",2,"Gold",3,"Platinum",4)</f>
        <v>2</v>
      </c>
      <c r="T99" s="13">
        <f>AVERAGE(tblRestaurant[[#This Row],[Total Bill]],tblRestaurant[[#This Row],[Party Size]])</f>
        <v>17.39</v>
      </c>
    </row>
    <row r="100" spans="1:20" ht="20.100000000000001" customHeight="1">
      <c r="A100">
        <v>99</v>
      </c>
      <c r="B100" s="2">
        <v>45662</v>
      </c>
      <c r="C100" t="s">
        <v>18</v>
      </c>
      <c r="D100" t="s">
        <v>17</v>
      </c>
      <c r="E100" t="s">
        <v>11</v>
      </c>
      <c r="F100">
        <v>2</v>
      </c>
      <c r="G100" s="3">
        <v>20.38</v>
      </c>
      <c r="H100" s="4">
        <v>0.15</v>
      </c>
      <c r="I100" t="b">
        <v>0</v>
      </c>
      <c r="J100" s="3">
        <f>tblRestaurant[[#This Row],[Total Bill]]*tblRestaurant[[#This Row],[Tip %]]</f>
        <v>3.0569999999999999</v>
      </c>
      <c r="K100" s="7" t="str">
        <f>IF(tblRestaurant[[#This Row],[Cash]]=TRUE,"Cash","Card")</f>
        <v>Card</v>
      </c>
      <c r="L100" s="7" t="str">
        <f>IF(tblRestaurant[[#This Row],[Total Bill]]&lt;20,"Low",IF(tblRestaurant[[#This Row],[Total Bill]]&lt;50,"Medium","High"))</f>
        <v>Medium</v>
      </c>
      <c r="M100" s="7" t="str">
        <f>IF(tblRestaurant[[#This Row],[Party Size]]&lt;=2,"Small",IF(tblRestaurant[[#This Row],[Party Size]]&lt;=4,"Medium","Large"))</f>
        <v>Small</v>
      </c>
      <c r="N100" t="str">
        <f>TEXT(tblRestaurant[[#This Row],[Date]],"mmmm")</f>
        <v>January</v>
      </c>
      <c r="O100" s="12">
        <f>WEEKNUM(tblRestaurant[[#This Row],[Date]])</f>
        <v>2</v>
      </c>
      <c r="P100" s="7" t="str">
        <f>IF(OR(tblRestaurant[[#This Row],[Day]]="Sat",tblRestaurant[[#This Row],[Day]]="Sun"),"Weekend","Weekday")</f>
        <v>Weekend</v>
      </c>
      <c r="Q100" s="7" t="str">
        <f>IF(OR(tblRestaurant[[#This Row],[Day]]="Fri",tblRestaurant[[#This Row],[Day]]="Thu"),"Weekday","Weekend")</f>
        <v>Weekend</v>
      </c>
      <c r="R100" s="7" t="str">
        <f>IF(tblRestaurant[[#This Row],[Total Bill]]&lt;25,"Bronze",IF(tblRestaurant[[#This Row],[Total Bill]]&lt;50,"Silver",IF(tblRestaurant[[#This Row],[Total Bill]]&lt;75,"Gold","Platinum")))</f>
        <v>Bronze</v>
      </c>
      <c r="S100" s="7" cm="1">
        <f t="array" ref="S100">_xlfn.SWITCH(tblRestaurant[[#This Row],[Revenue Tier]],"Bronze",1,"Silver",2,"Gold",3,"Platinum",4)</f>
        <v>1</v>
      </c>
      <c r="T100" s="13">
        <f>AVERAGE(tblRestaurant[[#This Row],[Total Bill]],tblRestaurant[[#This Row],[Party Size]])</f>
        <v>11.19</v>
      </c>
    </row>
    <row r="101" spans="1:20" ht="20.100000000000001" customHeight="1">
      <c r="A101">
        <v>100</v>
      </c>
      <c r="B101" s="2">
        <v>45662</v>
      </c>
      <c r="C101" t="s">
        <v>18</v>
      </c>
      <c r="D101" t="s">
        <v>17</v>
      </c>
      <c r="E101" t="s">
        <v>13</v>
      </c>
      <c r="F101">
        <v>2</v>
      </c>
      <c r="G101" s="3">
        <v>14.63</v>
      </c>
      <c r="H101" s="4">
        <v>0.2</v>
      </c>
      <c r="I101" t="b">
        <v>1</v>
      </c>
      <c r="J101" s="3">
        <f>tblRestaurant[[#This Row],[Total Bill]]*tblRestaurant[[#This Row],[Tip %]]</f>
        <v>2.9260000000000002</v>
      </c>
      <c r="K101" s="7" t="str">
        <f>IF(tblRestaurant[[#This Row],[Cash]]=TRUE,"Cash","Card")</f>
        <v>Cash</v>
      </c>
      <c r="L101" s="7" t="str">
        <f>IF(tblRestaurant[[#This Row],[Total Bill]]&lt;20,"Low",IF(tblRestaurant[[#This Row],[Total Bill]]&lt;50,"Medium","High"))</f>
        <v>Low</v>
      </c>
      <c r="M101" s="7" t="str">
        <f>IF(tblRestaurant[[#This Row],[Party Size]]&lt;=2,"Small",IF(tblRestaurant[[#This Row],[Party Size]]&lt;=4,"Medium","Large"))</f>
        <v>Small</v>
      </c>
      <c r="N101" t="str">
        <f>TEXT(tblRestaurant[[#This Row],[Date]],"mmmm")</f>
        <v>January</v>
      </c>
      <c r="O101" s="12">
        <f>WEEKNUM(tblRestaurant[[#This Row],[Date]])</f>
        <v>2</v>
      </c>
      <c r="P101" s="7" t="str">
        <f>IF(OR(tblRestaurant[[#This Row],[Day]]="Sat",tblRestaurant[[#This Row],[Day]]="Sun"),"Weekend","Weekday")</f>
        <v>Weekend</v>
      </c>
      <c r="Q101" s="7" t="str">
        <f>IF(OR(tblRestaurant[[#This Row],[Day]]="Fri",tblRestaurant[[#This Row],[Day]]="Thu"),"Weekday","Weekend")</f>
        <v>Weekend</v>
      </c>
      <c r="R101" s="7" t="str">
        <f>IF(tblRestaurant[[#This Row],[Total Bill]]&lt;25,"Bronze",IF(tblRestaurant[[#This Row],[Total Bill]]&lt;50,"Silver",IF(tblRestaurant[[#This Row],[Total Bill]]&lt;75,"Gold","Platinum")))</f>
        <v>Bronze</v>
      </c>
      <c r="S101" s="7" cm="1">
        <f t="array" ref="S101">_xlfn.SWITCH(tblRestaurant[[#This Row],[Revenue Tier]],"Bronze",1,"Silver",2,"Gold",3,"Platinum",4)</f>
        <v>1</v>
      </c>
      <c r="T101" s="13">
        <f>AVERAGE(tblRestaurant[[#This Row],[Total Bill]],tblRestaurant[[#This Row],[Party Size]])</f>
        <v>8.3150000000000013</v>
      </c>
    </row>
    <row r="102" spans="1:20" ht="20.100000000000001" customHeight="1">
      <c r="A102">
        <v>101</v>
      </c>
      <c r="B102" s="2">
        <v>45662</v>
      </c>
      <c r="C102" t="s">
        <v>18</v>
      </c>
      <c r="D102" t="s">
        <v>17</v>
      </c>
      <c r="E102" t="s">
        <v>12</v>
      </c>
      <c r="F102">
        <v>2</v>
      </c>
      <c r="G102" s="3">
        <v>8.5399999999999991</v>
      </c>
      <c r="H102" s="4">
        <v>0.1</v>
      </c>
      <c r="I102" t="b">
        <v>1</v>
      </c>
      <c r="J102" s="3">
        <f>tblRestaurant[[#This Row],[Total Bill]]*tblRestaurant[[#This Row],[Tip %]]</f>
        <v>0.85399999999999998</v>
      </c>
      <c r="K102" s="7" t="str">
        <f>IF(tblRestaurant[[#This Row],[Cash]]=TRUE,"Cash","Card")</f>
        <v>Cash</v>
      </c>
      <c r="L102" s="7" t="str">
        <f>IF(tblRestaurant[[#This Row],[Total Bill]]&lt;20,"Low",IF(tblRestaurant[[#This Row],[Total Bill]]&lt;50,"Medium","High"))</f>
        <v>Low</v>
      </c>
      <c r="M102" s="7" t="str">
        <f>IF(tblRestaurant[[#This Row],[Party Size]]&lt;=2,"Small",IF(tblRestaurant[[#This Row],[Party Size]]&lt;=4,"Medium","Large"))</f>
        <v>Small</v>
      </c>
      <c r="N102" t="str">
        <f>TEXT(tblRestaurant[[#This Row],[Date]],"mmmm")</f>
        <v>January</v>
      </c>
      <c r="O102" s="12">
        <f>WEEKNUM(tblRestaurant[[#This Row],[Date]])</f>
        <v>2</v>
      </c>
      <c r="P102" s="7" t="str">
        <f>IF(OR(tblRestaurant[[#This Row],[Day]]="Sat",tblRestaurant[[#This Row],[Day]]="Sun"),"Weekend","Weekday")</f>
        <v>Weekend</v>
      </c>
      <c r="Q102" s="7" t="str">
        <f>IF(OR(tblRestaurant[[#This Row],[Day]]="Fri",tblRestaurant[[#This Row],[Day]]="Thu"),"Weekday","Weekend")</f>
        <v>Weekend</v>
      </c>
      <c r="R102" s="7" t="str">
        <f>IF(tblRestaurant[[#This Row],[Total Bill]]&lt;25,"Bronze",IF(tblRestaurant[[#This Row],[Total Bill]]&lt;50,"Silver",IF(tblRestaurant[[#This Row],[Total Bill]]&lt;75,"Gold","Platinum")))</f>
        <v>Bronze</v>
      </c>
      <c r="S102" s="7" cm="1">
        <f t="array" ref="S102">_xlfn.SWITCH(tblRestaurant[[#This Row],[Revenue Tier]],"Bronze",1,"Silver",2,"Gold",3,"Platinum",4)</f>
        <v>1</v>
      </c>
      <c r="T102" s="13">
        <f>AVERAGE(tblRestaurant[[#This Row],[Total Bill]],tblRestaurant[[#This Row],[Party Size]])</f>
        <v>5.27</v>
      </c>
    </row>
    <row r="103" spans="1:20" ht="20.100000000000001" customHeight="1">
      <c r="A103">
        <v>102</v>
      </c>
      <c r="B103" s="2">
        <v>45662</v>
      </c>
      <c r="C103" t="s">
        <v>18</v>
      </c>
      <c r="D103" t="s">
        <v>17</v>
      </c>
      <c r="E103" t="s">
        <v>12</v>
      </c>
      <c r="F103">
        <v>2</v>
      </c>
      <c r="G103" s="3">
        <v>27.88</v>
      </c>
      <c r="H103" s="4">
        <v>0.18</v>
      </c>
      <c r="I103" t="b">
        <v>0</v>
      </c>
      <c r="J103" s="3">
        <f>tblRestaurant[[#This Row],[Total Bill]]*tblRestaurant[[#This Row],[Tip %]]</f>
        <v>5.0183999999999997</v>
      </c>
      <c r="K103" s="7" t="str">
        <f>IF(tblRestaurant[[#This Row],[Cash]]=TRUE,"Cash","Card")</f>
        <v>Card</v>
      </c>
      <c r="L103" s="7" t="str">
        <f>IF(tblRestaurant[[#This Row],[Total Bill]]&lt;20,"Low",IF(tblRestaurant[[#This Row],[Total Bill]]&lt;50,"Medium","High"))</f>
        <v>Medium</v>
      </c>
      <c r="M103" s="7" t="str">
        <f>IF(tblRestaurant[[#This Row],[Party Size]]&lt;=2,"Small",IF(tblRestaurant[[#This Row],[Party Size]]&lt;=4,"Medium","Large"))</f>
        <v>Small</v>
      </c>
      <c r="N103" t="str">
        <f>TEXT(tblRestaurant[[#This Row],[Date]],"mmmm")</f>
        <v>January</v>
      </c>
      <c r="O103" s="12">
        <f>WEEKNUM(tblRestaurant[[#This Row],[Date]])</f>
        <v>2</v>
      </c>
      <c r="P103" s="7" t="str">
        <f>IF(OR(tblRestaurant[[#This Row],[Day]]="Sat",tblRestaurant[[#This Row],[Day]]="Sun"),"Weekend","Weekday")</f>
        <v>Weekend</v>
      </c>
      <c r="Q103" s="7" t="str">
        <f>IF(OR(tblRestaurant[[#This Row],[Day]]="Fri",tblRestaurant[[#This Row],[Day]]="Thu"),"Weekday","Weekend")</f>
        <v>Weekend</v>
      </c>
      <c r="R103" s="7" t="str">
        <f>IF(tblRestaurant[[#This Row],[Total Bill]]&lt;25,"Bronze",IF(tblRestaurant[[#This Row],[Total Bill]]&lt;50,"Silver",IF(tblRestaurant[[#This Row],[Total Bill]]&lt;75,"Gold","Platinum")))</f>
        <v>Silver</v>
      </c>
      <c r="S103" s="7" cm="1">
        <f t="array" ref="S103">_xlfn.SWITCH(tblRestaurant[[#This Row],[Revenue Tier]],"Bronze",1,"Silver",2,"Gold",3,"Platinum",4)</f>
        <v>2</v>
      </c>
      <c r="T103" s="13">
        <f>AVERAGE(tblRestaurant[[#This Row],[Total Bill]],tblRestaurant[[#This Row],[Party Size]])</f>
        <v>14.94</v>
      </c>
    </row>
    <row r="104" spans="1:20" ht="20.100000000000001" customHeight="1">
      <c r="A104">
        <v>103</v>
      </c>
      <c r="B104" s="2">
        <v>45666</v>
      </c>
      <c r="C104" t="s">
        <v>9</v>
      </c>
      <c r="D104" t="s">
        <v>10</v>
      </c>
      <c r="E104" t="s">
        <v>11</v>
      </c>
      <c r="F104">
        <v>3</v>
      </c>
      <c r="G104" s="3">
        <v>23.5</v>
      </c>
      <c r="H104" s="4">
        <v>0.2</v>
      </c>
      <c r="I104" t="b">
        <v>0</v>
      </c>
      <c r="J104" s="3">
        <f>tblRestaurant[[#This Row],[Total Bill]]*tblRestaurant[[#This Row],[Tip %]]</f>
        <v>4.7</v>
      </c>
      <c r="K104" s="7" t="str">
        <f>IF(tblRestaurant[[#This Row],[Cash]]=TRUE,"Cash","Card")</f>
        <v>Card</v>
      </c>
      <c r="L104" s="7" t="str">
        <f>IF(tblRestaurant[[#This Row],[Total Bill]]&lt;20,"Low",IF(tblRestaurant[[#This Row],[Total Bill]]&lt;50,"Medium","High"))</f>
        <v>Medium</v>
      </c>
      <c r="M104" s="7" t="str">
        <f>IF(tblRestaurant[[#This Row],[Party Size]]&lt;=2,"Small",IF(tblRestaurant[[#This Row],[Party Size]]&lt;=4,"Medium","Large"))</f>
        <v>Medium</v>
      </c>
      <c r="N104" t="str">
        <f>TEXT(tblRestaurant[[#This Row],[Date]],"mmmm")</f>
        <v>January</v>
      </c>
      <c r="O104" s="12">
        <f>WEEKNUM(tblRestaurant[[#This Row],[Date]])</f>
        <v>2</v>
      </c>
      <c r="P104" s="7" t="str">
        <f>IF(OR(tblRestaurant[[#This Row],[Day]]="Sat",tblRestaurant[[#This Row],[Day]]="Sun"),"Weekend","Weekday")</f>
        <v>Weekday</v>
      </c>
      <c r="Q104" s="7" t="str">
        <f>IF(OR(tblRestaurant[[#This Row],[Day]]="Fri",tblRestaurant[[#This Row],[Day]]="Thu"),"Weekday","Weekend")</f>
        <v>Weekday</v>
      </c>
      <c r="R104" s="7" t="str">
        <f>IF(tblRestaurant[[#This Row],[Total Bill]]&lt;25,"Bronze",IF(tblRestaurant[[#This Row],[Total Bill]]&lt;50,"Silver",IF(tblRestaurant[[#This Row],[Total Bill]]&lt;75,"Gold","Platinum")))</f>
        <v>Bronze</v>
      </c>
      <c r="S104" s="7" cm="1">
        <f t="array" ref="S104">_xlfn.SWITCH(tblRestaurant[[#This Row],[Revenue Tier]],"Bronze",1,"Silver",2,"Gold",3,"Platinum",4)</f>
        <v>1</v>
      </c>
      <c r="T104" s="13">
        <f>AVERAGE(tblRestaurant[[#This Row],[Total Bill]],tblRestaurant[[#This Row],[Party Size]])</f>
        <v>13.25</v>
      </c>
    </row>
    <row r="105" spans="1:20" ht="20.100000000000001" customHeight="1">
      <c r="A105">
        <v>104</v>
      </c>
      <c r="B105" s="2">
        <v>45666</v>
      </c>
      <c r="C105" t="s">
        <v>9</v>
      </c>
      <c r="D105" t="s">
        <v>10</v>
      </c>
      <c r="E105" t="s">
        <v>11</v>
      </c>
      <c r="F105">
        <v>2</v>
      </c>
      <c r="G105" s="3">
        <v>35.6</v>
      </c>
      <c r="H105" s="4">
        <v>0.2</v>
      </c>
      <c r="I105" t="b">
        <v>0</v>
      </c>
      <c r="J105" s="3">
        <f>tblRestaurant[[#This Row],[Total Bill]]*tblRestaurant[[#This Row],[Tip %]]</f>
        <v>7.120000000000001</v>
      </c>
      <c r="K105" s="7" t="str">
        <f>IF(tblRestaurant[[#This Row],[Cash]]=TRUE,"Cash","Card")</f>
        <v>Card</v>
      </c>
      <c r="L105" s="7" t="str">
        <f>IF(tblRestaurant[[#This Row],[Total Bill]]&lt;20,"Low",IF(tblRestaurant[[#This Row],[Total Bill]]&lt;50,"Medium","High"))</f>
        <v>Medium</v>
      </c>
      <c r="M105" s="7" t="str">
        <f>IF(tblRestaurant[[#This Row],[Party Size]]&lt;=2,"Small",IF(tblRestaurant[[#This Row],[Party Size]]&lt;=4,"Medium","Large"))</f>
        <v>Small</v>
      </c>
      <c r="N105" t="str">
        <f>TEXT(tblRestaurant[[#This Row],[Date]],"mmmm")</f>
        <v>January</v>
      </c>
      <c r="O105" s="12">
        <f>WEEKNUM(tblRestaurant[[#This Row],[Date]])</f>
        <v>2</v>
      </c>
      <c r="P105" s="7" t="str">
        <f>IF(OR(tblRestaurant[[#This Row],[Day]]="Sat",tblRestaurant[[#This Row],[Day]]="Sun"),"Weekend","Weekday")</f>
        <v>Weekday</v>
      </c>
      <c r="Q105" s="7" t="str">
        <f>IF(OR(tblRestaurant[[#This Row],[Day]]="Fri",tblRestaurant[[#This Row],[Day]]="Thu"),"Weekday","Weekend")</f>
        <v>Weekday</v>
      </c>
      <c r="R105" s="7" t="str">
        <f>IF(tblRestaurant[[#This Row],[Total Bill]]&lt;25,"Bronze",IF(tblRestaurant[[#This Row],[Total Bill]]&lt;50,"Silver",IF(tblRestaurant[[#This Row],[Total Bill]]&lt;75,"Gold","Platinum")))</f>
        <v>Silver</v>
      </c>
      <c r="S105" s="7" cm="1">
        <f t="array" ref="S105">_xlfn.SWITCH(tblRestaurant[[#This Row],[Revenue Tier]],"Bronze",1,"Silver",2,"Gold",3,"Platinum",4)</f>
        <v>2</v>
      </c>
      <c r="T105" s="13">
        <f>AVERAGE(tblRestaurant[[#This Row],[Total Bill]],tblRestaurant[[#This Row],[Party Size]])</f>
        <v>18.8</v>
      </c>
    </row>
    <row r="106" spans="1:20" ht="20.100000000000001" customHeight="1">
      <c r="A106">
        <v>105</v>
      </c>
      <c r="B106" s="2">
        <v>45666</v>
      </c>
      <c r="C106" t="s">
        <v>9</v>
      </c>
      <c r="D106" t="s">
        <v>10</v>
      </c>
      <c r="E106" t="s">
        <v>12</v>
      </c>
      <c r="F106">
        <v>2</v>
      </c>
      <c r="G106" s="3">
        <v>28.08</v>
      </c>
      <c r="H106" s="4">
        <v>0.15</v>
      </c>
      <c r="I106" t="b">
        <v>1</v>
      </c>
      <c r="J106" s="3">
        <f>tblRestaurant[[#This Row],[Total Bill]]*tblRestaurant[[#This Row],[Tip %]]</f>
        <v>4.2119999999999997</v>
      </c>
      <c r="K106" s="7" t="str">
        <f>IF(tblRestaurant[[#This Row],[Cash]]=TRUE,"Cash","Card")</f>
        <v>Cash</v>
      </c>
      <c r="L106" s="7" t="str">
        <f>IF(tblRestaurant[[#This Row],[Total Bill]]&lt;20,"Low",IF(tblRestaurant[[#This Row],[Total Bill]]&lt;50,"Medium","High"))</f>
        <v>Medium</v>
      </c>
      <c r="M106" s="7" t="str">
        <f>IF(tblRestaurant[[#This Row],[Party Size]]&lt;=2,"Small",IF(tblRestaurant[[#This Row],[Party Size]]&lt;=4,"Medium","Large"))</f>
        <v>Small</v>
      </c>
      <c r="N106" t="str">
        <f>TEXT(tblRestaurant[[#This Row],[Date]],"mmmm")</f>
        <v>January</v>
      </c>
      <c r="O106" s="12">
        <f>WEEKNUM(tblRestaurant[[#This Row],[Date]])</f>
        <v>2</v>
      </c>
      <c r="P106" s="7" t="str">
        <f>IF(OR(tblRestaurant[[#This Row],[Day]]="Sat",tblRestaurant[[#This Row],[Day]]="Sun"),"Weekend","Weekday")</f>
        <v>Weekday</v>
      </c>
      <c r="Q106" s="7" t="str">
        <f>IF(OR(tblRestaurant[[#This Row],[Day]]="Fri",tblRestaurant[[#This Row],[Day]]="Thu"),"Weekday","Weekend")</f>
        <v>Weekday</v>
      </c>
      <c r="R106" s="7" t="str">
        <f>IF(tblRestaurant[[#This Row],[Total Bill]]&lt;25,"Bronze",IF(tblRestaurant[[#This Row],[Total Bill]]&lt;50,"Silver",IF(tblRestaurant[[#This Row],[Total Bill]]&lt;75,"Gold","Platinum")))</f>
        <v>Silver</v>
      </c>
      <c r="S106" s="7" cm="1">
        <f t="array" ref="S106">_xlfn.SWITCH(tblRestaurant[[#This Row],[Revenue Tier]],"Bronze",1,"Silver",2,"Gold",3,"Platinum",4)</f>
        <v>2</v>
      </c>
      <c r="T106" s="13">
        <f>AVERAGE(tblRestaurant[[#This Row],[Total Bill]],tblRestaurant[[#This Row],[Party Size]])</f>
        <v>15.04</v>
      </c>
    </row>
    <row r="107" spans="1:20" ht="20.100000000000001" customHeight="1">
      <c r="A107">
        <v>106</v>
      </c>
      <c r="B107" s="2">
        <v>45666</v>
      </c>
      <c r="C107" t="s">
        <v>9</v>
      </c>
      <c r="D107" t="s">
        <v>10</v>
      </c>
      <c r="E107" t="s">
        <v>14</v>
      </c>
      <c r="F107">
        <v>2</v>
      </c>
      <c r="G107" s="3">
        <v>35.549999999999997</v>
      </c>
      <c r="H107" s="4">
        <v>0.2</v>
      </c>
      <c r="I107" t="b">
        <v>0</v>
      </c>
      <c r="J107" s="3">
        <f>tblRestaurant[[#This Row],[Total Bill]]*tblRestaurant[[#This Row],[Tip %]]</f>
        <v>7.1099999999999994</v>
      </c>
      <c r="K107" s="7" t="str">
        <f>IF(tblRestaurant[[#This Row],[Cash]]=TRUE,"Cash","Card")</f>
        <v>Card</v>
      </c>
      <c r="L107" s="7" t="str">
        <f>IF(tblRestaurant[[#This Row],[Total Bill]]&lt;20,"Low",IF(tblRestaurant[[#This Row],[Total Bill]]&lt;50,"Medium","High"))</f>
        <v>Medium</v>
      </c>
      <c r="M107" s="7" t="str">
        <f>IF(tblRestaurant[[#This Row],[Party Size]]&lt;=2,"Small",IF(tblRestaurant[[#This Row],[Party Size]]&lt;=4,"Medium","Large"))</f>
        <v>Small</v>
      </c>
      <c r="N107" t="str">
        <f>TEXT(tblRestaurant[[#This Row],[Date]],"mmmm")</f>
        <v>January</v>
      </c>
      <c r="O107" s="12">
        <f>WEEKNUM(tblRestaurant[[#This Row],[Date]])</f>
        <v>2</v>
      </c>
      <c r="P107" s="7" t="str">
        <f>IF(OR(tblRestaurant[[#This Row],[Day]]="Sat",tblRestaurant[[#This Row],[Day]]="Sun"),"Weekend","Weekday")</f>
        <v>Weekday</v>
      </c>
      <c r="Q107" s="7" t="str">
        <f>IF(OR(tblRestaurant[[#This Row],[Day]]="Fri",tblRestaurant[[#This Row],[Day]]="Thu"),"Weekday","Weekend")</f>
        <v>Weekday</v>
      </c>
      <c r="R107" s="7" t="str">
        <f>IF(tblRestaurant[[#This Row],[Total Bill]]&lt;25,"Bronze",IF(tblRestaurant[[#This Row],[Total Bill]]&lt;50,"Silver",IF(tblRestaurant[[#This Row],[Total Bill]]&lt;75,"Gold","Platinum")))</f>
        <v>Silver</v>
      </c>
      <c r="S107" s="7" cm="1">
        <f t="array" ref="S107">_xlfn.SWITCH(tblRestaurant[[#This Row],[Revenue Tier]],"Bronze",1,"Silver",2,"Gold",3,"Platinum",4)</f>
        <v>2</v>
      </c>
      <c r="T107" s="13">
        <f>AVERAGE(tblRestaurant[[#This Row],[Total Bill]],tblRestaurant[[#This Row],[Party Size]])</f>
        <v>18.774999999999999</v>
      </c>
    </row>
    <row r="108" spans="1:20" ht="20.100000000000001" customHeight="1">
      <c r="A108">
        <v>107</v>
      </c>
      <c r="B108" s="2">
        <v>45666</v>
      </c>
      <c r="C108" t="s">
        <v>9</v>
      </c>
      <c r="D108" t="s">
        <v>10</v>
      </c>
      <c r="E108" t="s">
        <v>12</v>
      </c>
      <c r="F108">
        <v>2</v>
      </c>
      <c r="G108" s="3">
        <v>26.9</v>
      </c>
      <c r="H108" s="4">
        <v>0.15</v>
      </c>
      <c r="I108" t="b">
        <v>0</v>
      </c>
      <c r="J108" s="3">
        <f>tblRestaurant[[#This Row],[Total Bill]]*tblRestaurant[[#This Row],[Tip %]]</f>
        <v>4.0349999999999993</v>
      </c>
      <c r="K108" s="7" t="str">
        <f>IF(tblRestaurant[[#This Row],[Cash]]=TRUE,"Cash","Card")</f>
        <v>Card</v>
      </c>
      <c r="L108" s="7" t="str">
        <f>IF(tblRestaurant[[#This Row],[Total Bill]]&lt;20,"Low",IF(tblRestaurant[[#This Row],[Total Bill]]&lt;50,"Medium","High"))</f>
        <v>Medium</v>
      </c>
      <c r="M108" s="7" t="str">
        <f>IF(tblRestaurant[[#This Row],[Party Size]]&lt;=2,"Small",IF(tblRestaurant[[#This Row],[Party Size]]&lt;=4,"Medium","Large"))</f>
        <v>Small</v>
      </c>
      <c r="N108" t="str">
        <f>TEXT(tblRestaurant[[#This Row],[Date]],"mmmm")</f>
        <v>January</v>
      </c>
      <c r="O108" s="12">
        <f>WEEKNUM(tblRestaurant[[#This Row],[Date]])</f>
        <v>2</v>
      </c>
      <c r="P108" s="7" t="str">
        <f>IF(OR(tblRestaurant[[#This Row],[Day]]="Sat",tblRestaurant[[#This Row],[Day]]="Sun"),"Weekend","Weekday")</f>
        <v>Weekday</v>
      </c>
      <c r="Q108" s="7" t="str">
        <f>IF(OR(tblRestaurant[[#This Row],[Day]]="Fri",tblRestaurant[[#This Row],[Day]]="Thu"),"Weekday","Weekend")</f>
        <v>Weekday</v>
      </c>
      <c r="R108" s="7" t="str">
        <f>IF(tblRestaurant[[#This Row],[Total Bill]]&lt;25,"Bronze",IF(tblRestaurant[[#This Row],[Total Bill]]&lt;50,"Silver",IF(tblRestaurant[[#This Row],[Total Bill]]&lt;75,"Gold","Platinum")))</f>
        <v>Silver</v>
      </c>
      <c r="S108" s="7" cm="1">
        <f t="array" ref="S108">_xlfn.SWITCH(tblRestaurant[[#This Row],[Revenue Tier]],"Bronze",1,"Silver",2,"Gold",3,"Platinum",4)</f>
        <v>2</v>
      </c>
      <c r="T108" s="13">
        <f>AVERAGE(tblRestaurant[[#This Row],[Total Bill]],tblRestaurant[[#This Row],[Party Size]])</f>
        <v>14.45</v>
      </c>
    </row>
    <row r="109" spans="1:20" ht="20.100000000000001" customHeight="1">
      <c r="A109">
        <v>108</v>
      </c>
      <c r="B109" s="2">
        <v>45666</v>
      </c>
      <c r="C109" t="s">
        <v>9</v>
      </c>
      <c r="D109" t="s">
        <v>10</v>
      </c>
      <c r="E109" t="s">
        <v>13</v>
      </c>
      <c r="F109">
        <v>2</v>
      </c>
      <c r="G109" s="3">
        <v>25.72</v>
      </c>
      <c r="H109" s="4">
        <v>0.18</v>
      </c>
      <c r="I109" t="b">
        <v>1</v>
      </c>
      <c r="J109" s="3">
        <f>tblRestaurant[[#This Row],[Total Bill]]*tblRestaurant[[#This Row],[Tip %]]</f>
        <v>4.6295999999999999</v>
      </c>
      <c r="K109" s="7" t="str">
        <f>IF(tblRestaurant[[#This Row],[Cash]]=TRUE,"Cash","Card")</f>
        <v>Cash</v>
      </c>
      <c r="L109" s="7" t="str">
        <f>IF(tblRestaurant[[#This Row],[Total Bill]]&lt;20,"Low",IF(tblRestaurant[[#This Row],[Total Bill]]&lt;50,"Medium","High"))</f>
        <v>Medium</v>
      </c>
      <c r="M109" s="7" t="str">
        <f>IF(tblRestaurant[[#This Row],[Party Size]]&lt;=2,"Small",IF(tblRestaurant[[#This Row],[Party Size]]&lt;=4,"Medium","Large"))</f>
        <v>Small</v>
      </c>
      <c r="N109" t="str">
        <f>TEXT(tblRestaurant[[#This Row],[Date]],"mmmm")</f>
        <v>January</v>
      </c>
      <c r="O109" s="12">
        <f>WEEKNUM(tblRestaurant[[#This Row],[Date]])</f>
        <v>2</v>
      </c>
      <c r="P109" s="7" t="str">
        <f>IF(OR(tblRestaurant[[#This Row],[Day]]="Sat",tblRestaurant[[#This Row],[Day]]="Sun"),"Weekend","Weekday")</f>
        <v>Weekday</v>
      </c>
      <c r="Q109" s="7" t="str">
        <f>IF(OR(tblRestaurant[[#This Row],[Day]]="Fri",tblRestaurant[[#This Row],[Day]]="Thu"),"Weekday","Weekend")</f>
        <v>Weekday</v>
      </c>
      <c r="R109" s="7" t="str">
        <f>IF(tblRestaurant[[#This Row],[Total Bill]]&lt;25,"Bronze",IF(tblRestaurant[[#This Row],[Total Bill]]&lt;50,"Silver",IF(tblRestaurant[[#This Row],[Total Bill]]&lt;75,"Gold","Platinum")))</f>
        <v>Silver</v>
      </c>
      <c r="S109" s="7" cm="1">
        <f t="array" ref="S109">_xlfn.SWITCH(tblRestaurant[[#This Row],[Revenue Tier]],"Bronze",1,"Silver",2,"Gold",3,"Platinum",4)</f>
        <v>2</v>
      </c>
      <c r="T109" s="13">
        <f>AVERAGE(tblRestaurant[[#This Row],[Total Bill]],tblRestaurant[[#This Row],[Party Size]])</f>
        <v>13.86</v>
      </c>
    </row>
    <row r="110" spans="1:20" ht="20.100000000000001" customHeight="1">
      <c r="A110">
        <v>109</v>
      </c>
      <c r="B110" s="2">
        <v>45666</v>
      </c>
      <c r="C110" t="s">
        <v>9</v>
      </c>
      <c r="D110" t="s">
        <v>10</v>
      </c>
      <c r="E110" t="s">
        <v>13</v>
      </c>
      <c r="F110">
        <v>2</v>
      </c>
      <c r="G110" s="3">
        <v>41.46</v>
      </c>
      <c r="H110" s="4">
        <v>0.15</v>
      </c>
      <c r="I110" t="b">
        <v>0</v>
      </c>
      <c r="J110" s="3">
        <f>tblRestaurant[[#This Row],[Total Bill]]*tblRestaurant[[#This Row],[Tip %]]</f>
        <v>6.2190000000000003</v>
      </c>
      <c r="K110" s="7" t="str">
        <f>IF(tblRestaurant[[#This Row],[Cash]]=TRUE,"Cash","Card")</f>
        <v>Card</v>
      </c>
      <c r="L110" s="7" t="str">
        <f>IF(tblRestaurant[[#This Row],[Total Bill]]&lt;20,"Low",IF(tblRestaurant[[#This Row],[Total Bill]]&lt;50,"Medium","High"))</f>
        <v>Medium</v>
      </c>
      <c r="M110" s="7" t="str">
        <f>IF(tblRestaurant[[#This Row],[Party Size]]&lt;=2,"Small",IF(tblRestaurant[[#This Row],[Party Size]]&lt;=4,"Medium","Large"))</f>
        <v>Small</v>
      </c>
      <c r="N110" t="str">
        <f>TEXT(tblRestaurant[[#This Row],[Date]],"mmmm")</f>
        <v>January</v>
      </c>
      <c r="O110" s="12">
        <f>WEEKNUM(tblRestaurant[[#This Row],[Date]])</f>
        <v>2</v>
      </c>
      <c r="P110" s="7" t="str">
        <f>IF(OR(tblRestaurant[[#This Row],[Day]]="Sat",tblRestaurant[[#This Row],[Day]]="Sun"),"Weekend","Weekday")</f>
        <v>Weekday</v>
      </c>
      <c r="Q110" s="7" t="str">
        <f>IF(OR(tblRestaurant[[#This Row],[Day]]="Fri",tblRestaurant[[#This Row],[Day]]="Thu"),"Weekday","Weekend")</f>
        <v>Weekday</v>
      </c>
      <c r="R110" s="7" t="str">
        <f>IF(tblRestaurant[[#This Row],[Total Bill]]&lt;25,"Bronze",IF(tblRestaurant[[#This Row],[Total Bill]]&lt;50,"Silver",IF(tblRestaurant[[#This Row],[Total Bill]]&lt;75,"Gold","Platinum")))</f>
        <v>Silver</v>
      </c>
      <c r="S110" s="7" cm="1">
        <f t="array" ref="S110">_xlfn.SWITCH(tblRestaurant[[#This Row],[Revenue Tier]],"Bronze",1,"Silver",2,"Gold",3,"Platinum",4)</f>
        <v>2</v>
      </c>
      <c r="T110" s="13">
        <f>AVERAGE(tblRestaurant[[#This Row],[Total Bill]],tblRestaurant[[#This Row],[Party Size]])</f>
        <v>21.73</v>
      </c>
    </row>
    <row r="111" spans="1:20" ht="20.100000000000001" customHeight="1">
      <c r="A111">
        <v>110</v>
      </c>
      <c r="B111" s="2">
        <v>45666</v>
      </c>
      <c r="C111" t="s">
        <v>9</v>
      </c>
      <c r="D111" t="s">
        <v>10</v>
      </c>
      <c r="E111" t="s">
        <v>12</v>
      </c>
      <c r="F111">
        <v>2</v>
      </c>
      <c r="G111" s="3">
        <v>12.35</v>
      </c>
      <c r="H111" s="4">
        <v>0.1</v>
      </c>
      <c r="I111" t="b">
        <v>0</v>
      </c>
      <c r="J111" s="3">
        <f>tblRestaurant[[#This Row],[Total Bill]]*tblRestaurant[[#This Row],[Tip %]]</f>
        <v>1.2350000000000001</v>
      </c>
      <c r="K111" s="7" t="str">
        <f>IF(tblRestaurant[[#This Row],[Cash]]=TRUE,"Cash","Card")</f>
        <v>Card</v>
      </c>
      <c r="L111" s="7" t="str">
        <f>IF(tblRestaurant[[#This Row],[Total Bill]]&lt;20,"Low",IF(tblRestaurant[[#This Row],[Total Bill]]&lt;50,"Medium","High"))</f>
        <v>Low</v>
      </c>
      <c r="M111" s="7" t="str">
        <f>IF(tblRestaurant[[#This Row],[Party Size]]&lt;=2,"Small",IF(tblRestaurant[[#This Row],[Party Size]]&lt;=4,"Medium","Large"))</f>
        <v>Small</v>
      </c>
      <c r="N111" t="str">
        <f>TEXT(tblRestaurant[[#This Row],[Date]],"mmmm")</f>
        <v>January</v>
      </c>
      <c r="O111" s="12">
        <f>WEEKNUM(tblRestaurant[[#This Row],[Date]])</f>
        <v>2</v>
      </c>
      <c r="P111" s="7" t="str">
        <f>IF(OR(tblRestaurant[[#This Row],[Day]]="Sat",tblRestaurant[[#This Row],[Day]]="Sun"),"Weekend","Weekday")</f>
        <v>Weekday</v>
      </c>
      <c r="Q111" s="7" t="str">
        <f>IF(OR(tblRestaurant[[#This Row],[Day]]="Fri",tblRestaurant[[#This Row],[Day]]="Thu"),"Weekday","Weekend")</f>
        <v>Weekday</v>
      </c>
      <c r="R111" s="7" t="str">
        <f>IF(tblRestaurant[[#This Row],[Total Bill]]&lt;25,"Bronze",IF(tblRestaurant[[#This Row],[Total Bill]]&lt;50,"Silver",IF(tblRestaurant[[#This Row],[Total Bill]]&lt;75,"Gold","Platinum")))</f>
        <v>Bronze</v>
      </c>
      <c r="S111" s="7" cm="1">
        <f t="array" ref="S111">_xlfn.SWITCH(tblRestaurant[[#This Row],[Revenue Tier]],"Bronze",1,"Silver",2,"Gold",3,"Platinum",4)</f>
        <v>1</v>
      </c>
      <c r="T111" s="13">
        <f>AVERAGE(tblRestaurant[[#This Row],[Total Bill]],tblRestaurant[[#This Row],[Party Size]])</f>
        <v>7.1749999999999998</v>
      </c>
    </row>
    <row r="112" spans="1:20" ht="20.100000000000001" customHeight="1">
      <c r="A112">
        <v>111</v>
      </c>
      <c r="B112" s="2">
        <v>45666</v>
      </c>
      <c r="C112" t="s">
        <v>9</v>
      </c>
      <c r="D112" t="s">
        <v>10</v>
      </c>
      <c r="E112" t="s">
        <v>14</v>
      </c>
      <c r="F112">
        <v>2</v>
      </c>
      <c r="G112" s="3">
        <v>9.23</v>
      </c>
      <c r="H112" s="4">
        <v>0.2</v>
      </c>
      <c r="I112" t="b">
        <v>0</v>
      </c>
      <c r="J112" s="3">
        <f>tblRestaurant[[#This Row],[Total Bill]]*tblRestaurant[[#This Row],[Tip %]]</f>
        <v>1.8460000000000001</v>
      </c>
      <c r="K112" s="7" t="str">
        <f>IF(tblRestaurant[[#This Row],[Cash]]=TRUE,"Cash","Card")</f>
        <v>Card</v>
      </c>
      <c r="L112" s="7" t="str">
        <f>IF(tblRestaurant[[#This Row],[Total Bill]]&lt;20,"Low",IF(tblRestaurant[[#This Row],[Total Bill]]&lt;50,"Medium","High"))</f>
        <v>Low</v>
      </c>
      <c r="M112" s="7" t="str">
        <f>IF(tblRestaurant[[#This Row],[Party Size]]&lt;=2,"Small",IF(tblRestaurant[[#This Row],[Party Size]]&lt;=4,"Medium","Large"))</f>
        <v>Small</v>
      </c>
      <c r="N112" t="str">
        <f>TEXT(tblRestaurant[[#This Row],[Date]],"mmmm")</f>
        <v>January</v>
      </c>
      <c r="O112" s="12">
        <f>WEEKNUM(tblRestaurant[[#This Row],[Date]])</f>
        <v>2</v>
      </c>
      <c r="P112" s="7" t="str">
        <f>IF(OR(tblRestaurant[[#This Row],[Day]]="Sat",tblRestaurant[[#This Row],[Day]]="Sun"),"Weekend","Weekday")</f>
        <v>Weekday</v>
      </c>
      <c r="Q112" s="7" t="str">
        <f>IF(OR(tblRestaurant[[#This Row],[Day]]="Fri",tblRestaurant[[#This Row],[Day]]="Thu"),"Weekday","Weekend")</f>
        <v>Weekday</v>
      </c>
      <c r="R112" s="7" t="str">
        <f>IF(tblRestaurant[[#This Row],[Total Bill]]&lt;25,"Bronze",IF(tblRestaurant[[#This Row],[Total Bill]]&lt;50,"Silver",IF(tblRestaurant[[#This Row],[Total Bill]]&lt;75,"Gold","Platinum")))</f>
        <v>Bronze</v>
      </c>
      <c r="S112" s="7" cm="1">
        <f t="array" ref="S112">_xlfn.SWITCH(tblRestaurant[[#This Row],[Revenue Tier]],"Bronze",1,"Silver",2,"Gold",3,"Platinum",4)</f>
        <v>1</v>
      </c>
      <c r="T112" s="13">
        <f>AVERAGE(tblRestaurant[[#This Row],[Total Bill]],tblRestaurant[[#This Row],[Party Size]])</f>
        <v>5.6150000000000002</v>
      </c>
    </row>
    <row r="113" spans="1:20" ht="20.100000000000001" customHeight="1">
      <c r="A113">
        <v>112</v>
      </c>
      <c r="B113" s="2">
        <v>45666</v>
      </c>
      <c r="C113" t="s">
        <v>9</v>
      </c>
      <c r="D113" t="s">
        <v>10</v>
      </c>
      <c r="E113" t="s">
        <v>12</v>
      </c>
      <c r="F113">
        <v>1</v>
      </c>
      <c r="G113" s="3">
        <v>13.78</v>
      </c>
      <c r="H113" s="4">
        <v>0.2</v>
      </c>
      <c r="I113" t="b">
        <v>0</v>
      </c>
      <c r="J113" s="3">
        <f>tblRestaurant[[#This Row],[Total Bill]]*tblRestaurant[[#This Row],[Tip %]]</f>
        <v>2.7560000000000002</v>
      </c>
      <c r="K113" s="7" t="str">
        <f>IF(tblRestaurant[[#This Row],[Cash]]=TRUE,"Cash","Card")</f>
        <v>Card</v>
      </c>
      <c r="L113" s="7" t="str">
        <f>IF(tblRestaurant[[#This Row],[Total Bill]]&lt;20,"Low",IF(tblRestaurant[[#This Row],[Total Bill]]&lt;50,"Medium","High"))</f>
        <v>Low</v>
      </c>
      <c r="M113" s="7" t="str">
        <f>IF(tblRestaurant[[#This Row],[Party Size]]&lt;=2,"Small",IF(tblRestaurant[[#This Row],[Party Size]]&lt;=4,"Medium","Large"))</f>
        <v>Small</v>
      </c>
      <c r="N113" t="str">
        <f>TEXT(tblRestaurant[[#This Row],[Date]],"mmmm")</f>
        <v>January</v>
      </c>
      <c r="O113" s="12">
        <f>WEEKNUM(tblRestaurant[[#This Row],[Date]])</f>
        <v>2</v>
      </c>
      <c r="P113" s="7" t="str">
        <f>IF(OR(tblRestaurant[[#This Row],[Day]]="Sat",tblRestaurant[[#This Row],[Day]]="Sun"),"Weekend","Weekday")</f>
        <v>Weekday</v>
      </c>
      <c r="Q113" s="7" t="str">
        <f>IF(OR(tblRestaurant[[#This Row],[Day]]="Fri",tblRestaurant[[#This Row],[Day]]="Thu"),"Weekday","Weekend")</f>
        <v>Weekday</v>
      </c>
      <c r="R113" s="7" t="str">
        <f>IF(tblRestaurant[[#This Row],[Total Bill]]&lt;25,"Bronze",IF(tblRestaurant[[#This Row],[Total Bill]]&lt;50,"Silver",IF(tblRestaurant[[#This Row],[Total Bill]]&lt;75,"Gold","Platinum")))</f>
        <v>Bronze</v>
      </c>
      <c r="S113" s="7" cm="1">
        <f t="array" ref="S113">_xlfn.SWITCH(tblRestaurant[[#This Row],[Revenue Tier]],"Bronze",1,"Silver",2,"Gold",3,"Platinum",4)</f>
        <v>1</v>
      </c>
      <c r="T113" s="13">
        <f>AVERAGE(tblRestaurant[[#This Row],[Total Bill]],tblRestaurant[[#This Row],[Party Size]])</f>
        <v>7.39</v>
      </c>
    </row>
    <row r="114" spans="1:20" ht="20.100000000000001" customHeight="1">
      <c r="A114">
        <v>113</v>
      </c>
      <c r="B114" s="2">
        <v>45667</v>
      </c>
      <c r="C114" t="s">
        <v>15</v>
      </c>
      <c r="D114" t="s">
        <v>10</v>
      </c>
      <c r="E114" t="s">
        <v>11</v>
      </c>
      <c r="F114">
        <v>3</v>
      </c>
      <c r="G114" s="3">
        <v>22.03</v>
      </c>
      <c r="H114" s="4">
        <v>0.15</v>
      </c>
      <c r="I114" t="b">
        <v>0</v>
      </c>
      <c r="J114" s="3">
        <f>tblRestaurant[[#This Row],[Total Bill]]*tblRestaurant[[#This Row],[Tip %]]</f>
        <v>3.3045</v>
      </c>
      <c r="K114" s="7" t="str">
        <f>IF(tblRestaurant[[#This Row],[Cash]]=TRUE,"Cash","Card")</f>
        <v>Card</v>
      </c>
      <c r="L114" s="7" t="str">
        <f>IF(tblRestaurant[[#This Row],[Total Bill]]&lt;20,"Low",IF(tblRestaurant[[#This Row],[Total Bill]]&lt;50,"Medium","High"))</f>
        <v>Medium</v>
      </c>
      <c r="M114" s="7" t="str">
        <f>IF(tblRestaurant[[#This Row],[Party Size]]&lt;=2,"Small",IF(tblRestaurant[[#This Row],[Party Size]]&lt;=4,"Medium","Large"))</f>
        <v>Medium</v>
      </c>
      <c r="N114" t="str">
        <f>TEXT(tblRestaurant[[#This Row],[Date]],"mmmm")</f>
        <v>January</v>
      </c>
      <c r="O114" s="12">
        <f>WEEKNUM(tblRestaurant[[#This Row],[Date]])</f>
        <v>2</v>
      </c>
      <c r="P114" s="7" t="str">
        <f>IF(OR(tblRestaurant[[#This Row],[Day]]="Sat",tblRestaurant[[#This Row],[Day]]="Sun"),"Weekend","Weekday")</f>
        <v>Weekday</v>
      </c>
      <c r="Q114" s="7" t="str">
        <f>IF(OR(tblRestaurant[[#This Row],[Day]]="Fri",tblRestaurant[[#This Row],[Day]]="Thu"),"Weekday","Weekend")</f>
        <v>Weekday</v>
      </c>
      <c r="R114" s="7" t="str">
        <f>IF(tblRestaurant[[#This Row],[Total Bill]]&lt;25,"Bronze",IF(tblRestaurant[[#This Row],[Total Bill]]&lt;50,"Silver",IF(tblRestaurant[[#This Row],[Total Bill]]&lt;75,"Gold","Platinum")))</f>
        <v>Bronze</v>
      </c>
      <c r="S114" s="7" cm="1">
        <f t="array" ref="S114">_xlfn.SWITCH(tblRestaurant[[#This Row],[Revenue Tier]],"Bronze",1,"Silver",2,"Gold",3,"Platinum",4)</f>
        <v>1</v>
      </c>
      <c r="T114" s="13">
        <f>AVERAGE(tblRestaurant[[#This Row],[Total Bill]],tblRestaurant[[#This Row],[Party Size]])</f>
        <v>12.515000000000001</v>
      </c>
    </row>
    <row r="115" spans="1:20" ht="20.100000000000001" customHeight="1">
      <c r="A115">
        <v>114</v>
      </c>
      <c r="B115" s="2">
        <v>45667</v>
      </c>
      <c r="C115" t="s">
        <v>15</v>
      </c>
      <c r="D115" t="s">
        <v>10</v>
      </c>
      <c r="E115" t="s">
        <v>13</v>
      </c>
      <c r="F115">
        <v>2</v>
      </c>
      <c r="G115" s="3">
        <v>28.77</v>
      </c>
      <c r="H115" s="4">
        <v>0.18</v>
      </c>
      <c r="I115" t="b">
        <v>0</v>
      </c>
      <c r="J115" s="3">
        <f>tblRestaurant[[#This Row],[Total Bill]]*tblRestaurant[[#This Row],[Tip %]]</f>
        <v>5.1785999999999994</v>
      </c>
      <c r="K115" s="7" t="str">
        <f>IF(tblRestaurant[[#This Row],[Cash]]=TRUE,"Cash","Card")</f>
        <v>Card</v>
      </c>
      <c r="L115" s="7" t="str">
        <f>IF(tblRestaurant[[#This Row],[Total Bill]]&lt;20,"Low",IF(tblRestaurant[[#This Row],[Total Bill]]&lt;50,"Medium","High"))</f>
        <v>Medium</v>
      </c>
      <c r="M115" s="7" t="str">
        <f>IF(tblRestaurant[[#This Row],[Party Size]]&lt;=2,"Small",IF(tblRestaurant[[#This Row],[Party Size]]&lt;=4,"Medium","Large"))</f>
        <v>Small</v>
      </c>
      <c r="N115" t="str">
        <f>TEXT(tblRestaurant[[#This Row],[Date]],"mmmm")</f>
        <v>January</v>
      </c>
      <c r="O115" s="12">
        <f>WEEKNUM(tblRestaurant[[#This Row],[Date]])</f>
        <v>2</v>
      </c>
      <c r="P115" s="7" t="str">
        <f>IF(OR(tblRestaurant[[#This Row],[Day]]="Sat",tblRestaurant[[#This Row],[Day]]="Sun"),"Weekend","Weekday")</f>
        <v>Weekday</v>
      </c>
      <c r="Q115" s="7" t="str">
        <f>IF(OR(tblRestaurant[[#This Row],[Day]]="Fri",tblRestaurant[[#This Row],[Day]]="Thu"),"Weekday","Weekend")</f>
        <v>Weekday</v>
      </c>
      <c r="R115" s="7" t="str">
        <f>IF(tblRestaurant[[#This Row],[Total Bill]]&lt;25,"Bronze",IF(tblRestaurant[[#This Row],[Total Bill]]&lt;50,"Silver",IF(tblRestaurant[[#This Row],[Total Bill]]&lt;75,"Gold","Platinum")))</f>
        <v>Silver</v>
      </c>
      <c r="S115" s="7" cm="1">
        <f t="array" ref="S115">_xlfn.SWITCH(tblRestaurant[[#This Row],[Revenue Tier]],"Bronze",1,"Silver",2,"Gold",3,"Platinum",4)</f>
        <v>2</v>
      </c>
      <c r="T115" s="13">
        <f>AVERAGE(tblRestaurant[[#This Row],[Total Bill]],tblRestaurant[[#This Row],[Party Size]])</f>
        <v>15.385</v>
      </c>
    </row>
    <row r="116" spans="1:20" ht="20.100000000000001" customHeight="1">
      <c r="A116">
        <v>115</v>
      </c>
      <c r="B116" s="2">
        <v>45667</v>
      </c>
      <c r="C116" t="s">
        <v>15</v>
      </c>
      <c r="D116" t="s">
        <v>10</v>
      </c>
      <c r="E116" t="s">
        <v>13</v>
      </c>
      <c r="F116">
        <v>3</v>
      </c>
      <c r="G116" s="3">
        <v>17.399999999999999</v>
      </c>
      <c r="H116" s="4">
        <v>0.15</v>
      </c>
      <c r="I116" t="b">
        <v>0</v>
      </c>
      <c r="J116" s="3">
        <f>tblRestaurant[[#This Row],[Total Bill]]*tblRestaurant[[#This Row],[Tip %]]</f>
        <v>2.61</v>
      </c>
      <c r="K116" s="7" t="str">
        <f>IF(tblRestaurant[[#This Row],[Cash]]=TRUE,"Cash","Card")</f>
        <v>Card</v>
      </c>
      <c r="L116" s="7" t="str">
        <f>IF(tblRestaurant[[#This Row],[Total Bill]]&lt;20,"Low",IF(tblRestaurant[[#This Row],[Total Bill]]&lt;50,"Medium","High"))</f>
        <v>Low</v>
      </c>
      <c r="M116" s="7" t="str">
        <f>IF(tblRestaurant[[#This Row],[Party Size]]&lt;=2,"Small",IF(tblRestaurant[[#This Row],[Party Size]]&lt;=4,"Medium","Large"))</f>
        <v>Medium</v>
      </c>
      <c r="N116" t="str">
        <f>TEXT(tblRestaurant[[#This Row],[Date]],"mmmm")</f>
        <v>January</v>
      </c>
      <c r="O116" s="12">
        <f>WEEKNUM(tblRestaurant[[#This Row],[Date]])</f>
        <v>2</v>
      </c>
      <c r="P116" s="7" t="str">
        <f>IF(OR(tblRestaurant[[#This Row],[Day]]="Sat",tblRestaurant[[#This Row],[Day]]="Sun"),"Weekend","Weekday")</f>
        <v>Weekday</v>
      </c>
      <c r="Q116" s="7" t="str">
        <f>IF(OR(tblRestaurant[[#This Row],[Day]]="Fri",tblRestaurant[[#This Row],[Day]]="Thu"),"Weekday","Weekend")</f>
        <v>Weekday</v>
      </c>
      <c r="R116" s="7" t="str">
        <f>IF(tblRestaurant[[#This Row],[Total Bill]]&lt;25,"Bronze",IF(tblRestaurant[[#This Row],[Total Bill]]&lt;50,"Silver",IF(tblRestaurant[[#This Row],[Total Bill]]&lt;75,"Gold","Platinum")))</f>
        <v>Bronze</v>
      </c>
      <c r="S116" s="7" cm="1">
        <f t="array" ref="S116">_xlfn.SWITCH(tblRestaurant[[#This Row],[Revenue Tier]],"Bronze",1,"Silver",2,"Gold",3,"Platinum",4)</f>
        <v>1</v>
      </c>
      <c r="T116" s="13">
        <f>AVERAGE(tblRestaurant[[#This Row],[Total Bill]],tblRestaurant[[#This Row],[Party Size]])</f>
        <v>10.199999999999999</v>
      </c>
    </row>
    <row r="117" spans="1:20" ht="20.100000000000001" customHeight="1">
      <c r="A117">
        <v>116</v>
      </c>
      <c r="B117" s="2">
        <v>45667</v>
      </c>
      <c r="C117" t="s">
        <v>15</v>
      </c>
      <c r="D117" t="s">
        <v>10</v>
      </c>
      <c r="E117" t="s">
        <v>11</v>
      </c>
      <c r="F117">
        <v>2</v>
      </c>
      <c r="G117" s="3">
        <v>20.86</v>
      </c>
      <c r="H117" s="4">
        <v>0.18</v>
      </c>
      <c r="I117" t="b">
        <v>0</v>
      </c>
      <c r="J117" s="3">
        <f>tblRestaurant[[#This Row],[Total Bill]]*tblRestaurant[[#This Row],[Tip %]]</f>
        <v>3.7547999999999999</v>
      </c>
      <c r="K117" s="7" t="str">
        <f>IF(tblRestaurant[[#This Row],[Cash]]=TRUE,"Cash","Card")</f>
        <v>Card</v>
      </c>
      <c r="L117" s="7" t="str">
        <f>IF(tblRestaurant[[#This Row],[Total Bill]]&lt;20,"Low",IF(tblRestaurant[[#This Row],[Total Bill]]&lt;50,"Medium","High"))</f>
        <v>Medium</v>
      </c>
      <c r="M117" s="7" t="str">
        <f>IF(tblRestaurant[[#This Row],[Party Size]]&lt;=2,"Small",IF(tblRestaurant[[#This Row],[Party Size]]&lt;=4,"Medium","Large"))</f>
        <v>Small</v>
      </c>
      <c r="N117" t="str">
        <f>TEXT(tblRestaurant[[#This Row],[Date]],"mmmm")</f>
        <v>January</v>
      </c>
      <c r="O117" s="12">
        <f>WEEKNUM(tblRestaurant[[#This Row],[Date]])</f>
        <v>2</v>
      </c>
      <c r="P117" s="7" t="str">
        <f>IF(OR(tblRestaurant[[#This Row],[Day]]="Sat",tblRestaurant[[#This Row],[Day]]="Sun"),"Weekend","Weekday")</f>
        <v>Weekday</v>
      </c>
      <c r="Q117" s="7" t="str">
        <f>IF(OR(tblRestaurant[[#This Row],[Day]]="Fri",tblRestaurant[[#This Row],[Day]]="Thu"),"Weekday","Weekend")</f>
        <v>Weekday</v>
      </c>
      <c r="R117" s="7" t="str">
        <f>IF(tblRestaurant[[#This Row],[Total Bill]]&lt;25,"Bronze",IF(tblRestaurant[[#This Row],[Total Bill]]&lt;50,"Silver",IF(tblRestaurant[[#This Row],[Total Bill]]&lt;75,"Gold","Platinum")))</f>
        <v>Bronze</v>
      </c>
      <c r="S117" s="7" cm="1">
        <f t="array" ref="S117">_xlfn.SWITCH(tblRestaurant[[#This Row],[Revenue Tier]],"Bronze",1,"Silver",2,"Gold",3,"Platinum",4)</f>
        <v>1</v>
      </c>
      <c r="T117" s="13">
        <f>AVERAGE(tblRestaurant[[#This Row],[Total Bill]],tblRestaurant[[#This Row],[Party Size]])</f>
        <v>11.43</v>
      </c>
    </row>
    <row r="118" spans="1:20" ht="20.100000000000001" customHeight="1">
      <c r="A118">
        <v>117</v>
      </c>
      <c r="B118" s="2">
        <v>45667</v>
      </c>
      <c r="C118" t="s">
        <v>15</v>
      </c>
      <c r="D118" t="s">
        <v>10</v>
      </c>
      <c r="E118" t="s">
        <v>14</v>
      </c>
      <c r="F118">
        <v>4</v>
      </c>
      <c r="G118" s="3">
        <v>64.84</v>
      </c>
      <c r="H118" s="4">
        <v>0.2</v>
      </c>
      <c r="I118" t="b">
        <v>0</v>
      </c>
      <c r="J118" s="3">
        <f>tblRestaurant[[#This Row],[Total Bill]]*tblRestaurant[[#This Row],[Tip %]]</f>
        <v>12.968000000000002</v>
      </c>
      <c r="K118" s="7" t="str">
        <f>IF(tblRestaurant[[#This Row],[Cash]]=TRUE,"Cash","Card")</f>
        <v>Card</v>
      </c>
      <c r="L118" s="7" t="str">
        <f>IF(tblRestaurant[[#This Row],[Total Bill]]&lt;20,"Low",IF(tblRestaurant[[#This Row],[Total Bill]]&lt;50,"Medium","High"))</f>
        <v>High</v>
      </c>
      <c r="M118" s="7" t="str">
        <f>IF(tblRestaurant[[#This Row],[Party Size]]&lt;=2,"Small",IF(tblRestaurant[[#This Row],[Party Size]]&lt;=4,"Medium","Large"))</f>
        <v>Medium</v>
      </c>
      <c r="N118" t="str">
        <f>TEXT(tblRestaurant[[#This Row],[Date]],"mmmm")</f>
        <v>January</v>
      </c>
      <c r="O118" s="12">
        <f>WEEKNUM(tblRestaurant[[#This Row],[Date]])</f>
        <v>2</v>
      </c>
      <c r="P118" s="7" t="str">
        <f>IF(OR(tblRestaurant[[#This Row],[Day]]="Sat",tblRestaurant[[#This Row],[Day]]="Sun"),"Weekend","Weekday")</f>
        <v>Weekday</v>
      </c>
      <c r="Q118" s="7" t="str">
        <f>IF(OR(tblRestaurant[[#This Row],[Day]]="Fri",tblRestaurant[[#This Row],[Day]]="Thu"),"Weekday","Weekend")</f>
        <v>Weekday</v>
      </c>
      <c r="R118" s="7" t="str">
        <f>IF(tblRestaurant[[#This Row],[Total Bill]]&lt;25,"Bronze",IF(tblRestaurant[[#This Row],[Total Bill]]&lt;50,"Silver",IF(tblRestaurant[[#This Row],[Total Bill]]&lt;75,"Gold","Platinum")))</f>
        <v>Gold</v>
      </c>
      <c r="S118" s="7" cm="1">
        <f t="array" ref="S118">_xlfn.SWITCH(tblRestaurant[[#This Row],[Revenue Tier]],"Bronze",1,"Silver",2,"Gold",3,"Platinum",4)</f>
        <v>3</v>
      </c>
      <c r="T118" s="13">
        <f>AVERAGE(tblRestaurant[[#This Row],[Total Bill]],tblRestaurant[[#This Row],[Party Size]])</f>
        <v>34.42</v>
      </c>
    </row>
    <row r="119" spans="1:20" ht="20.100000000000001" customHeight="1">
      <c r="A119">
        <v>118</v>
      </c>
      <c r="B119" s="2">
        <v>45668</v>
      </c>
      <c r="C119" t="s">
        <v>16</v>
      </c>
      <c r="D119" t="s">
        <v>10</v>
      </c>
      <c r="E119" t="s">
        <v>11</v>
      </c>
      <c r="F119">
        <v>2</v>
      </c>
      <c r="G119" s="3">
        <v>14.19</v>
      </c>
      <c r="H119" s="4">
        <v>0.18</v>
      </c>
      <c r="I119" t="b">
        <v>0</v>
      </c>
      <c r="J119" s="3">
        <f>tblRestaurant[[#This Row],[Total Bill]]*tblRestaurant[[#This Row],[Tip %]]</f>
        <v>2.5541999999999998</v>
      </c>
      <c r="K119" s="7" t="str">
        <f>IF(tblRestaurant[[#This Row],[Cash]]=TRUE,"Cash","Card")</f>
        <v>Card</v>
      </c>
      <c r="L119" s="7" t="str">
        <f>IF(tblRestaurant[[#This Row],[Total Bill]]&lt;20,"Low",IF(tblRestaurant[[#This Row],[Total Bill]]&lt;50,"Medium","High"))</f>
        <v>Low</v>
      </c>
      <c r="M119" s="7" t="str">
        <f>IF(tblRestaurant[[#This Row],[Party Size]]&lt;=2,"Small",IF(tblRestaurant[[#This Row],[Party Size]]&lt;=4,"Medium","Large"))</f>
        <v>Small</v>
      </c>
      <c r="N119" t="str">
        <f>TEXT(tblRestaurant[[#This Row],[Date]],"mmmm")</f>
        <v>January</v>
      </c>
      <c r="O119" s="12">
        <f>WEEKNUM(tblRestaurant[[#This Row],[Date]])</f>
        <v>2</v>
      </c>
      <c r="P119" s="7" t="str">
        <f>IF(OR(tblRestaurant[[#This Row],[Day]]="Sat",tblRestaurant[[#This Row],[Day]]="Sun"),"Weekend","Weekday")</f>
        <v>Weekend</v>
      </c>
      <c r="Q119" s="7" t="str">
        <f>IF(OR(tblRestaurant[[#This Row],[Day]]="Fri",tblRestaurant[[#This Row],[Day]]="Thu"),"Weekday","Weekend")</f>
        <v>Weekend</v>
      </c>
      <c r="R119" s="7" t="str">
        <f>IF(tblRestaurant[[#This Row],[Total Bill]]&lt;25,"Bronze",IF(tblRestaurant[[#This Row],[Total Bill]]&lt;50,"Silver",IF(tblRestaurant[[#This Row],[Total Bill]]&lt;75,"Gold","Platinum")))</f>
        <v>Bronze</v>
      </c>
      <c r="S119" s="7" cm="1">
        <f t="array" ref="S119">_xlfn.SWITCH(tblRestaurant[[#This Row],[Revenue Tier]],"Bronze",1,"Silver",2,"Gold",3,"Platinum",4)</f>
        <v>1</v>
      </c>
      <c r="T119" s="13">
        <f>AVERAGE(tblRestaurant[[#This Row],[Total Bill]],tblRestaurant[[#This Row],[Party Size]])</f>
        <v>8.0949999999999989</v>
      </c>
    </row>
    <row r="120" spans="1:20" ht="20.100000000000001" customHeight="1">
      <c r="A120">
        <v>119</v>
      </c>
      <c r="B120" s="2">
        <v>45668</v>
      </c>
      <c r="C120" t="s">
        <v>16</v>
      </c>
      <c r="D120" t="s">
        <v>10</v>
      </c>
      <c r="E120" t="s">
        <v>12</v>
      </c>
      <c r="F120">
        <v>2</v>
      </c>
      <c r="G120" s="3">
        <v>15.95</v>
      </c>
      <c r="H120" s="4">
        <v>0.18</v>
      </c>
      <c r="I120" t="b">
        <v>0</v>
      </c>
      <c r="J120" s="3">
        <f>tblRestaurant[[#This Row],[Total Bill]]*tblRestaurant[[#This Row],[Tip %]]</f>
        <v>2.8709999999999996</v>
      </c>
      <c r="K120" s="7" t="str">
        <f>IF(tblRestaurant[[#This Row],[Cash]]=TRUE,"Cash","Card")</f>
        <v>Card</v>
      </c>
      <c r="L120" s="7" t="str">
        <f>IF(tblRestaurant[[#This Row],[Total Bill]]&lt;20,"Low",IF(tblRestaurant[[#This Row],[Total Bill]]&lt;50,"Medium","High"))</f>
        <v>Low</v>
      </c>
      <c r="M120" s="7" t="str">
        <f>IF(tblRestaurant[[#This Row],[Party Size]]&lt;=2,"Small",IF(tblRestaurant[[#This Row],[Party Size]]&lt;=4,"Medium","Large"))</f>
        <v>Small</v>
      </c>
      <c r="N120" t="str">
        <f>TEXT(tblRestaurant[[#This Row],[Date]],"mmmm")</f>
        <v>January</v>
      </c>
      <c r="O120" s="12">
        <f>WEEKNUM(tblRestaurant[[#This Row],[Date]])</f>
        <v>2</v>
      </c>
      <c r="P120" s="7" t="str">
        <f>IF(OR(tblRestaurant[[#This Row],[Day]]="Sat",tblRestaurant[[#This Row],[Day]]="Sun"),"Weekend","Weekday")</f>
        <v>Weekend</v>
      </c>
      <c r="Q120" s="7" t="str">
        <f>IF(OR(tblRestaurant[[#This Row],[Day]]="Fri",tblRestaurant[[#This Row],[Day]]="Thu"),"Weekday","Weekend")</f>
        <v>Weekend</v>
      </c>
      <c r="R120" s="7" t="str">
        <f>IF(tblRestaurant[[#This Row],[Total Bill]]&lt;25,"Bronze",IF(tblRestaurant[[#This Row],[Total Bill]]&lt;50,"Silver",IF(tblRestaurant[[#This Row],[Total Bill]]&lt;75,"Gold","Platinum")))</f>
        <v>Bronze</v>
      </c>
      <c r="S120" s="7" cm="1">
        <f t="array" ref="S120">_xlfn.SWITCH(tblRestaurant[[#This Row],[Revenue Tier]],"Bronze",1,"Silver",2,"Gold",3,"Platinum",4)</f>
        <v>1</v>
      </c>
      <c r="T120" s="13">
        <f>AVERAGE(tblRestaurant[[#This Row],[Total Bill]],tblRestaurant[[#This Row],[Party Size]])</f>
        <v>8.9749999999999996</v>
      </c>
    </row>
    <row r="121" spans="1:20" ht="20.100000000000001" customHeight="1">
      <c r="A121">
        <v>120</v>
      </c>
      <c r="B121" s="2">
        <v>45668</v>
      </c>
      <c r="C121" t="s">
        <v>16</v>
      </c>
      <c r="D121" t="s">
        <v>10</v>
      </c>
      <c r="E121" t="s">
        <v>13</v>
      </c>
      <c r="F121">
        <v>4</v>
      </c>
      <c r="G121" s="3">
        <v>36.83</v>
      </c>
      <c r="H121" s="4">
        <v>0.25</v>
      </c>
      <c r="I121" t="b">
        <v>0</v>
      </c>
      <c r="J121" s="3">
        <f>tblRestaurant[[#This Row],[Total Bill]]*tblRestaurant[[#This Row],[Tip %]]</f>
        <v>9.2074999999999996</v>
      </c>
      <c r="K121" s="7" t="str">
        <f>IF(tblRestaurant[[#This Row],[Cash]]=TRUE,"Cash","Card")</f>
        <v>Card</v>
      </c>
      <c r="L121" s="7" t="str">
        <f>IF(tblRestaurant[[#This Row],[Total Bill]]&lt;20,"Low",IF(tblRestaurant[[#This Row],[Total Bill]]&lt;50,"Medium","High"))</f>
        <v>Medium</v>
      </c>
      <c r="M121" s="7" t="str">
        <f>IF(tblRestaurant[[#This Row],[Party Size]]&lt;=2,"Small",IF(tblRestaurant[[#This Row],[Party Size]]&lt;=4,"Medium","Large"))</f>
        <v>Medium</v>
      </c>
      <c r="N121" t="str">
        <f>TEXT(tblRestaurant[[#This Row],[Date]],"mmmm")</f>
        <v>January</v>
      </c>
      <c r="O121" s="12">
        <f>WEEKNUM(tblRestaurant[[#This Row],[Date]])</f>
        <v>2</v>
      </c>
      <c r="P121" s="7" t="str">
        <f>IF(OR(tblRestaurant[[#This Row],[Day]]="Sat",tblRestaurant[[#This Row],[Day]]="Sun"),"Weekend","Weekday")</f>
        <v>Weekend</v>
      </c>
      <c r="Q121" s="7" t="str">
        <f>IF(OR(tblRestaurant[[#This Row],[Day]]="Fri",tblRestaurant[[#This Row],[Day]]="Thu"),"Weekday","Weekend")</f>
        <v>Weekend</v>
      </c>
      <c r="R121" s="7" t="str">
        <f>IF(tblRestaurant[[#This Row],[Total Bill]]&lt;25,"Bronze",IF(tblRestaurant[[#This Row],[Total Bill]]&lt;50,"Silver",IF(tblRestaurant[[#This Row],[Total Bill]]&lt;75,"Gold","Platinum")))</f>
        <v>Silver</v>
      </c>
      <c r="S121" s="7" cm="1">
        <f t="array" ref="S121">_xlfn.SWITCH(tblRestaurant[[#This Row],[Revenue Tier]],"Bronze",1,"Silver",2,"Gold",3,"Platinum",4)</f>
        <v>2</v>
      </c>
      <c r="T121" s="13">
        <f>AVERAGE(tblRestaurant[[#This Row],[Total Bill]],tblRestaurant[[#This Row],[Party Size]])</f>
        <v>20.414999999999999</v>
      </c>
    </row>
    <row r="122" spans="1:20" ht="20.100000000000001" customHeight="1">
      <c r="A122">
        <v>121</v>
      </c>
      <c r="B122" s="2">
        <v>45668</v>
      </c>
      <c r="C122" t="s">
        <v>16</v>
      </c>
      <c r="D122" t="s">
        <v>10</v>
      </c>
      <c r="E122" t="s">
        <v>14</v>
      </c>
      <c r="F122">
        <v>2</v>
      </c>
      <c r="G122" s="3">
        <v>17.739999999999998</v>
      </c>
      <c r="H122" s="4">
        <v>0.2</v>
      </c>
      <c r="I122" t="b">
        <v>0</v>
      </c>
      <c r="J122" s="3">
        <f>tblRestaurant[[#This Row],[Total Bill]]*tblRestaurant[[#This Row],[Tip %]]</f>
        <v>3.548</v>
      </c>
      <c r="K122" s="7" t="str">
        <f>IF(tblRestaurant[[#This Row],[Cash]]=TRUE,"Cash","Card")</f>
        <v>Card</v>
      </c>
      <c r="L122" s="7" t="str">
        <f>IF(tblRestaurant[[#This Row],[Total Bill]]&lt;20,"Low",IF(tblRestaurant[[#This Row],[Total Bill]]&lt;50,"Medium","High"))</f>
        <v>Low</v>
      </c>
      <c r="M122" s="7" t="str">
        <f>IF(tblRestaurant[[#This Row],[Party Size]]&lt;=2,"Small",IF(tblRestaurant[[#This Row],[Party Size]]&lt;=4,"Medium","Large"))</f>
        <v>Small</v>
      </c>
      <c r="N122" t="str">
        <f>TEXT(tblRestaurant[[#This Row],[Date]],"mmmm")</f>
        <v>January</v>
      </c>
      <c r="O122" s="12">
        <f>WEEKNUM(tblRestaurant[[#This Row],[Date]])</f>
        <v>2</v>
      </c>
      <c r="P122" s="7" t="str">
        <f>IF(OR(tblRestaurant[[#This Row],[Day]]="Sat",tblRestaurant[[#This Row],[Day]]="Sun"),"Weekend","Weekday")</f>
        <v>Weekend</v>
      </c>
      <c r="Q122" s="7" t="str">
        <f>IF(OR(tblRestaurant[[#This Row],[Day]]="Fri",tblRestaurant[[#This Row],[Day]]="Thu"),"Weekday","Weekend")</f>
        <v>Weekend</v>
      </c>
      <c r="R122" s="7" t="str">
        <f>IF(tblRestaurant[[#This Row],[Total Bill]]&lt;25,"Bronze",IF(tblRestaurant[[#This Row],[Total Bill]]&lt;50,"Silver",IF(tblRestaurant[[#This Row],[Total Bill]]&lt;75,"Gold","Platinum")))</f>
        <v>Bronze</v>
      </c>
      <c r="S122" s="7" cm="1">
        <f t="array" ref="S122">_xlfn.SWITCH(tblRestaurant[[#This Row],[Revenue Tier]],"Bronze",1,"Silver",2,"Gold",3,"Platinum",4)</f>
        <v>1</v>
      </c>
      <c r="T122" s="13">
        <f>AVERAGE(tblRestaurant[[#This Row],[Total Bill]],tblRestaurant[[#This Row],[Party Size]])</f>
        <v>9.8699999999999992</v>
      </c>
    </row>
    <row r="123" spans="1:20" ht="20.100000000000001" customHeight="1">
      <c r="A123">
        <v>122</v>
      </c>
      <c r="B123" s="2">
        <v>45668</v>
      </c>
      <c r="C123" t="s">
        <v>16</v>
      </c>
      <c r="D123" t="s">
        <v>10</v>
      </c>
      <c r="E123" t="s">
        <v>12</v>
      </c>
      <c r="F123">
        <v>2</v>
      </c>
      <c r="G123" s="3">
        <v>18.010000000000002</v>
      </c>
      <c r="H123" s="4">
        <v>0.15</v>
      </c>
      <c r="I123" t="b">
        <v>0</v>
      </c>
      <c r="J123" s="3">
        <f>tblRestaurant[[#This Row],[Total Bill]]*tblRestaurant[[#This Row],[Tip %]]</f>
        <v>2.7015000000000002</v>
      </c>
      <c r="K123" s="7" t="str">
        <f>IF(tblRestaurant[[#This Row],[Cash]]=TRUE,"Cash","Card")</f>
        <v>Card</v>
      </c>
      <c r="L123" s="7" t="str">
        <f>IF(tblRestaurant[[#This Row],[Total Bill]]&lt;20,"Low",IF(tblRestaurant[[#This Row],[Total Bill]]&lt;50,"Medium","High"))</f>
        <v>Low</v>
      </c>
      <c r="M123" s="7" t="str">
        <f>IF(tblRestaurant[[#This Row],[Party Size]]&lt;=2,"Small",IF(tblRestaurant[[#This Row],[Party Size]]&lt;=4,"Medium","Large"))</f>
        <v>Small</v>
      </c>
      <c r="N123" t="str">
        <f>TEXT(tblRestaurant[[#This Row],[Date]],"mmmm")</f>
        <v>January</v>
      </c>
      <c r="O123" s="12">
        <f>WEEKNUM(tblRestaurant[[#This Row],[Date]])</f>
        <v>2</v>
      </c>
      <c r="P123" s="7" t="str">
        <f>IF(OR(tblRestaurant[[#This Row],[Day]]="Sat",tblRestaurant[[#This Row],[Day]]="Sun"),"Weekend","Weekday")</f>
        <v>Weekend</v>
      </c>
      <c r="Q123" s="7" t="str">
        <f>IF(OR(tblRestaurant[[#This Row],[Day]]="Fri",tblRestaurant[[#This Row],[Day]]="Thu"),"Weekday","Weekend")</f>
        <v>Weekend</v>
      </c>
      <c r="R123" s="7" t="str">
        <f>IF(tblRestaurant[[#This Row],[Total Bill]]&lt;25,"Bronze",IF(tblRestaurant[[#This Row],[Total Bill]]&lt;50,"Silver",IF(tblRestaurant[[#This Row],[Total Bill]]&lt;75,"Gold","Platinum")))</f>
        <v>Bronze</v>
      </c>
      <c r="S123" s="7" cm="1">
        <f t="array" ref="S123">_xlfn.SWITCH(tblRestaurant[[#This Row],[Revenue Tier]],"Bronze",1,"Silver",2,"Gold",3,"Platinum",4)</f>
        <v>1</v>
      </c>
      <c r="T123" s="13">
        <f>AVERAGE(tblRestaurant[[#This Row],[Total Bill]],tblRestaurant[[#This Row],[Party Size]])</f>
        <v>10.005000000000001</v>
      </c>
    </row>
    <row r="124" spans="1:20" ht="20.100000000000001" customHeight="1">
      <c r="A124">
        <v>123</v>
      </c>
      <c r="B124" s="2">
        <v>45668</v>
      </c>
      <c r="C124" t="s">
        <v>16</v>
      </c>
      <c r="D124" t="s">
        <v>10</v>
      </c>
      <c r="E124" t="s">
        <v>11</v>
      </c>
      <c r="F124">
        <v>2</v>
      </c>
      <c r="G124" s="3">
        <v>18.190000000000001</v>
      </c>
      <c r="H124" s="4">
        <v>0.15</v>
      </c>
      <c r="I124" t="b">
        <v>0</v>
      </c>
      <c r="J124" s="3">
        <f>tblRestaurant[[#This Row],[Total Bill]]*tblRestaurant[[#This Row],[Tip %]]</f>
        <v>2.7284999999999999</v>
      </c>
      <c r="K124" s="7" t="str">
        <f>IF(tblRestaurant[[#This Row],[Cash]]=TRUE,"Cash","Card")</f>
        <v>Card</v>
      </c>
      <c r="L124" s="7" t="str">
        <f>IF(tblRestaurant[[#This Row],[Total Bill]]&lt;20,"Low",IF(tblRestaurant[[#This Row],[Total Bill]]&lt;50,"Medium","High"))</f>
        <v>Low</v>
      </c>
      <c r="M124" s="7" t="str">
        <f>IF(tblRestaurant[[#This Row],[Party Size]]&lt;=2,"Small",IF(tblRestaurant[[#This Row],[Party Size]]&lt;=4,"Medium","Large"))</f>
        <v>Small</v>
      </c>
      <c r="N124" t="str">
        <f>TEXT(tblRestaurant[[#This Row],[Date]],"mmmm")</f>
        <v>January</v>
      </c>
      <c r="O124" s="12">
        <f>WEEKNUM(tblRestaurant[[#This Row],[Date]])</f>
        <v>2</v>
      </c>
      <c r="P124" s="7" t="str">
        <f>IF(OR(tblRestaurant[[#This Row],[Day]]="Sat",tblRestaurant[[#This Row],[Day]]="Sun"),"Weekend","Weekday")</f>
        <v>Weekend</v>
      </c>
      <c r="Q124" s="7" t="str">
        <f>IF(OR(tblRestaurant[[#This Row],[Day]]="Fri",tblRestaurant[[#This Row],[Day]]="Thu"),"Weekday","Weekend")</f>
        <v>Weekend</v>
      </c>
      <c r="R124" s="7" t="str">
        <f>IF(tblRestaurant[[#This Row],[Total Bill]]&lt;25,"Bronze",IF(tblRestaurant[[#This Row],[Total Bill]]&lt;50,"Silver",IF(tblRestaurant[[#This Row],[Total Bill]]&lt;75,"Gold","Platinum")))</f>
        <v>Bronze</v>
      </c>
      <c r="S124" s="7" cm="1">
        <f t="array" ref="S124">_xlfn.SWITCH(tblRestaurant[[#This Row],[Revenue Tier]],"Bronze",1,"Silver",2,"Gold",3,"Platinum",4)</f>
        <v>1</v>
      </c>
      <c r="T124" s="13">
        <f>AVERAGE(tblRestaurant[[#This Row],[Total Bill]],tblRestaurant[[#This Row],[Party Size]])</f>
        <v>10.095000000000001</v>
      </c>
    </row>
    <row r="125" spans="1:20" ht="20.100000000000001" customHeight="1">
      <c r="A125">
        <v>124</v>
      </c>
      <c r="B125" s="2">
        <v>45668</v>
      </c>
      <c r="C125" t="s">
        <v>16</v>
      </c>
      <c r="D125" t="s">
        <v>10</v>
      </c>
      <c r="E125" t="s">
        <v>14</v>
      </c>
      <c r="F125">
        <v>2</v>
      </c>
      <c r="G125" s="3">
        <v>24.06</v>
      </c>
      <c r="H125" s="4">
        <v>0.18</v>
      </c>
      <c r="I125" t="b">
        <v>0</v>
      </c>
      <c r="J125" s="3">
        <f>tblRestaurant[[#This Row],[Total Bill]]*tblRestaurant[[#This Row],[Tip %]]</f>
        <v>4.3308</v>
      </c>
      <c r="K125" s="7" t="str">
        <f>IF(tblRestaurant[[#This Row],[Cash]]=TRUE,"Cash","Card")</f>
        <v>Card</v>
      </c>
      <c r="L125" s="7" t="str">
        <f>IF(tblRestaurant[[#This Row],[Total Bill]]&lt;20,"Low",IF(tblRestaurant[[#This Row],[Total Bill]]&lt;50,"Medium","High"))</f>
        <v>Medium</v>
      </c>
      <c r="M125" s="7" t="str">
        <f>IF(tblRestaurant[[#This Row],[Party Size]]&lt;=2,"Small",IF(tblRestaurant[[#This Row],[Party Size]]&lt;=4,"Medium","Large"))</f>
        <v>Small</v>
      </c>
      <c r="N125" t="str">
        <f>TEXT(tblRestaurant[[#This Row],[Date]],"mmmm")</f>
        <v>January</v>
      </c>
      <c r="O125" s="12">
        <f>WEEKNUM(tblRestaurant[[#This Row],[Date]])</f>
        <v>2</v>
      </c>
      <c r="P125" s="7" t="str">
        <f>IF(OR(tblRestaurant[[#This Row],[Day]]="Sat",tblRestaurant[[#This Row],[Day]]="Sun"),"Weekend","Weekday")</f>
        <v>Weekend</v>
      </c>
      <c r="Q125" s="7" t="str">
        <f>IF(OR(tblRestaurant[[#This Row],[Day]]="Fri",tblRestaurant[[#This Row],[Day]]="Thu"),"Weekday","Weekend")</f>
        <v>Weekend</v>
      </c>
      <c r="R125" s="7" t="str">
        <f>IF(tblRestaurant[[#This Row],[Total Bill]]&lt;25,"Bronze",IF(tblRestaurant[[#This Row],[Total Bill]]&lt;50,"Silver",IF(tblRestaurant[[#This Row],[Total Bill]]&lt;75,"Gold","Platinum")))</f>
        <v>Bronze</v>
      </c>
      <c r="S125" s="7" cm="1">
        <f t="array" ref="S125">_xlfn.SWITCH(tblRestaurant[[#This Row],[Revenue Tier]],"Bronze",1,"Silver",2,"Gold",3,"Platinum",4)</f>
        <v>1</v>
      </c>
      <c r="T125" s="13">
        <f>AVERAGE(tblRestaurant[[#This Row],[Total Bill]],tblRestaurant[[#This Row],[Party Size]])</f>
        <v>13.03</v>
      </c>
    </row>
    <row r="126" spans="1:20" ht="20.100000000000001" customHeight="1">
      <c r="A126">
        <v>125</v>
      </c>
      <c r="B126" s="2">
        <v>45668</v>
      </c>
      <c r="C126" t="s">
        <v>16</v>
      </c>
      <c r="D126" t="s">
        <v>10</v>
      </c>
      <c r="E126" t="s">
        <v>11</v>
      </c>
      <c r="F126">
        <v>2</v>
      </c>
      <c r="G126" s="3">
        <v>26.51</v>
      </c>
      <c r="H126" s="4">
        <v>0.18</v>
      </c>
      <c r="I126" t="b">
        <v>0</v>
      </c>
      <c r="J126" s="3">
        <f>tblRestaurant[[#This Row],[Total Bill]]*tblRestaurant[[#This Row],[Tip %]]</f>
        <v>4.7717999999999998</v>
      </c>
      <c r="K126" s="7" t="str">
        <f>IF(tblRestaurant[[#This Row],[Cash]]=TRUE,"Cash","Card")</f>
        <v>Card</v>
      </c>
      <c r="L126" s="7" t="str">
        <f>IF(tblRestaurant[[#This Row],[Total Bill]]&lt;20,"Low",IF(tblRestaurant[[#This Row],[Total Bill]]&lt;50,"Medium","High"))</f>
        <v>Medium</v>
      </c>
      <c r="M126" s="7" t="str">
        <f>IF(tblRestaurant[[#This Row],[Party Size]]&lt;=2,"Small",IF(tblRestaurant[[#This Row],[Party Size]]&lt;=4,"Medium","Large"))</f>
        <v>Small</v>
      </c>
      <c r="N126" t="str">
        <f>TEXT(tblRestaurant[[#This Row],[Date]],"mmmm")</f>
        <v>January</v>
      </c>
      <c r="O126" s="12">
        <f>WEEKNUM(tblRestaurant[[#This Row],[Date]])</f>
        <v>2</v>
      </c>
      <c r="P126" s="7" t="str">
        <f>IF(OR(tblRestaurant[[#This Row],[Day]]="Sat",tblRestaurant[[#This Row],[Day]]="Sun"),"Weekend","Weekday")</f>
        <v>Weekend</v>
      </c>
      <c r="Q126" s="7" t="str">
        <f>IF(OR(tblRestaurant[[#This Row],[Day]]="Fri",tblRestaurant[[#This Row],[Day]]="Thu"),"Weekday","Weekend")</f>
        <v>Weekend</v>
      </c>
      <c r="R126" s="7" t="str">
        <f>IF(tblRestaurant[[#This Row],[Total Bill]]&lt;25,"Bronze",IF(tblRestaurant[[#This Row],[Total Bill]]&lt;50,"Silver",IF(tblRestaurant[[#This Row],[Total Bill]]&lt;75,"Gold","Platinum")))</f>
        <v>Silver</v>
      </c>
      <c r="S126" s="7" cm="1">
        <f t="array" ref="S126">_xlfn.SWITCH(tblRestaurant[[#This Row],[Revenue Tier]],"Bronze",1,"Silver",2,"Gold",3,"Platinum",4)</f>
        <v>2</v>
      </c>
      <c r="T126" s="13">
        <f>AVERAGE(tblRestaurant[[#This Row],[Total Bill]],tblRestaurant[[#This Row],[Party Size]])</f>
        <v>14.255000000000001</v>
      </c>
    </row>
    <row r="127" spans="1:20" ht="20.100000000000001" customHeight="1">
      <c r="A127">
        <v>126</v>
      </c>
      <c r="B127" s="2">
        <v>45668</v>
      </c>
      <c r="C127" t="s">
        <v>16</v>
      </c>
      <c r="D127" t="s">
        <v>10</v>
      </c>
      <c r="E127" t="s">
        <v>11</v>
      </c>
      <c r="F127">
        <v>6</v>
      </c>
      <c r="G127" s="3">
        <v>70.680000000000007</v>
      </c>
      <c r="H127" s="4">
        <v>0.2</v>
      </c>
      <c r="I127" t="b">
        <v>0</v>
      </c>
      <c r="J127" s="3">
        <f>tblRestaurant[[#This Row],[Total Bill]]*tblRestaurant[[#This Row],[Tip %]]</f>
        <v>14.136000000000003</v>
      </c>
      <c r="K127" s="7" t="str">
        <f>IF(tblRestaurant[[#This Row],[Cash]]=TRUE,"Cash","Card")</f>
        <v>Card</v>
      </c>
      <c r="L127" s="7" t="str">
        <f>IF(tblRestaurant[[#This Row],[Total Bill]]&lt;20,"Low",IF(tblRestaurant[[#This Row],[Total Bill]]&lt;50,"Medium","High"))</f>
        <v>High</v>
      </c>
      <c r="M127" s="7" t="str">
        <f>IF(tblRestaurant[[#This Row],[Party Size]]&lt;=2,"Small",IF(tblRestaurant[[#This Row],[Party Size]]&lt;=4,"Medium","Large"))</f>
        <v>Large</v>
      </c>
      <c r="N127" t="str">
        <f>TEXT(tblRestaurant[[#This Row],[Date]],"mmmm")</f>
        <v>January</v>
      </c>
      <c r="O127" s="12">
        <f>WEEKNUM(tblRestaurant[[#This Row],[Date]])</f>
        <v>2</v>
      </c>
      <c r="P127" s="7" t="str">
        <f>IF(OR(tblRestaurant[[#This Row],[Day]]="Sat",tblRestaurant[[#This Row],[Day]]="Sun"),"Weekend","Weekday")</f>
        <v>Weekend</v>
      </c>
      <c r="Q127" s="7" t="str">
        <f>IF(OR(tblRestaurant[[#This Row],[Day]]="Fri",tblRestaurant[[#This Row],[Day]]="Thu"),"Weekday","Weekend")</f>
        <v>Weekend</v>
      </c>
      <c r="R127" s="7" t="str">
        <f>IF(tblRestaurant[[#This Row],[Total Bill]]&lt;25,"Bronze",IF(tblRestaurant[[#This Row],[Total Bill]]&lt;50,"Silver",IF(tblRestaurant[[#This Row],[Total Bill]]&lt;75,"Gold","Platinum")))</f>
        <v>Gold</v>
      </c>
      <c r="S127" s="7" cm="1">
        <f t="array" ref="S127">_xlfn.SWITCH(tblRestaurant[[#This Row],[Revenue Tier]],"Bronze",1,"Silver",2,"Gold",3,"Platinum",4)</f>
        <v>3</v>
      </c>
      <c r="T127" s="13">
        <f>AVERAGE(tblRestaurant[[#This Row],[Total Bill]],tblRestaurant[[#This Row],[Party Size]])</f>
        <v>38.340000000000003</v>
      </c>
    </row>
    <row r="128" spans="1:20" ht="20.100000000000001" customHeight="1">
      <c r="A128">
        <v>127</v>
      </c>
      <c r="B128" s="2">
        <v>45668</v>
      </c>
      <c r="C128" t="s">
        <v>16</v>
      </c>
      <c r="D128" t="s">
        <v>10</v>
      </c>
      <c r="E128" t="s">
        <v>14</v>
      </c>
      <c r="F128">
        <v>2</v>
      </c>
      <c r="G128" s="3">
        <v>25.47</v>
      </c>
      <c r="H128" s="4">
        <v>0.2</v>
      </c>
      <c r="I128" t="b">
        <v>0</v>
      </c>
      <c r="J128" s="3">
        <f>tblRestaurant[[#This Row],[Total Bill]]*tblRestaurant[[#This Row],[Tip %]]</f>
        <v>5.0940000000000003</v>
      </c>
      <c r="K128" s="7" t="str">
        <f>IF(tblRestaurant[[#This Row],[Cash]]=TRUE,"Cash","Card")</f>
        <v>Card</v>
      </c>
      <c r="L128" s="7" t="str">
        <f>IF(tblRestaurant[[#This Row],[Total Bill]]&lt;20,"Low",IF(tblRestaurant[[#This Row],[Total Bill]]&lt;50,"Medium","High"))</f>
        <v>Medium</v>
      </c>
      <c r="M128" s="7" t="str">
        <f>IF(tblRestaurant[[#This Row],[Party Size]]&lt;=2,"Small",IF(tblRestaurant[[#This Row],[Party Size]]&lt;=4,"Medium","Large"))</f>
        <v>Small</v>
      </c>
      <c r="N128" t="str">
        <f>TEXT(tblRestaurant[[#This Row],[Date]],"mmmm")</f>
        <v>January</v>
      </c>
      <c r="O128" s="12">
        <f>WEEKNUM(tblRestaurant[[#This Row],[Date]])</f>
        <v>2</v>
      </c>
      <c r="P128" s="7" t="str">
        <f>IF(OR(tblRestaurant[[#This Row],[Day]]="Sat",tblRestaurant[[#This Row],[Day]]="Sun"),"Weekend","Weekday")</f>
        <v>Weekend</v>
      </c>
      <c r="Q128" s="7" t="str">
        <f>IF(OR(tblRestaurant[[#This Row],[Day]]="Fri",tblRestaurant[[#This Row],[Day]]="Thu"),"Weekday","Weekend")</f>
        <v>Weekend</v>
      </c>
      <c r="R128" s="7" t="str">
        <f>IF(tblRestaurant[[#This Row],[Total Bill]]&lt;25,"Bronze",IF(tblRestaurant[[#This Row],[Total Bill]]&lt;50,"Silver",IF(tblRestaurant[[#This Row],[Total Bill]]&lt;75,"Gold","Platinum")))</f>
        <v>Silver</v>
      </c>
      <c r="S128" s="7" cm="1">
        <f t="array" ref="S128">_xlfn.SWITCH(tblRestaurant[[#This Row],[Revenue Tier]],"Bronze",1,"Silver",2,"Gold",3,"Platinum",4)</f>
        <v>2</v>
      </c>
      <c r="T128" s="13">
        <f>AVERAGE(tblRestaurant[[#This Row],[Total Bill]],tblRestaurant[[#This Row],[Party Size]])</f>
        <v>13.734999999999999</v>
      </c>
    </row>
    <row r="129" spans="1:20" ht="20.100000000000001" customHeight="1">
      <c r="A129">
        <v>128</v>
      </c>
      <c r="B129" s="2">
        <v>45668</v>
      </c>
      <c r="C129" t="s">
        <v>16</v>
      </c>
      <c r="D129" t="s">
        <v>10</v>
      </c>
      <c r="E129" t="s">
        <v>13</v>
      </c>
      <c r="F129">
        <v>2</v>
      </c>
      <c r="G129" s="3">
        <v>23.05</v>
      </c>
      <c r="H129" s="4">
        <v>0.15</v>
      </c>
      <c r="I129" t="b">
        <v>0</v>
      </c>
      <c r="J129" s="3">
        <f>tblRestaurant[[#This Row],[Total Bill]]*tblRestaurant[[#This Row],[Tip %]]</f>
        <v>3.4575</v>
      </c>
      <c r="K129" s="7" t="str">
        <f>IF(tblRestaurant[[#This Row],[Cash]]=TRUE,"Cash","Card")</f>
        <v>Card</v>
      </c>
      <c r="L129" s="7" t="str">
        <f>IF(tblRestaurant[[#This Row],[Total Bill]]&lt;20,"Low",IF(tblRestaurant[[#This Row],[Total Bill]]&lt;50,"Medium","High"))</f>
        <v>Medium</v>
      </c>
      <c r="M129" s="7" t="str">
        <f>IF(tblRestaurant[[#This Row],[Party Size]]&lt;=2,"Small",IF(tblRestaurant[[#This Row],[Party Size]]&lt;=4,"Medium","Large"))</f>
        <v>Small</v>
      </c>
      <c r="N129" t="str">
        <f>TEXT(tblRestaurant[[#This Row],[Date]],"mmmm")</f>
        <v>January</v>
      </c>
      <c r="O129" s="12">
        <f>WEEKNUM(tblRestaurant[[#This Row],[Date]])</f>
        <v>2</v>
      </c>
      <c r="P129" s="7" t="str">
        <f>IF(OR(tblRestaurant[[#This Row],[Day]]="Sat",tblRestaurant[[#This Row],[Day]]="Sun"),"Weekend","Weekday")</f>
        <v>Weekend</v>
      </c>
      <c r="Q129" s="7" t="str">
        <f>IF(OR(tblRestaurant[[#This Row],[Day]]="Fri",tblRestaurant[[#This Row],[Day]]="Thu"),"Weekday","Weekend")</f>
        <v>Weekend</v>
      </c>
      <c r="R129" s="7" t="str">
        <f>IF(tblRestaurant[[#This Row],[Total Bill]]&lt;25,"Bronze",IF(tblRestaurant[[#This Row],[Total Bill]]&lt;50,"Silver",IF(tblRestaurant[[#This Row],[Total Bill]]&lt;75,"Gold","Platinum")))</f>
        <v>Bronze</v>
      </c>
      <c r="S129" s="7" cm="1">
        <f t="array" ref="S129">_xlfn.SWITCH(tblRestaurant[[#This Row],[Revenue Tier]],"Bronze",1,"Silver",2,"Gold",3,"Platinum",4)</f>
        <v>1</v>
      </c>
      <c r="T129" s="13">
        <f>AVERAGE(tblRestaurant[[#This Row],[Total Bill]],tblRestaurant[[#This Row],[Party Size]])</f>
        <v>12.525</v>
      </c>
    </row>
    <row r="130" spans="1:20" ht="20.100000000000001" customHeight="1">
      <c r="A130">
        <v>129</v>
      </c>
      <c r="B130" s="2">
        <v>45668</v>
      </c>
      <c r="C130" t="s">
        <v>16</v>
      </c>
      <c r="D130" t="s">
        <v>10</v>
      </c>
      <c r="E130" t="s">
        <v>14</v>
      </c>
      <c r="F130">
        <v>2</v>
      </c>
      <c r="G130" s="3">
        <v>28.35</v>
      </c>
      <c r="H130" s="4">
        <v>0.2</v>
      </c>
      <c r="I130" t="b">
        <v>0</v>
      </c>
      <c r="J130" s="3">
        <f>tblRestaurant[[#This Row],[Total Bill]]*tblRestaurant[[#This Row],[Tip %]]</f>
        <v>5.6700000000000008</v>
      </c>
      <c r="K130" s="7" t="str">
        <f>IF(tblRestaurant[[#This Row],[Cash]]=TRUE,"Cash","Card")</f>
        <v>Card</v>
      </c>
      <c r="L130" s="7" t="str">
        <f>IF(tblRestaurant[[#This Row],[Total Bill]]&lt;20,"Low",IF(tblRestaurant[[#This Row],[Total Bill]]&lt;50,"Medium","High"))</f>
        <v>Medium</v>
      </c>
      <c r="M130" s="7" t="str">
        <f>IF(tblRestaurant[[#This Row],[Party Size]]&lt;=2,"Small",IF(tblRestaurant[[#This Row],[Party Size]]&lt;=4,"Medium","Large"))</f>
        <v>Small</v>
      </c>
      <c r="N130" t="str">
        <f>TEXT(tblRestaurant[[#This Row],[Date]],"mmmm")</f>
        <v>January</v>
      </c>
      <c r="O130" s="12">
        <f>WEEKNUM(tblRestaurant[[#This Row],[Date]])</f>
        <v>2</v>
      </c>
      <c r="P130" s="7" t="str">
        <f>IF(OR(tblRestaurant[[#This Row],[Day]]="Sat",tblRestaurant[[#This Row],[Day]]="Sun"),"Weekend","Weekday")</f>
        <v>Weekend</v>
      </c>
      <c r="Q130" s="7" t="str">
        <f>IF(OR(tblRestaurant[[#This Row],[Day]]="Fri",tblRestaurant[[#This Row],[Day]]="Thu"),"Weekday","Weekend")</f>
        <v>Weekend</v>
      </c>
      <c r="R130" s="7" t="str">
        <f>IF(tblRestaurant[[#This Row],[Total Bill]]&lt;25,"Bronze",IF(tblRestaurant[[#This Row],[Total Bill]]&lt;50,"Silver",IF(tblRestaurant[[#This Row],[Total Bill]]&lt;75,"Gold","Platinum")))</f>
        <v>Silver</v>
      </c>
      <c r="S130" s="7" cm="1">
        <f t="array" ref="S130">_xlfn.SWITCH(tblRestaurant[[#This Row],[Revenue Tier]],"Bronze",1,"Silver",2,"Gold",3,"Platinum",4)</f>
        <v>2</v>
      </c>
      <c r="T130" s="13">
        <f>AVERAGE(tblRestaurant[[#This Row],[Total Bill]],tblRestaurant[[#This Row],[Party Size]])</f>
        <v>15.175000000000001</v>
      </c>
    </row>
    <row r="131" spans="1:20" ht="20.100000000000001" customHeight="1">
      <c r="A131">
        <v>130</v>
      </c>
      <c r="B131" s="2">
        <v>45668</v>
      </c>
      <c r="C131" t="s">
        <v>16</v>
      </c>
      <c r="D131" t="s">
        <v>10</v>
      </c>
      <c r="E131" t="s">
        <v>13</v>
      </c>
      <c r="F131">
        <v>3</v>
      </c>
      <c r="G131" s="3">
        <v>47.3</v>
      </c>
      <c r="H131" s="4">
        <v>0.18</v>
      </c>
      <c r="I131" t="b">
        <v>0</v>
      </c>
      <c r="J131" s="3">
        <f>tblRestaurant[[#This Row],[Total Bill]]*tblRestaurant[[#This Row],[Tip %]]</f>
        <v>8.5139999999999993</v>
      </c>
      <c r="K131" s="7" t="str">
        <f>IF(tblRestaurant[[#This Row],[Cash]]=TRUE,"Cash","Card")</f>
        <v>Card</v>
      </c>
      <c r="L131" s="7" t="str">
        <f>IF(tblRestaurant[[#This Row],[Total Bill]]&lt;20,"Low",IF(tblRestaurant[[#This Row],[Total Bill]]&lt;50,"Medium","High"))</f>
        <v>Medium</v>
      </c>
      <c r="M131" s="7" t="str">
        <f>IF(tblRestaurant[[#This Row],[Party Size]]&lt;=2,"Small",IF(tblRestaurant[[#This Row],[Party Size]]&lt;=4,"Medium","Large"))</f>
        <v>Medium</v>
      </c>
      <c r="N131" t="str">
        <f>TEXT(tblRestaurant[[#This Row],[Date]],"mmmm")</f>
        <v>January</v>
      </c>
      <c r="O131" s="12">
        <f>WEEKNUM(tblRestaurant[[#This Row],[Date]])</f>
        <v>2</v>
      </c>
      <c r="P131" s="7" t="str">
        <f>IF(OR(tblRestaurant[[#This Row],[Day]]="Sat",tblRestaurant[[#This Row],[Day]]="Sun"),"Weekend","Weekday")</f>
        <v>Weekend</v>
      </c>
      <c r="Q131" s="7" t="str">
        <f>IF(OR(tblRestaurant[[#This Row],[Day]]="Fri",tblRestaurant[[#This Row],[Day]]="Thu"),"Weekday","Weekend")</f>
        <v>Weekend</v>
      </c>
      <c r="R131" s="7" t="str">
        <f>IF(tblRestaurant[[#This Row],[Total Bill]]&lt;25,"Bronze",IF(tblRestaurant[[#This Row],[Total Bill]]&lt;50,"Silver",IF(tblRestaurant[[#This Row],[Total Bill]]&lt;75,"Gold","Platinum")))</f>
        <v>Silver</v>
      </c>
      <c r="S131" s="7" cm="1">
        <f t="array" ref="S131">_xlfn.SWITCH(tblRestaurant[[#This Row],[Revenue Tier]],"Bronze",1,"Silver",2,"Gold",3,"Platinum",4)</f>
        <v>2</v>
      </c>
      <c r="T131" s="13">
        <f>AVERAGE(tblRestaurant[[#This Row],[Total Bill]],tblRestaurant[[#This Row],[Party Size]])</f>
        <v>25.15</v>
      </c>
    </row>
    <row r="132" spans="1:20" ht="20.100000000000001" customHeight="1">
      <c r="A132">
        <v>131</v>
      </c>
      <c r="B132" s="2">
        <v>45668</v>
      </c>
      <c r="C132" t="s">
        <v>16</v>
      </c>
      <c r="D132" t="s">
        <v>10</v>
      </c>
      <c r="E132" t="s">
        <v>12</v>
      </c>
      <c r="F132">
        <v>2</v>
      </c>
      <c r="G132" s="3">
        <v>19.760000000000002</v>
      </c>
      <c r="H132" s="4">
        <v>0.2</v>
      </c>
      <c r="I132" t="b">
        <v>0</v>
      </c>
      <c r="J132" s="3">
        <f>tblRestaurant[[#This Row],[Total Bill]]*tblRestaurant[[#This Row],[Tip %]]</f>
        <v>3.9520000000000004</v>
      </c>
      <c r="K132" s="7" t="str">
        <f>IF(tblRestaurant[[#This Row],[Cash]]=TRUE,"Cash","Card")</f>
        <v>Card</v>
      </c>
      <c r="L132" s="7" t="str">
        <f>IF(tblRestaurant[[#This Row],[Total Bill]]&lt;20,"Low",IF(tblRestaurant[[#This Row],[Total Bill]]&lt;50,"Medium","High"))</f>
        <v>Low</v>
      </c>
      <c r="M132" s="7" t="str">
        <f>IF(tblRestaurant[[#This Row],[Party Size]]&lt;=2,"Small",IF(tblRestaurant[[#This Row],[Party Size]]&lt;=4,"Medium","Large"))</f>
        <v>Small</v>
      </c>
      <c r="N132" t="str">
        <f>TEXT(tblRestaurant[[#This Row],[Date]],"mmmm")</f>
        <v>January</v>
      </c>
      <c r="O132" s="12">
        <f>WEEKNUM(tblRestaurant[[#This Row],[Date]])</f>
        <v>2</v>
      </c>
      <c r="P132" s="7" t="str">
        <f>IF(OR(tblRestaurant[[#This Row],[Day]]="Sat",tblRestaurant[[#This Row],[Day]]="Sun"),"Weekend","Weekday")</f>
        <v>Weekend</v>
      </c>
      <c r="Q132" s="7" t="str">
        <f>IF(OR(tblRestaurant[[#This Row],[Day]]="Fri",tblRestaurant[[#This Row],[Day]]="Thu"),"Weekday","Weekend")</f>
        <v>Weekend</v>
      </c>
      <c r="R132" s="7" t="str">
        <f>IF(tblRestaurant[[#This Row],[Total Bill]]&lt;25,"Bronze",IF(tblRestaurant[[#This Row],[Total Bill]]&lt;50,"Silver",IF(tblRestaurant[[#This Row],[Total Bill]]&lt;75,"Gold","Platinum")))</f>
        <v>Bronze</v>
      </c>
      <c r="S132" s="7" cm="1">
        <f t="array" ref="S132">_xlfn.SWITCH(tblRestaurant[[#This Row],[Revenue Tier]],"Bronze",1,"Silver",2,"Gold",3,"Platinum",4)</f>
        <v>1</v>
      </c>
      <c r="T132" s="13">
        <f>AVERAGE(tblRestaurant[[#This Row],[Total Bill]],tblRestaurant[[#This Row],[Party Size]])</f>
        <v>10.88</v>
      </c>
    </row>
    <row r="133" spans="1:20" ht="20.100000000000001" customHeight="1">
      <c r="A133">
        <v>132</v>
      </c>
      <c r="B133" s="2">
        <v>45668</v>
      </c>
      <c r="C133" t="s">
        <v>16</v>
      </c>
      <c r="D133" t="s">
        <v>10</v>
      </c>
      <c r="E133" t="s">
        <v>11</v>
      </c>
      <c r="F133">
        <v>2</v>
      </c>
      <c r="G133" s="3">
        <v>20.92</v>
      </c>
      <c r="H133" s="4">
        <v>0.18</v>
      </c>
      <c r="I133" t="b">
        <v>0</v>
      </c>
      <c r="J133" s="3">
        <f>tblRestaurant[[#This Row],[Total Bill]]*tblRestaurant[[#This Row],[Tip %]]</f>
        <v>3.7656000000000001</v>
      </c>
      <c r="K133" s="7" t="str">
        <f>IF(tblRestaurant[[#This Row],[Cash]]=TRUE,"Cash","Card")</f>
        <v>Card</v>
      </c>
      <c r="L133" s="7" t="str">
        <f>IF(tblRestaurant[[#This Row],[Total Bill]]&lt;20,"Low",IF(tblRestaurant[[#This Row],[Total Bill]]&lt;50,"Medium","High"))</f>
        <v>Medium</v>
      </c>
      <c r="M133" s="7" t="str">
        <f>IF(tblRestaurant[[#This Row],[Party Size]]&lt;=2,"Small",IF(tblRestaurant[[#This Row],[Party Size]]&lt;=4,"Medium","Large"))</f>
        <v>Small</v>
      </c>
      <c r="N133" t="str">
        <f>TEXT(tblRestaurant[[#This Row],[Date]],"mmmm")</f>
        <v>January</v>
      </c>
      <c r="O133" s="12">
        <f>WEEKNUM(tblRestaurant[[#This Row],[Date]])</f>
        <v>2</v>
      </c>
      <c r="P133" s="7" t="str">
        <f>IF(OR(tblRestaurant[[#This Row],[Day]]="Sat",tblRestaurant[[#This Row],[Day]]="Sun"),"Weekend","Weekday")</f>
        <v>Weekend</v>
      </c>
      <c r="Q133" s="7" t="str">
        <f>IF(OR(tblRestaurant[[#This Row],[Day]]="Fri",tblRestaurant[[#This Row],[Day]]="Thu"),"Weekday","Weekend")</f>
        <v>Weekend</v>
      </c>
      <c r="R133" s="7" t="str">
        <f>IF(tblRestaurant[[#This Row],[Total Bill]]&lt;25,"Bronze",IF(tblRestaurant[[#This Row],[Total Bill]]&lt;50,"Silver",IF(tblRestaurant[[#This Row],[Total Bill]]&lt;75,"Gold","Platinum")))</f>
        <v>Bronze</v>
      </c>
      <c r="S133" s="7" cm="1">
        <f t="array" ref="S133">_xlfn.SWITCH(tblRestaurant[[#This Row],[Revenue Tier]],"Bronze",1,"Silver",2,"Gold",3,"Platinum",4)</f>
        <v>1</v>
      </c>
      <c r="T133" s="13">
        <f>AVERAGE(tblRestaurant[[#This Row],[Total Bill]],tblRestaurant[[#This Row],[Party Size]])</f>
        <v>11.46</v>
      </c>
    </row>
    <row r="134" spans="1:20" ht="20.100000000000001" customHeight="1">
      <c r="A134">
        <v>133</v>
      </c>
      <c r="B134" s="2">
        <v>45668</v>
      </c>
      <c r="C134" t="s">
        <v>16</v>
      </c>
      <c r="D134" t="s">
        <v>10</v>
      </c>
      <c r="E134" t="s">
        <v>11</v>
      </c>
      <c r="F134">
        <v>2</v>
      </c>
      <c r="G134" s="3">
        <v>23.29</v>
      </c>
      <c r="H134" s="4">
        <v>0.1</v>
      </c>
      <c r="I134" t="b">
        <v>0</v>
      </c>
      <c r="J134" s="3">
        <f>tblRestaurant[[#This Row],[Total Bill]]*tblRestaurant[[#This Row],[Tip %]]</f>
        <v>2.3290000000000002</v>
      </c>
      <c r="K134" s="7" t="str">
        <f>IF(tblRestaurant[[#This Row],[Cash]]=TRUE,"Cash","Card")</f>
        <v>Card</v>
      </c>
      <c r="L134" s="7" t="str">
        <f>IF(tblRestaurant[[#This Row],[Total Bill]]&lt;20,"Low",IF(tblRestaurant[[#This Row],[Total Bill]]&lt;50,"Medium","High"))</f>
        <v>Medium</v>
      </c>
      <c r="M134" s="7" t="str">
        <f>IF(tblRestaurant[[#This Row],[Party Size]]&lt;=2,"Small",IF(tblRestaurant[[#This Row],[Party Size]]&lt;=4,"Medium","Large"))</f>
        <v>Small</v>
      </c>
      <c r="N134" t="str">
        <f>TEXT(tblRestaurant[[#This Row],[Date]],"mmmm")</f>
        <v>January</v>
      </c>
      <c r="O134" s="12">
        <f>WEEKNUM(tblRestaurant[[#This Row],[Date]])</f>
        <v>2</v>
      </c>
      <c r="P134" s="7" t="str">
        <f>IF(OR(tblRestaurant[[#This Row],[Day]]="Sat",tblRestaurant[[#This Row],[Day]]="Sun"),"Weekend","Weekday")</f>
        <v>Weekend</v>
      </c>
      <c r="Q134" s="7" t="str">
        <f>IF(OR(tblRestaurant[[#This Row],[Day]]="Fri",tblRestaurant[[#This Row],[Day]]="Thu"),"Weekday","Weekend")</f>
        <v>Weekend</v>
      </c>
      <c r="R134" s="7" t="str">
        <f>IF(tblRestaurant[[#This Row],[Total Bill]]&lt;25,"Bronze",IF(tblRestaurant[[#This Row],[Total Bill]]&lt;50,"Silver",IF(tblRestaurant[[#This Row],[Total Bill]]&lt;75,"Gold","Platinum")))</f>
        <v>Bronze</v>
      </c>
      <c r="S134" s="7" cm="1">
        <f t="array" ref="S134">_xlfn.SWITCH(tblRestaurant[[#This Row],[Revenue Tier]],"Bronze",1,"Silver",2,"Gold",3,"Platinum",4)</f>
        <v>1</v>
      </c>
      <c r="T134" s="13">
        <f>AVERAGE(tblRestaurant[[#This Row],[Total Bill]],tblRestaurant[[#This Row],[Party Size]])</f>
        <v>12.645</v>
      </c>
    </row>
    <row r="135" spans="1:20" ht="20.100000000000001" customHeight="1">
      <c r="A135">
        <v>134</v>
      </c>
      <c r="B135" s="2">
        <v>45668</v>
      </c>
      <c r="C135" t="s">
        <v>16</v>
      </c>
      <c r="D135" t="s">
        <v>10</v>
      </c>
      <c r="E135" t="s">
        <v>11</v>
      </c>
      <c r="F135">
        <v>2</v>
      </c>
      <c r="G135" s="3">
        <v>47.79</v>
      </c>
      <c r="H135" s="4">
        <v>0.18</v>
      </c>
      <c r="I135" t="b">
        <v>0</v>
      </c>
      <c r="J135" s="3">
        <f>tblRestaurant[[#This Row],[Total Bill]]*tblRestaurant[[#This Row],[Tip %]]</f>
        <v>8.6021999999999998</v>
      </c>
      <c r="K135" s="7" t="str">
        <f>IF(tblRestaurant[[#This Row],[Cash]]=TRUE,"Cash","Card")</f>
        <v>Card</v>
      </c>
      <c r="L135" s="7" t="str">
        <f>IF(tblRestaurant[[#This Row],[Total Bill]]&lt;20,"Low",IF(tblRestaurant[[#This Row],[Total Bill]]&lt;50,"Medium","High"))</f>
        <v>Medium</v>
      </c>
      <c r="M135" s="7" t="str">
        <f>IF(tblRestaurant[[#This Row],[Party Size]]&lt;=2,"Small",IF(tblRestaurant[[#This Row],[Party Size]]&lt;=4,"Medium","Large"))</f>
        <v>Small</v>
      </c>
      <c r="N135" t="str">
        <f>TEXT(tblRestaurant[[#This Row],[Date]],"mmmm")</f>
        <v>January</v>
      </c>
      <c r="O135" s="12">
        <f>WEEKNUM(tblRestaurant[[#This Row],[Date]])</f>
        <v>2</v>
      </c>
      <c r="P135" s="7" t="str">
        <f>IF(OR(tblRestaurant[[#This Row],[Day]]="Sat",tblRestaurant[[#This Row],[Day]]="Sun"),"Weekend","Weekday")</f>
        <v>Weekend</v>
      </c>
      <c r="Q135" s="7" t="str">
        <f>IF(OR(tblRestaurant[[#This Row],[Day]]="Fri",tblRestaurant[[#This Row],[Day]]="Thu"),"Weekday","Weekend")</f>
        <v>Weekend</v>
      </c>
      <c r="R135" s="7" t="str">
        <f>IF(tblRestaurant[[#This Row],[Total Bill]]&lt;25,"Bronze",IF(tblRestaurant[[#This Row],[Total Bill]]&lt;50,"Silver",IF(tblRestaurant[[#This Row],[Total Bill]]&lt;75,"Gold","Platinum")))</f>
        <v>Silver</v>
      </c>
      <c r="S135" s="7" cm="1">
        <f t="array" ref="S135">_xlfn.SWITCH(tblRestaurant[[#This Row],[Revenue Tier]],"Bronze",1,"Silver",2,"Gold",3,"Platinum",4)</f>
        <v>2</v>
      </c>
      <c r="T135" s="13">
        <f>AVERAGE(tblRestaurant[[#This Row],[Total Bill]],tblRestaurant[[#This Row],[Party Size]])</f>
        <v>24.895</v>
      </c>
    </row>
    <row r="136" spans="1:20" ht="20.100000000000001" customHeight="1">
      <c r="A136">
        <v>135</v>
      </c>
      <c r="B136" s="2">
        <v>45668</v>
      </c>
      <c r="C136" t="s">
        <v>16</v>
      </c>
      <c r="D136" t="s">
        <v>10</v>
      </c>
      <c r="E136" t="s">
        <v>11</v>
      </c>
      <c r="F136">
        <v>2</v>
      </c>
      <c r="G136" s="3">
        <v>19.73</v>
      </c>
      <c r="H136" s="4">
        <v>0.1</v>
      </c>
      <c r="I136" t="b">
        <v>0</v>
      </c>
      <c r="J136" s="3">
        <f>tblRestaurant[[#This Row],[Total Bill]]*tblRestaurant[[#This Row],[Tip %]]</f>
        <v>1.9730000000000001</v>
      </c>
      <c r="K136" s="7" t="str">
        <f>IF(tblRestaurant[[#This Row],[Cash]]=TRUE,"Cash","Card")</f>
        <v>Card</v>
      </c>
      <c r="L136" s="7" t="str">
        <f>IF(tblRestaurant[[#This Row],[Total Bill]]&lt;20,"Low",IF(tblRestaurant[[#This Row],[Total Bill]]&lt;50,"Medium","High"))</f>
        <v>Low</v>
      </c>
      <c r="M136" s="7" t="str">
        <f>IF(tblRestaurant[[#This Row],[Party Size]]&lt;=2,"Small",IF(tblRestaurant[[#This Row],[Party Size]]&lt;=4,"Medium","Large"))</f>
        <v>Small</v>
      </c>
      <c r="N136" t="str">
        <f>TEXT(tblRestaurant[[#This Row],[Date]],"mmmm")</f>
        <v>January</v>
      </c>
      <c r="O136" s="12">
        <f>WEEKNUM(tblRestaurant[[#This Row],[Date]])</f>
        <v>2</v>
      </c>
      <c r="P136" s="7" t="str">
        <f>IF(OR(tblRestaurant[[#This Row],[Day]]="Sat",tblRestaurant[[#This Row],[Day]]="Sun"),"Weekend","Weekday")</f>
        <v>Weekend</v>
      </c>
      <c r="Q136" s="7" t="str">
        <f>IF(OR(tblRestaurant[[#This Row],[Day]]="Fri",tblRestaurant[[#This Row],[Day]]="Thu"),"Weekday","Weekend")</f>
        <v>Weekend</v>
      </c>
      <c r="R136" s="7" t="str">
        <f>IF(tblRestaurant[[#This Row],[Total Bill]]&lt;25,"Bronze",IF(tblRestaurant[[#This Row],[Total Bill]]&lt;50,"Silver",IF(tblRestaurant[[#This Row],[Total Bill]]&lt;75,"Gold","Platinum")))</f>
        <v>Bronze</v>
      </c>
      <c r="S136" s="7" cm="1">
        <f t="array" ref="S136">_xlfn.SWITCH(tblRestaurant[[#This Row],[Revenue Tier]],"Bronze",1,"Silver",2,"Gold",3,"Platinum",4)</f>
        <v>1</v>
      </c>
      <c r="T136" s="13">
        <f>AVERAGE(tblRestaurant[[#This Row],[Total Bill]],tblRestaurant[[#This Row],[Party Size]])</f>
        <v>10.865</v>
      </c>
    </row>
    <row r="137" spans="1:20" ht="20.100000000000001" customHeight="1">
      <c r="A137">
        <v>136</v>
      </c>
      <c r="B137" s="2">
        <v>45668</v>
      </c>
      <c r="C137" t="s">
        <v>16</v>
      </c>
      <c r="D137" t="s">
        <v>10</v>
      </c>
      <c r="E137" t="s">
        <v>12</v>
      </c>
      <c r="F137">
        <v>2</v>
      </c>
      <c r="G137" s="3">
        <v>25.36</v>
      </c>
      <c r="H137" s="4">
        <v>0.18</v>
      </c>
      <c r="I137" t="b">
        <v>0</v>
      </c>
      <c r="J137" s="3">
        <f>tblRestaurant[[#This Row],[Total Bill]]*tblRestaurant[[#This Row],[Tip %]]</f>
        <v>4.5648</v>
      </c>
      <c r="K137" s="7" t="str">
        <f>IF(tblRestaurant[[#This Row],[Cash]]=TRUE,"Cash","Card")</f>
        <v>Card</v>
      </c>
      <c r="L137" s="7" t="str">
        <f>IF(tblRestaurant[[#This Row],[Total Bill]]&lt;20,"Low",IF(tblRestaurant[[#This Row],[Total Bill]]&lt;50,"Medium","High"))</f>
        <v>Medium</v>
      </c>
      <c r="M137" s="7" t="str">
        <f>IF(tblRestaurant[[#This Row],[Party Size]]&lt;=2,"Small",IF(tblRestaurant[[#This Row],[Party Size]]&lt;=4,"Medium","Large"))</f>
        <v>Small</v>
      </c>
      <c r="N137" t="str">
        <f>TEXT(tblRestaurant[[#This Row],[Date]],"mmmm")</f>
        <v>January</v>
      </c>
      <c r="O137" s="12">
        <f>WEEKNUM(tblRestaurant[[#This Row],[Date]])</f>
        <v>2</v>
      </c>
      <c r="P137" s="7" t="str">
        <f>IF(OR(tblRestaurant[[#This Row],[Day]]="Sat",tblRestaurant[[#This Row],[Day]]="Sun"),"Weekend","Weekday")</f>
        <v>Weekend</v>
      </c>
      <c r="Q137" s="7" t="str">
        <f>IF(OR(tblRestaurant[[#This Row],[Day]]="Fri",tblRestaurant[[#This Row],[Day]]="Thu"),"Weekday","Weekend")</f>
        <v>Weekend</v>
      </c>
      <c r="R137" s="7" t="str">
        <f>IF(tblRestaurant[[#This Row],[Total Bill]]&lt;25,"Bronze",IF(tblRestaurant[[#This Row],[Total Bill]]&lt;50,"Silver",IF(tblRestaurant[[#This Row],[Total Bill]]&lt;75,"Gold","Platinum")))</f>
        <v>Silver</v>
      </c>
      <c r="S137" s="7" cm="1">
        <f t="array" ref="S137">_xlfn.SWITCH(tblRestaurant[[#This Row],[Revenue Tier]],"Bronze",1,"Silver",2,"Gold",3,"Platinum",4)</f>
        <v>2</v>
      </c>
      <c r="T137" s="13">
        <f>AVERAGE(tblRestaurant[[#This Row],[Total Bill]],tblRestaurant[[#This Row],[Party Size]])</f>
        <v>13.68</v>
      </c>
    </row>
    <row r="138" spans="1:20" ht="20.100000000000001" customHeight="1">
      <c r="A138">
        <v>137</v>
      </c>
      <c r="B138" s="2">
        <v>45668</v>
      </c>
      <c r="C138" t="s">
        <v>16</v>
      </c>
      <c r="D138" t="s">
        <v>10</v>
      </c>
      <c r="E138" t="s">
        <v>11</v>
      </c>
      <c r="F138">
        <v>2</v>
      </c>
      <c r="G138" s="3">
        <v>28.96</v>
      </c>
      <c r="H138" s="4">
        <v>0.18</v>
      </c>
      <c r="I138" t="b">
        <v>1</v>
      </c>
      <c r="J138" s="3">
        <f>tblRestaurant[[#This Row],[Total Bill]]*tblRestaurant[[#This Row],[Tip %]]</f>
        <v>5.2127999999999997</v>
      </c>
      <c r="K138" s="7" t="str">
        <f>IF(tblRestaurant[[#This Row],[Cash]]=TRUE,"Cash","Card")</f>
        <v>Cash</v>
      </c>
      <c r="L138" s="7" t="str">
        <f>IF(tblRestaurant[[#This Row],[Total Bill]]&lt;20,"Low",IF(tblRestaurant[[#This Row],[Total Bill]]&lt;50,"Medium","High"))</f>
        <v>Medium</v>
      </c>
      <c r="M138" s="7" t="str">
        <f>IF(tblRestaurant[[#This Row],[Party Size]]&lt;=2,"Small",IF(tblRestaurant[[#This Row],[Party Size]]&lt;=4,"Medium","Large"))</f>
        <v>Small</v>
      </c>
      <c r="N138" t="str">
        <f>TEXT(tblRestaurant[[#This Row],[Date]],"mmmm")</f>
        <v>January</v>
      </c>
      <c r="O138" s="12">
        <f>WEEKNUM(tblRestaurant[[#This Row],[Date]])</f>
        <v>2</v>
      </c>
      <c r="P138" s="7" t="str">
        <f>IF(OR(tblRestaurant[[#This Row],[Day]]="Sat",tblRestaurant[[#This Row],[Day]]="Sun"),"Weekend","Weekday")</f>
        <v>Weekend</v>
      </c>
      <c r="Q138" s="7" t="str">
        <f>IF(OR(tblRestaurant[[#This Row],[Day]]="Fri",tblRestaurant[[#This Row],[Day]]="Thu"),"Weekday","Weekend")</f>
        <v>Weekend</v>
      </c>
      <c r="R138" s="7" t="str">
        <f>IF(tblRestaurant[[#This Row],[Total Bill]]&lt;25,"Bronze",IF(tblRestaurant[[#This Row],[Total Bill]]&lt;50,"Silver",IF(tblRestaurant[[#This Row],[Total Bill]]&lt;75,"Gold","Platinum")))</f>
        <v>Silver</v>
      </c>
      <c r="S138" s="7" cm="1">
        <f t="array" ref="S138">_xlfn.SWITCH(tblRestaurant[[#This Row],[Revenue Tier]],"Bronze",1,"Silver",2,"Gold",3,"Platinum",4)</f>
        <v>2</v>
      </c>
      <c r="T138" s="13">
        <f>AVERAGE(tblRestaurant[[#This Row],[Total Bill]],tblRestaurant[[#This Row],[Party Size]])</f>
        <v>15.48</v>
      </c>
    </row>
    <row r="139" spans="1:20" ht="20.100000000000001" customHeight="1">
      <c r="A139">
        <v>138</v>
      </c>
      <c r="B139" s="2">
        <v>45668</v>
      </c>
      <c r="C139" t="s">
        <v>16</v>
      </c>
      <c r="D139" t="s">
        <v>10</v>
      </c>
      <c r="E139" t="s">
        <v>13</v>
      </c>
      <c r="F139">
        <v>2</v>
      </c>
      <c r="G139" s="3">
        <v>32.86</v>
      </c>
      <c r="H139" s="4">
        <v>0.15</v>
      </c>
      <c r="I139" t="b">
        <v>0</v>
      </c>
      <c r="J139" s="3">
        <f>tblRestaurant[[#This Row],[Total Bill]]*tblRestaurant[[#This Row],[Tip %]]</f>
        <v>4.9289999999999994</v>
      </c>
      <c r="K139" s="7" t="str">
        <f>IF(tblRestaurant[[#This Row],[Cash]]=TRUE,"Cash","Card")</f>
        <v>Card</v>
      </c>
      <c r="L139" s="7" t="str">
        <f>IF(tblRestaurant[[#This Row],[Total Bill]]&lt;20,"Low",IF(tblRestaurant[[#This Row],[Total Bill]]&lt;50,"Medium","High"))</f>
        <v>Medium</v>
      </c>
      <c r="M139" s="7" t="str">
        <f>IF(tblRestaurant[[#This Row],[Party Size]]&lt;=2,"Small",IF(tblRestaurant[[#This Row],[Party Size]]&lt;=4,"Medium","Large"))</f>
        <v>Small</v>
      </c>
      <c r="N139" t="str">
        <f>TEXT(tblRestaurant[[#This Row],[Date]],"mmmm")</f>
        <v>January</v>
      </c>
      <c r="O139" s="12">
        <f>WEEKNUM(tblRestaurant[[#This Row],[Date]])</f>
        <v>2</v>
      </c>
      <c r="P139" s="7" t="str">
        <f>IF(OR(tblRestaurant[[#This Row],[Day]]="Sat",tblRestaurant[[#This Row],[Day]]="Sun"),"Weekend","Weekday")</f>
        <v>Weekend</v>
      </c>
      <c r="Q139" s="7" t="str">
        <f>IF(OR(tblRestaurant[[#This Row],[Day]]="Fri",tblRestaurant[[#This Row],[Day]]="Thu"),"Weekday","Weekend")</f>
        <v>Weekend</v>
      </c>
      <c r="R139" s="7" t="str">
        <f>IF(tblRestaurant[[#This Row],[Total Bill]]&lt;25,"Bronze",IF(tblRestaurant[[#This Row],[Total Bill]]&lt;50,"Silver",IF(tblRestaurant[[#This Row],[Total Bill]]&lt;75,"Gold","Platinum")))</f>
        <v>Silver</v>
      </c>
      <c r="S139" s="7" cm="1">
        <f t="array" ref="S139">_xlfn.SWITCH(tblRestaurant[[#This Row],[Revenue Tier]],"Bronze",1,"Silver",2,"Gold",3,"Platinum",4)</f>
        <v>2</v>
      </c>
      <c r="T139" s="13">
        <f>AVERAGE(tblRestaurant[[#This Row],[Total Bill]],tblRestaurant[[#This Row],[Party Size]])</f>
        <v>17.43</v>
      </c>
    </row>
    <row r="140" spans="1:20" ht="20.100000000000001" customHeight="1">
      <c r="A140">
        <v>139</v>
      </c>
      <c r="B140" s="2">
        <v>45668</v>
      </c>
      <c r="C140" t="s">
        <v>16</v>
      </c>
      <c r="D140" t="s">
        <v>10</v>
      </c>
      <c r="E140" t="s">
        <v>14</v>
      </c>
      <c r="F140">
        <v>2</v>
      </c>
      <c r="G140" s="3">
        <v>14.57</v>
      </c>
      <c r="H140" s="4">
        <v>0.18</v>
      </c>
      <c r="I140" t="b">
        <v>1</v>
      </c>
      <c r="J140" s="3">
        <f>tblRestaurant[[#This Row],[Total Bill]]*tblRestaurant[[#This Row],[Tip %]]</f>
        <v>2.6225999999999998</v>
      </c>
      <c r="K140" s="7" t="str">
        <f>IF(tblRestaurant[[#This Row],[Cash]]=TRUE,"Cash","Card")</f>
        <v>Cash</v>
      </c>
      <c r="L140" s="7" t="str">
        <f>IF(tblRestaurant[[#This Row],[Total Bill]]&lt;20,"Low",IF(tblRestaurant[[#This Row],[Total Bill]]&lt;50,"Medium","High"))</f>
        <v>Low</v>
      </c>
      <c r="M140" s="7" t="str">
        <f>IF(tblRestaurant[[#This Row],[Party Size]]&lt;=2,"Small",IF(tblRestaurant[[#This Row],[Party Size]]&lt;=4,"Medium","Large"))</f>
        <v>Small</v>
      </c>
      <c r="N140" t="str">
        <f>TEXT(tblRestaurant[[#This Row],[Date]],"mmmm")</f>
        <v>January</v>
      </c>
      <c r="O140" s="12">
        <f>WEEKNUM(tblRestaurant[[#This Row],[Date]])</f>
        <v>2</v>
      </c>
      <c r="P140" s="7" t="str">
        <f>IF(OR(tblRestaurant[[#This Row],[Day]]="Sat",tblRestaurant[[#This Row],[Day]]="Sun"),"Weekend","Weekday")</f>
        <v>Weekend</v>
      </c>
      <c r="Q140" s="7" t="str">
        <f>IF(OR(tblRestaurant[[#This Row],[Day]]="Fri",tblRestaurant[[#This Row],[Day]]="Thu"),"Weekday","Weekend")</f>
        <v>Weekend</v>
      </c>
      <c r="R140" s="7" t="str">
        <f>IF(tblRestaurant[[#This Row],[Total Bill]]&lt;25,"Bronze",IF(tblRestaurant[[#This Row],[Total Bill]]&lt;50,"Silver",IF(tblRestaurant[[#This Row],[Total Bill]]&lt;75,"Gold","Platinum")))</f>
        <v>Bronze</v>
      </c>
      <c r="S140" s="7" cm="1">
        <f t="array" ref="S140">_xlfn.SWITCH(tblRestaurant[[#This Row],[Revenue Tier]],"Bronze",1,"Silver",2,"Gold",3,"Platinum",4)</f>
        <v>1</v>
      </c>
      <c r="T140" s="13">
        <f>AVERAGE(tblRestaurant[[#This Row],[Total Bill]],tblRestaurant[[#This Row],[Party Size]])</f>
        <v>8.2850000000000001</v>
      </c>
    </row>
    <row r="141" spans="1:20" ht="20.100000000000001" customHeight="1">
      <c r="A141">
        <v>140</v>
      </c>
      <c r="B141" s="2">
        <v>45668</v>
      </c>
      <c r="C141" t="s">
        <v>16</v>
      </c>
      <c r="D141" t="s">
        <v>10</v>
      </c>
      <c r="E141" t="s">
        <v>14</v>
      </c>
      <c r="F141">
        <v>2</v>
      </c>
      <c r="G141" s="3">
        <v>17.02</v>
      </c>
      <c r="H141" s="4">
        <v>0.15</v>
      </c>
      <c r="I141" t="b">
        <v>0</v>
      </c>
      <c r="J141" s="3">
        <f>tblRestaurant[[#This Row],[Total Bill]]*tblRestaurant[[#This Row],[Tip %]]</f>
        <v>2.5529999999999999</v>
      </c>
      <c r="K141" s="7" t="str">
        <f>IF(tblRestaurant[[#This Row],[Cash]]=TRUE,"Cash","Card")</f>
        <v>Card</v>
      </c>
      <c r="L141" s="7" t="str">
        <f>IF(tblRestaurant[[#This Row],[Total Bill]]&lt;20,"Low",IF(tblRestaurant[[#This Row],[Total Bill]]&lt;50,"Medium","High"))</f>
        <v>Low</v>
      </c>
      <c r="M141" s="7" t="str">
        <f>IF(tblRestaurant[[#This Row],[Party Size]]&lt;=2,"Small",IF(tblRestaurant[[#This Row],[Party Size]]&lt;=4,"Medium","Large"))</f>
        <v>Small</v>
      </c>
      <c r="N141" t="str">
        <f>TEXT(tblRestaurant[[#This Row],[Date]],"mmmm")</f>
        <v>January</v>
      </c>
      <c r="O141" s="12">
        <f>WEEKNUM(tblRestaurant[[#This Row],[Date]])</f>
        <v>2</v>
      </c>
      <c r="P141" s="7" t="str">
        <f>IF(OR(tblRestaurant[[#This Row],[Day]]="Sat",tblRestaurant[[#This Row],[Day]]="Sun"),"Weekend","Weekday")</f>
        <v>Weekend</v>
      </c>
      <c r="Q141" s="7" t="str">
        <f>IF(OR(tblRestaurant[[#This Row],[Day]]="Fri",tblRestaurant[[#This Row],[Day]]="Thu"),"Weekday","Weekend")</f>
        <v>Weekend</v>
      </c>
      <c r="R141" s="7" t="str">
        <f>IF(tblRestaurant[[#This Row],[Total Bill]]&lt;25,"Bronze",IF(tblRestaurant[[#This Row],[Total Bill]]&lt;50,"Silver",IF(tblRestaurant[[#This Row],[Total Bill]]&lt;75,"Gold","Platinum")))</f>
        <v>Bronze</v>
      </c>
      <c r="S141" s="7" cm="1">
        <f t="array" ref="S141">_xlfn.SWITCH(tblRestaurant[[#This Row],[Revenue Tier]],"Bronze",1,"Silver",2,"Gold",3,"Platinum",4)</f>
        <v>1</v>
      </c>
      <c r="T141" s="13">
        <f>AVERAGE(tblRestaurant[[#This Row],[Total Bill]],tblRestaurant[[#This Row],[Party Size]])</f>
        <v>9.51</v>
      </c>
    </row>
    <row r="142" spans="1:20" ht="20.100000000000001" customHeight="1">
      <c r="A142">
        <v>141</v>
      </c>
      <c r="B142" s="2">
        <v>45668</v>
      </c>
      <c r="C142" t="s">
        <v>16</v>
      </c>
      <c r="D142" t="s">
        <v>10</v>
      </c>
      <c r="E142" t="s">
        <v>13</v>
      </c>
      <c r="F142">
        <v>2</v>
      </c>
      <c r="G142" s="3">
        <v>26.54</v>
      </c>
      <c r="H142" s="4">
        <v>0.18</v>
      </c>
      <c r="I142" t="b">
        <v>0</v>
      </c>
      <c r="J142" s="3">
        <f>tblRestaurant[[#This Row],[Total Bill]]*tblRestaurant[[#This Row],[Tip %]]</f>
        <v>4.7771999999999997</v>
      </c>
      <c r="K142" s="7" t="str">
        <f>IF(tblRestaurant[[#This Row],[Cash]]=TRUE,"Cash","Card")</f>
        <v>Card</v>
      </c>
      <c r="L142" s="7" t="str">
        <f>IF(tblRestaurant[[#This Row],[Total Bill]]&lt;20,"Low",IF(tblRestaurant[[#This Row],[Total Bill]]&lt;50,"Medium","High"))</f>
        <v>Medium</v>
      </c>
      <c r="M142" s="7" t="str">
        <f>IF(tblRestaurant[[#This Row],[Party Size]]&lt;=2,"Small",IF(tblRestaurant[[#This Row],[Party Size]]&lt;=4,"Medium","Large"))</f>
        <v>Small</v>
      </c>
      <c r="N142" t="str">
        <f>TEXT(tblRestaurant[[#This Row],[Date]],"mmmm")</f>
        <v>January</v>
      </c>
      <c r="O142" s="12">
        <f>WEEKNUM(tblRestaurant[[#This Row],[Date]])</f>
        <v>2</v>
      </c>
      <c r="P142" s="7" t="str">
        <f>IF(OR(tblRestaurant[[#This Row],[Day]]="Sat",tblRestaurant[[#This Row],[Day]]="Sun"),"Weekend","Weekday")</f>
        <v>Weekend</v>
      </c>
      <c r="Q142" s="7" t="str">
        <f>IF(OR(tblRestaurant[[#This Row],[Day]]="Fri",tblRestaurant[[#This Row],[Day]]="Thu"),"Weekday","Weekend")</f>
        <v>Weekend</v>
      </c>
      <c r="R142" s="7" t="str">
        <f>IF(tblRestaurant[[#This Row],[Total Bill]]&lt;25,"Bronze",IF(tblRestaurant[[#This Row],[Total Bill]]&lt;50,"Silver",IF(tblRestaurant[[#This Row],[Total Bill]]&lt;75,"Gold","Platinum")))</f>
        <v>Silver</v>
      </c>
      <c r="S142" s="7" cm="1">
        <f t="array" ref="S142">_xlfn.SWITCH(tblRestaurant[[#This Row],[Revenue Tier]],"Bronze",1,"Silver",2,"Gold",3,"Platinum",4)</f>
        <v>2</v>
      </c>
      <c r="T142" s="13">
        <f>AVERAGE(tblRestaurant[[#This Row],[Total Bill]],tblRestaurant[[#This Row],[Party Size]])</f>
        <v>14.27</v>
      </c>
    </row>
    <row r="143" spans="1:20" ht="20.100000000000001" customHeight="1">
      <c r="A143">
        <v>142</v>
      </c>
      <c r="B143" s="2">
        <v>45668</v>
      </c>
      <c r="C143" t="s">
        <v>16</v>
      </c>
      <c r="D143" t="s">
        <v>10</v>
      </c>
      <c r="E143" t="s">
        <v>11</v>
      </c>
      <c r="F143">
        <v>6</v>
      </c>
      <c r="G143" s="3">
        <v>98.61</v>
      </c>
      <c r="H143" s="4">
        <v>0.18</v>
      </c>
      <c r="I143" t="b">
        <v>0</v>
      </c>
      <c r="J143" s="3">
        <f>tblRestaurant[[#This Row],[Total Bill]]*tblRestaurant[[#This Row],[Tip %]]</f>
        <v>17.7498</v>
      </c>
      <c r="K143" s="7" t="str">
        <f>IF(tblRestaurant[[#This Row],[Cash]]=TRUE,"Cash","Card")</f>
        <v>Card</v>
      </c>
      <c r="L143" s="7" t="str">
        <f>IF(tblRestaurant[[#This Row],[Total Bill]]&lt;20,"Low",IF(tblRestaurant[[#This Row],[Total Bill]]&lt;50,"Medium","High"))</f>
        <v>High</v>
      </c>
      <c r="M143" s="7" t="str">
        <f>IF(tblRestaurant[[#This Row],[Party Size]]&lt;=2,"Small",IF(tblRestaurant[[#This Row],[Party Size]]&lt;=4,"Medium","Large"))</f>
        <v>Large</v>
      </c>
      <c r="N143" t="str">
        <f>TEXT(tblRestaurant[[#This Row],[Date]],"mmmm")</f>
        <v>January</v>
      </c>
      <c r="O143" s="12">
        <f>WEEKNUM(tblRestaurant[[#This Row],[Date]])</f>
        <v>2</v>
      </c>
      <c r="P143" s="7" t="str">
        <f>IF(OR(tblRestaurant[[#This Row],[Day]]="Sat",tblRestaurant[[#This Row],[Day]]="Sun"),"Weekend","Weekday")</f>
        <v>Weekend</v>
      </c>
      <c r="Q143" s="7" t="str">
        <f>IF(OR(tblRestaurant[[#This Row],[Day]]="Fri",tblRestaurant[[#This Row],[Day]]="Thu"),"Weekday","Weekend")</f>
        <v>Weekend</v>
      </c>
      <c r="R143" s="7" t="str">
        <f>IF(tblRestaurant[[#This Row],[Total Bill]]&lt;25,"Bronze",IF(tblRestaurant[[#This Row],[Total Bill]]&lt;50,"Silver",IF(tblRestaurant[[#This Row],[Total Bill]]&lt;75,"Gold","Platinum")))</f>
        <v>Platinum</v>
      </c>
      <c r="S143" s="7" cm="1">
        <f t="array" ref="S143">_xlfn.SWITCH(tblRestaurant[[#This Row],[Revenue Tier]],"Bronze",1,"Silver",2,"Gold",3,"Platinum",4)</f>
        <v>4</v>
      </c>
      <c r="T143" s="13">
        <f>AVERAGE(tblRestaurant[[#This Row],[Total Bill]],tblRestaurant[[#This Row],[Party Size]])</f>
        <v>52.305</v>
      </c>
    </row>
    <row r="144" spans="1:20" ht="20.100000000000001" customHeight="1">
      <c r="A144">
        <v>143</v>
      </c>
      <c r="B144" s="2">
        <v>45668</v>
      </c>
      <c r="C144" t="s">
        <v>16</v>
      </c>
      <c r="D144" t="s">
        <v>10</v>
      </c>
      <c r="E144" t="s">
        <v>13</v>
      </c>
      <c r="F144">
        <v>5</v>
      </c>
      <c r="G144" s="3">
        <v>54.03</v>
      </c>
      <c r="H144" s="4">
        <v>0.18</v>
      </c>
      <c r="I144" t="b">
        <v>0</v>
      </c>
      <c r="J144" s="3">
        <f>tblRestaurant[[#This Row],[Total Bill]]*tblRestaurant[[#This Row],[Tip %]]</f>
        <v>9.7254000000000005</v>
      </c>
      <c r="K144" s="7" t="str">
        <f>IF(tblRestaurant[[#This Row],[Cash]]=TRUE,"Cash","Card")</f>
        <v>Card</v>
      </c>
      <c r="L144" s="7" t="str">
        <f>IF(tblRestaurant[[#This Row],[Total Bill]]&lt;20,"Low",IF(tblRestaurant[[#This Row],[Total Bill]]&lt;50,"Medium","High"))</f>
        <v>High</v>
      </c>
      <c r="M144" s="7" t="str">
        <f>IF(tblRestaurant[[#This Row],[Party Size]]&lt;=2,"Small",IF(tblRestaurant[[#This Row],[Party Size]]&lt;=4,"Medium","Large"))</f>
        <v>Large</v>
      </c>
      <c r="N144" t="str">
        <f>TEXT(tblRestaurant[[#This Row],[Date]],"mmmm")</f>
        <v>January</v>
      </c>
      <c r="O144" s="12">
        <f>WEEKNUM(tblRestaurant[[#This Row],[Date]])</f>
        <v>2</v>
      </c>
      <c r="P144" s="7" t="str">
        <f>IF(OR(tblRestaurant[[#This Row],[Day]]="Sat",tblRestaurant[[#This Row],[Day]]="Sun"),"Weekend","Weekday")</f>
        <v>Weekend</v>
      </c>
      <c r="Q144" s="7" t="str">
        <f>IF(OR(tblRestaurant[[#This Row],[Day]]="Fri",tblRestaurant[[#This Row],[Day]]="Thu"),"Weekday","Weekend")</f>
        <v>Weekend</v>
      </c>
      <c r="R144" s="7" t="str">
        <f>IF(tblRestaurant[[#This Row],[Total Bill]]&lt;25,"Bronze",IF(tblRestaurant[[#This Row],[Total Bill]]&lt;50,"Silver",IF(tblRestaurant[[#This Row],[Total Bill]]&lt;75,"Gold","Platinum")))</f>
        <v>Gold</v>
      </c>
      <c r="S144" s="7" cm="1">
        <f t="array" ref="S144">_xlfn.SWITCH(tblRestaurant[[#This Row],[Revenue Tier]],"Bronze",1,"Silver",2,"Gold",3,"Platinum",4)</f>
        <v>3</v>
      </c>
      <c r="T144" s="13">
        <f>AVERAGE(tblRestaurant[[#This Row],[Total Bill]],tblRestaurant[[#This Row],[Party Size]])</f>
        <v>29.515000000000001</v>
      </c>
    </row>
    <row r="145" spans="1:20" ht="20.100000000000001" customHeight="1">
      <c r="A145">
        <v>144</v>
      </c>
      <c r="B145" s="2">
        <v>45668</v>
      </c>
      <c r="C145" t="s">
        <v>16</v>
      </c>
      <c r="D145" t="s">
        <v>10</v>
      </c>
      <c r="E145" t="s">
        <v>14</v>
      </c>
      <c r="F145">
        <v>6</v>
      </c>
      <c r="G145" s="3">
        <v>25.82</v>
      </c>
      <c r="H145" s="4">
        <v>0.25</v>
      </c>
      <c r="I145" t="b">
        <v>1</v>
      </c>
      <c r="J145" s="3">
        <f>tblRestaurant[[#This Row],[Total Bill]]*tblRestaurant[[#This Row],[Tip %]]</f>
        <v>6.4550000000000001</v>
      </c>
      <c r="K145" s="7" t="str">
        <f>IF(tblRestaurant[[#This Row],[Cash]]=TRUE,"Cash","Card")</f>
        <v>Cash</v>
      </c>
      <c r="L145" s="7" t="str">
        <f>IF(tblRestaurant[[#This Row],[Total Bill]]&lt;20,"Low",IF(tblRestaurant[[#This Row],[Total Bill]]&lt;50,"Medium","High"))</f>
        <v>Medium</v>
      </c>
      <c r="M145" s="7" t="str">
        <f>IF(tblRestaurant[[#This Row],[Party Size]]&lt;=2,"Small",IF(tblRestaurant[[#This Row],[Party Size]]&lt;=4,"Medium","Large"))</f>
        <v>Large</v>
      </c>
      <c r="N145" t="str">
        <f>TEXT(tblRestaurant[[#This Row],[Date]],"mmmm")</f>
        <v>January</v>
      </c>
      <c r="O145" s="12">
        <f>WEEKNUM(tblRestaurant[[#This Row],[Date]])</f>
        <v>2</v>
      </c>
      <c r="P145" s="7" t="str">
        <f>IF(OR(tblRestaurant[[#This Row],[Day]]="Sat",tblRestaurant[[#This Row],[Day]]="Sun"),"Weekend","Weekday")</f>
        <v>Weekend</v>
      </c>
      <c r="Q145" s="7" t="str">
        <f>IF(OR(tblRestaurant[[#This Row],[Day]]="Fri",tblRestaurant[[#This Row],[Day]]="Thu"),"Weekday","Weekend")</f>
        <v>Weekend</v>
      </c>
      <c r="R145" s="7" t="str">
        <f>IF(tblRestaurant[[#This Row],[Total Bill]]&lt;25,"Bronze",IF(tblRestaurant[[#This Row],[Total Bill]]&lt;50,"Silver",IF(tblRestaurant[[#This Row],[Total Bill]]&lt;75,"Gold","Platinum")))</f>
        <v>Silver</v>
      </c>
      <c r="S145" s="7" cm="1">
        <f t="array" ref="S145">_xlfn.SWITCH(tblRestaurant[[#This Row],[Revenue Tier]],"Bronze",1,"Silver",2,"Gold",3,"Platinum",4)</f>
        <v>2</v>
      </c>
      <c r="T145" s="13">
        <f>AVERAGE(tblRestaurant[[#This Row],[Total Bill]],tblRestaurant[[#This Row],[Party Size]])</f>
        <v>15.91</v>
      </c>
    </row>
    <row r="146" spans="1:20" ht="20.100000000000001" customHeight="1">
      <c r="A146">
        <v>145</v>
      </c>
      <c r="B146" s="2">
        <v>45668</v>
      </c>
      <c r="C146" t="s">
        <v>16</v>
      </c>
      <c r="D146" t="s">
        <v>10</v>
      </c>
      <c r="E146" t="s">
        <v>14</v>
      </c>
      <c r="F146">
        <v>2</v>
      </c>
      <c r="G146" s="3">
        <v>24.66</v>
      </c>
      <c r="H146" s="4">
        <v>0.25</v>
      </c>
      <c r="I146" t="b">
        <v>0</v>
      </c>
      <c r="J146" s="3">
        <f>tblRestaurant[[#This Row],[Total Bill]]*tblRestaurant[[#This Row],[Tip %]]</f>
        <v>6.165</v>
      </c>
      <c r="K146" s="7" t="str">
        <f>IF(tblRestaurant[[#This Row],[Cash]]=TRUE,"Cash","Card")</f>
        <v>Card</v>
      </c>
      <c r="L146" s="7" t="str">
        <f>IF(tblRestaurant[[#This Row],[Total Bill]]&lt;20,"Low",IF(tblRestaurant[[#This Row],[Total Bill]]&lt;50,"Medium","High"))</f>
        <v>Medium</v>
      </c>
      <c r="M146" s="7" t="str">
        <f>IF(tblRestaurant[[#This Row],[Party Size]]&lt;=2,"Small",IF(tblRestaurant[[#This Row],[Party Size]]&lt;=4,"Medium","Large"))</f>
        <v>Small</v>
      </c>
      <c r="N146" t="str">
        <f>TEXT(tblRestaurant[[#This Row],[Date]],"mmmm")</f>
        <v>January</v>
      </c>
      <c r="O146" s="12">
        <f>WEEKNUM(tblRestaurant[[#This Row],[Date]])</f>
        <v>2</v>
      </c>
      <c r="P146" s="7" t="str">
        <f>IF(OR(tblRestaurant[[#This Row],[Day]]="Sat",tblRestaurant[[#This Row],[Day]]="Sun"),"Weekend","Weekday")</f>
        <v>Weekend</v>
      </c>
      <c r="Q146" s="7" t="str">
        <f>IF(OR(tblRestaurant[[#This Row],[Day]]="Fri",tblRestaurant[[#This Row],[Day]]="Thu"),"Weekday","Weekend")</f>
        <v>Weekend</v>
      </c>
      <c r="R146" s="7" t="str">
        <f>IF(tblRestaurant[[#This Row],[Total Bill]]&lt;25,"Bronze",IF(tblRestaurant[[#This Row],[Total Bill]]&lt;50,"Silver",IF(tblRestaurant[[#This Row],[Total Bill]]&lt;75,"Gold","Platinum")))</f>
        <v>Bronze</v>
      </c>
      <c r="S146" s="7" cm="1">
        <f t="array" ref="S146">_xlfn.SWITCH(tblRestaurant[[#This Row],[Revenue Tier]],"Bronze",1,"Silver",2,"Gold",3,"Platinum",4)</f>
        <v>1</v>
      </c>
      <c r="T146" s="13">
        <f>AVERAGE(tblRestaurant[[#This Row],[Total Bill]],tblRestaurant[[#This Row],[Party Size]])</f>
        <v>13.33</v>
      </c>
    </row>
    <row r="147" spans="1:20" ht="20.100000000000001" customHeight="1">
      <c r="A147">
        <v>146</v>
      </c>
      <c r="B147" s="2">
        <v>45668</v>
      </c>
      <c r="C147" t="s">
        <v>16</v>
      </c>
      <c r="D147" t="s">
        <v>10</v>
      </c>
      <c r="E147" t="s">
        <v>14</v>
      </c>
      <c r="F147">
        <v>2</v>
      </c>
      <c r="G147" s="3">
        <v>6</v>
      </c>
      <c r="H147" s="4">
        <v>0.2</v>
      </c>
      <c r="I147" t="b">
        <v>0</v>
      </c>
      <c r="J147" s="3">
        <f>tblRestaurant[[#This Row],[Total Bill]]*tblRestaurant[[#This Row],[Tip %]]</f>
        <v>1.2000000000000002</v>
      </c>
      <c r="K147" s="7" t="str">
        <f>IF(tblRestaurant[[#This Row],[Cash]]=TRUE,"Cash","Card")</f>
        <v>Card</v>
      </c>
      <c r="L147" s="7" t="str">
        <f>IF(tblRestaurant[[#This Row],[Total Bill]]&lt;20,"Low",IF(tblRestaurant[[#This Row],[Total Bill]]&lt;50,"Medium","High"))</f>
        <v>Low</v>
      </c>
      <c r="M147" s="7" t="str">
        <f>IF(tblRestaurant[[#This Row],[Party Size]]&lt;=2,"Small",IF(tblRestaurant[[#This Row],[Party Size]]&lt;=4,"Medium","Large"))</f>
        <v>Small</v>
      </c>
      <c r="N147" t="str">
        <f>TEXT(tblRestaurant[[#This Row],[Date]],"mmmm")</f>
        <v>January</v>
      </c>
      <c r="O147" s="12">
        <f>WEEKNUM(tblRestaurant[[#This Row],[Date]])</f>
        <v>2</v>
      </c>
      <c r="P147" s="7" t="str">
        <f>IF(OR(tblRestaurant[[#This Row],[Day]]="Sat",tblRestaurant[[#This Row],[Day]]="Sun"),"Weekend","Weekday")</f>
        <v>Weekend</v>
      </c>
      <c r="Q147" s="7" t="str">
        <f>IF(OR(tblRestaurant[[#This Row],[Day]]="Fri",tblRestaurant[[#This Row],[Day]]="Thu"),"Weekday","Weekend")</f>
        <v>Weekend</v>
      </c>
      <c r="R147" s="7" t="str">
        <f>IF(tblRestaurant[[#This Row],[Total Bill]]&lt;25,"Bronze",IF(tblRestaurant[[#This Row],[Total Bill]]&lt;50,"Silver",IF(tblRestaurant[[#This Row],[Total Bill]]&lt;75,"Gold","Platinum")))</f>
        <v>Bronze</v>
      </c>
      <c r="S147" s="7" cm="1">
        <f t="array" ref="S147">_xlfn.SWITCH(tblRestaurant[[#This Row],[Revenue Tier]],"Bronze",1,"Silver",2,"Gold",3,"Platinum",4)</f>
        <v>1</v>
      </c>
      <c r="T147" s="13">
        <f>AVERAGE(tblRestaurant[[#This Row],[Total Bill]],tblRestaurant[[#This Row],[Party Size]])</f>
        <v>4</v>
      </c>
    </row>
    <row r="148" spans="1:20" ht="20.100000000000001" customHeight="1">
      <c r="A148">
        <v>147</v>
      </c>
      <c r="B148" s="2">
        <v>45668</v>
      </c>
      <c r="C148" t="s">
        <v>16</v>
      </c>
      <c r="D148" t="s">
        <v>10</v>
      </c>
      <c r="E148" t="s">
        <v>13</v>
      </c>
      <c r="F148">
        <v>3</v>
      </c>
      <c r="G148" s="3">
        <v>24.59</v>
      </c>
      <c r="H148" s="4">
        <v>0.2</v>
      </c>
      <c r="I148" t="b">
        <v>0</v>
      </c>
      <c r="J148" s="3">
        <f>tblRestaurant[[#This Row],[Total Bill]]*tblRestaurant[[#This Row],[Tip %]]</f>
        <v>4.9180000000000001</v>
      </c>
      <c r="K148" s="7" t="str">
        <f>IF(tblRestaurant[[#This Row],[Cash]]=TRUE,"Cash","Card")</f>
        <v>Card</v>
      </c>
      <c r="L148" s="7" t="str">
        <f>IF(tblRestaurant[[#This Row],[Total Bill]]&lt;20,"Low",IF(tblRestaurant[[#This Row],[Total Bill]]&lt;50,"Medium","High"))</f>
        <v>Medium</v>
      </c>
      <c r="M148" s="7" t="str">
        <f>IF(tblRestaurant[[#This Row],[Party Size]]&lt;=2,"Small",IF(tblRestaurant[[#This Row],[Party Size]]&lt;=4,"Medium","Large"))</f>
        <v>Medium</v>
      </c>
      <c r="N148" t="str">
        <f>TEXT(tblRestaurant[[#This Row],[Date]],"mmmm")</f>
        <v>January</v>
      </c>
      <c r="O148" s="12">
        <f>WEEKNUM(tblRestaurant[[#This Row],[Date]])</f>
        <v>2</v>
      </c>
      <c r="P148" s="7" t="str">
        <f>IF(OR(tblRestaurant[[#This Row],[Day]]="Sat",tblRestaurant[[#This Row],[Day]]="Sun"),"Weekend","Weekday")</f>
        <v>Weekend</v>
      </c>
      <c r="Q148" s="7" t="str">
        <f>IF(OR(tblRestaurant[[#This Row],[Day]]="Fri",tblRestaurant[[#This Row],[Day]]="Thu"),"Weekday","Weekend")</f>
        <v>Weekend</v>
      </c>
      <c r="R148" s="7" t="str">
        <f>IF(tblRestaurant[[#This Row],[Total Bill]]&lt;25,"Bronze",IF(tblRestaurant[[#This Row],[Total Bill]]&lt;50,"Silver",IF(tblRestaurant[[#This Row],[Total Bill]]&lt;75,"Gold","Platinum")))</f>
        <v>Bronze</v>
      </c>
      <c r="S148" s="7" cm="1">
        <f t="array" ref="S148">_xlfn.SWITCH(tblRestaurant[[#This Row],[Revenue Tier]],"Bronze",1,"Silver",2,"Gold",3,"Platinum",4)</f>
        <v>1</v>
      </c>
      <c r="T148" s="13">
        <f>AVERAGE(tblRestaurant[[#This Row],[Total Bill]],tblRestaurant[[#This Row],[Party Size]])</f>
        <v>13.795</v>
      </c>
    </row>
    <row r="149" spans="1:20" ht="20.100000000000001" customHeight="1">
      <c r="A149">
        <v>148</v>
      </c>
      <c r="B149" s="2">
        <v>45668</v>
      </c>
      <c r="C149" t="s">
        <v>16</v>
      </c>
      <c r="D149" t="s">
        <v>10</v>
      </c>
      <c r="E149" t="s">
        <v>12</v>
      </c>
      <c r="F149">
        <v>2</v>
      </c>
      <c r="G149" s="3">
        <v>31.96</v>
      </c>
      <c r="H149" s="4">
        <v>0.18</v>
      </c>
      <c r="I149" t="b">
        <v>0</v>
      </c>
      <c r="J149" s="3">
        <f>tblRestaurant[[#This Row],[Total Bill]]*tblRestaurant[[#This Row],[Tip %]]</f>
        <v>5.7527999999999997</v>
      </c>
      <c r="K149" s="7" t="str">
        <f>IF(tblRestaurant[[#This Row],[Cash]]=TRUE,"Cash","Card")</f>
        <v>Card</v>
      </c>
      <c r="L149" s="7" t="str">
        <f>IF(tblRestaurant[[#This Row],[Total Bill]]&lt;20,"Low",IF(tblRestaurant[[#This Row],[Total Bill]]&lt;50,"Medium","High"))</f>
        <v>Medium</v>
      </c>
      <c r="M149" s="7" t="str">
        <f>IF(tblRestaurant[[#This Row],[Party Size]]&lt;=2,"Small",IF(tblRestaurant[[#This Row],[Party Size]]&lt;=4,"Medium","Large"))</f>
        <v>Small</v>
      </c>
      <c r="N149" t="str">
        <f>TEXT(tblRestaurant[[#This Row],[Date]],"mmmm")</f>
        <v>January</v>
      </c>
      <c r="O149" s="12">
        <f>WEEKNUM(tblRestaurant[[#This Row],[Date]])</f>
        <v>2</v>
      </c>
      <c r="P149" s="7" t="str">
        <f>IF(OR(tblRestaurant[[#This Row],[Day]]="Sat",tblRestaurant[[#This Row],[Day]]="Sun"),"Weekend","Weekday")</f>
        <v>Weekend</v>
      </c>
      <c r="Q149" s="7" t="str">
        <f>IF(OR(tblRestaurant[[#This Row],[Day]]="Fri",tblRestaurant[[#This Row],[Day]]="Thu"),"Weekday","Weekend")</f>
        <v>Weekend</v>
      </c>
      <c r="R149" s="7" t="str">
        <f>IF(tblRestaurant[[#This Row],[Total Bill]]&lt;25,"Bronze",IF(tblRestaurant[[#This Row],[Total Bill]]&lt;50,"Silver",IF(tblRestaurant[[#This Row],[Total Bill]]&lt;75,"Gold","Platinum")))</f>
        <v>Silver</v>
      </c>
      <c r="S149" s="7" cm="1">
        <f t="array" ref="S149">_xlfn.SWITCH(tblRestaurant[[#This Row],[Revenue Tier]],"Bronze",1,"Silver",2,"Gold",3,"Platinum",4)</f>
        <v>2</v>
      </c>
      <c r="T149" s="13">
        <f>AVERAGE(tblRestaurant[[#This Row],[Total Bill]],tblRestaurant[[#This Row],[Party Size]])</f>
        <v>16.98</v>
      </c>
    </row>
    <row r="150" spans="1:20" ht="20.100000000000001" customHeight="1">
      <c r="A150">
        <v>149</v>
      </c>
      <c r="B150" s="2">
        <v>45668</v>
      </c>
      <c r="C150" t="s">
        <v>16</v>
      </c>
      <c r="D150" t="s">
        <v>10</v>
      </c>
      <c r="E150" t="s">
        <v>13</v>
      </c>
      <c r="F150">
        <v>2</v>
      </c>
      <c r="G150" s="3">
        <v>38.450000000000003</v>
      </c>
      <c r="H150" s="4">
        <v>0.18</v>
      </c>
      <c r="I150" t="b">
        <v>0</v>
      </c>
      <c r="J150" s="3">
        <f>tblRestaurant[[#This Row],[Total Bill]]*tblRestaurant[[#This Row],[Tip %]]</f>
        <v>6.9210000000000003</v>
      </c>
      <c r="K150" s="7" t="str">
        <f>IF(tblRestaurant[[#This Row],[Cash]]=TRUE,"Cash","Card")</f>
        <v>Card</v>
      </c>
      <c r="L150" s="7" t="str">
        <f>IF(tblRestaurant[[#This Row],[Total Bill]]&lt;20,"Low",IF(tblRestaurant[[#This Row],[Total Bill]]&lt;50,"Medium","High"))</f>
        <v>Medium</v>
      </c>
      <c r="M150" s="7" t="str">
        <f>IF(tblRestaurant[[#This Row],[Party Size]]&lt;=2,"Small",IF(tblRestaurant[[#This Row],[Party Size]]&lt;=4,"Medium","Large"))</f>
        <v>Small</v>
      </c>
      <c r="N150" t="str">
        <f>TEXT(tblRestaurant[[#This Row],[Date]],"mmmm")</f>
        <v>January</v>
      </c>
      <c r="O150" s="12">
        <f>WEEKNUM(tblRestaurant[[#This Row],[Date]])</f>
        <v>2</v>
      </c>
      <c r="P150" s="7" t="str">
        <f>IF(OR(tblRestaurant[[#This Row],[Day]]="Sat",tblRestaurant[[#This Row],[Day]]="Sun"),"Weekend","Weekday")</f>
        <v>Weekend</v>
      </c>
      <c r="Q150" s="7" t="str">
        <f>IF(OR(tblRestaurant[[#This Row],[Day]]="Fri",tblRestaurant[[#This Row],[Day]]="Thu"),"Weekday","Weekend")</f>
        <v>Weekend</v>
      </c>
      <c r="R150" s="7" t="str">
        <f>IF(tblRestaurant[[#This Row],[Total Bill]]&lt;25,"Bronze",IF(tblRestaurant[[#This Row],[Total Bill]]&lt;50,"Silver",IF(tblRestaurant[[#This Row],[Total Bill]]&lt;75,"Gold","Platinum")))</f>
        <v>Silver</v>
      </c>
      <c r="S150" s="7" cm="1">
        <f t="array" ref="S150">_xlfn.SWITCH(tblRestaurant[[#This Row],[Revenue Tier]],"Bronze",1,"Silver",2,"Gold",3,"Platinum",4)</f>
        <v>2</v>
      </c>
      <c r="T150" s="13">
        <f>AVERAGE(tblRestaurant[[#This Row],[Total Bill]],tblRestaurant[[#This Row],[Party Size]])</f>
        <v>20.225000000000001</v>
      </c>
    </row>
    <row r="151" spans="1:20" ht="20.100000000000001" customHeight="1">
      <c r="A151">
        <v>150</v>
      </c>
      <c r="B151" s="2">
        <v>45668</v>
      </c>
      <c r="C151" t="s">
        <v>16</v>
      </c>
      <c r="D151" t="s">
        <v>10</v>
      </c>
      <c r="E151" t="s">
        <v>13</v>
      </c>
      <c r="F151">
        <v>2</v>
      </c>
      <c r="G151" s="3">
        <v>37.450000000000003</v>
      </c>
      <c r="H151" s="4">
        <v>0.18</v>
      </c>
      <c r="I151" t="b">
        <v>0</v>
      </c>
      <c r="J151" s="3">
        <f>tblRestaurant[[#This Row],[Total Bill]]*tblRestaurant[[#This Row],[Tip %]]</f>
        <v>6.7410000000000005</v>
      </c>
      <c r="K151" s="7" t="str">
        <f>IF(tblRestaurant[[#This Row],[Cash]]=TRUE,"Cash","Card")</f>
        <v>Card</v>
      </c>
      <c r="L151" s="7" t="str">
        <f>IF(tblRestaurant[[#This Row],[Total Bill]]&lt;20,"Low",IF(tblRestaurant[[#This Row],[Total Bill]]&lt;50,"Medium","High"))</f>
        <v>Medium</v>
      </c>
      <c r="M151" s="7" t="str">
        <f>IF(tblRestaurant[[#This Row],[Party Size]]&lt;=2,"Small",IF(tblRestaurant[[#This Row],[Party Size]]&lt;=4,"Medium","Large"))</f>
        <v>Small</v>
      </c>
      <c r="N151" t="str">
        <f>TEXT(tblRestaurant[[#This Row],[Date]],"mmmm")</f>
        <v>January</v>
      </c>
      <c r="O151" s="12">
        <f>WEEKNUM(tblRestaurant[[#This Row],[Date]])</f>
        <v>2</v>
      </c>
      <c r="P151" s="7" t="str">
        <f>IF(OR(tblRestaurant[[#This Row],[Day]]="Sat",tblRestaurant[[#This Row],[Day]]="Sun"),"Weekend","Weekday")</f>
        <v>Weekend</v>
      </c>
      <c r="Q151" s="7" t="str">
        <f>IF(OR(tblRestaurant[[#This Row],[Day]]="Fri",tblRestaurant[[#This Row],[Day]]="Thu"),"Weekday","Weekend")</f>
        <v>Weekend</v>
      </c>
      <c r="R151" s="7" t="str">
        <f>IF(tblRestaurant[[#This Row],[Total Bill]]&lt;25,"Bronze",IF(tblRestaurant[[#This Row],[Total Bill]]&lt;50,"Silver",IF(tblRestaurant[[#This Row],[Total Bill]]&lt;75,"Gold","Platinum")))</f>
        <v>Silver</v>
      </c>
      <c r="S151" s="7" cm="1">
        <f t="array" ref="S151">_xlfn.SWITCH(tblRestaurant[[#This Row],[Revenue Tier]],"Bronze",1,"Silver",2,"Gold",3,"Platinum",4)</f>
        <v>2</v>
      </c>
      <c r="T151" s="13">
        <f>AVERAGE(tblRestaurant[[#This Row],[Total Bill]],tblRestaurant[[#This Row],[Party Size]])</f>
        <v>19.725000000000001</v>
      </c>
    </row>
    <row r="152" spans="1:20" ht="20.100000000000001" customHeight="1">
      <c r="A152">
        <v>151</v>
      </c>
      <c r="B152" s="2">
        <v>45668</v>
      </c>
      <c r="C152" t="s">
        <v>16</v>
      </c>
      <c r="D152" t="s">
        <v>17</v>
      </c>
      <c r="E152" t="s">
        <v>13</v>
      </c>
      <c r="F152">
        <v>2</v>
      </c>
      <c r="G152" s="3">
        <v>28.37</v>
      </c>
      <c r="H152" s="4">
        <v>0.18</v>
      </c>
      <c r="I152" t="b">
        <v>0</v>
      </c>
      <c r="J152" s="3">
        <f>tblRestaurant[[#This Row],[Total Bill]]*tblRestaurant[[#This Row],[Tip %]]</f>
        <v>5.1066000000000003</v>
      </c>
      <c r="K152" s="7" t="str">
        <f>IF(tblRestaurant[[#This Row],[Cash]]=TRUE,"Cash","Card")</f>
        <v>Card</v>
      </c>
      <c r="L152" s="7" t="str">
        <f>IF(tblRestaurant[[#This Row],[Total Bill]]&lt;20,"Low",IF(tblRestaurant[[#This Row],[Total Bill]]&lt;50,"Medium","High"))</f>
        <v>Medium</v>
      </c>
      <c r="M152" s="7" t="str">
        <f>IF(tblRestaurant[[#This Row],[Party Size]]&lt;=2,"Small",IF(tblRestaurant[[#This Row],[Party Size]]&lt;=4,"Medium","Large"))</f>
        <v>Small</v>
      </c>
      <c r="N152" t="str">
        <f>TEXT(tblRestaurant[[#This Row],[Date]],"mmmm")</f>
        <v>January</v>
      </c>
      <c r="O152" s="12">
        <f>WEEKNUM(tblRestaurant[[#This Row],[Date]])</f>
        <v>2</v>
      </c>
      <c r="P152" s="7" t="str">
        <f>IF(OR(tblRestaurant[[#This Row],[Day]]="Sat",tblRestaurant[[#This Row],[Day]]="Sun"),"Weekend","Weekday")</f>
        <v>Weekend</v>
      </c>
      <c r="Q152" s="7" t="str">
        <f>IF(OR(tblRestaurant[[#This Row],[Day]]="Fri",tblRestaurant[[#This Row],[Day]]="Thu"),"Weekday","Weekend")</f>
        <v>Weekend</v>
      </c>
      <c r="R152" s="7" t="str">
        <f>IF(tblRestaurant[[#This Row],[Total Bill]]&lt;25,"Bronze",IF(tblRestaurant[[#This Row],[Total Bill]]&lt;50,"Silver",IF(tblRestaurant[[#This Row],[Total Bill]]&lt;75,"Gold","Platinum")))</f>
        <v>Silver</v>
      </c>
      <c r="S152" s="7" cm="1">
        <f t="array" ref="S152">_xlfn.SWITCH(tblRestaurant[[#This Row],[Revenue Tier]],"Bronze",1,"Silver",2,"Gold",3,"Platinum",4)</f>
        <v>2</v>
      </c>
      <c r="T152" s="13">
        <f>AVERAGE(tblRestaurant[[#This Row],[Total Bill]],tblRestaurant[[#This Row],[Party Size]])</f>
        <v>15.185</v>
      </c>
    </row>
    <row r="153" spans="1:20" ht="20.100000000000001" customHeight="1">
      <c r="A153">
        <v>152</v>
      </c>
      <c r="B153" s="2">
        <v>45668</v>
      </c>
      <c r="C153" t="s">
        <v>16</v>
      </c>
      <c r="D153" t="s">
        <v>17</v>
      </c>
      <c r="E153" t="s">
        <v>13</v>
      </c>
      <c r="F153">
        <v>2</v>
      </c>
      <c r="G153" s="3">
        <v>19.899999999999999</v>
      </c>
      <c r="H153" s="4">
        <v>0.2</v>
      </c>
      <c r="I153" t="b">
        <v>1</v>
      </c>
      <c r="J153" s="3">
        <f>tblRestaurant[[#This Row],[Total Bill]]*tblRestaurant[[#This Row],[Tip %]]</f>
        <v>3.98</v>
      </c>
      <c r="K153" s="7" t="str">
        <f>IF(tblRestaurant[[#This Row],[Cash]]=TRUE,"Cash","Card")</f>
        <v>Cash</v>
      </c>
      <c r="L153" s="7" t="str">
        <f>IF(tblRestaurant[[#This Row],[Total Bill]]&lt;20,"Low",IF(tblRestaurant[[#This Row],[Total Bill]]&lt;50,"Medium","High"))</f>
        <v>Low</v>
      </c>
      <c r="M153" s="7" t="str">
        <f>IF(tblRestaurant[[#This Row],[Party Size]]&lt;=2,"Small",IF(tblRestaurant[[#This Row],[Party Size]]&lt;=4,"Medium","Large"))</f>
        <v>Small</v>
      </c>
      <c r="N153" t="str">
        <f>TEXT(tblRestaurant[[#This Row],[Date]],"mmmm")</f>
        <v>January</v>
      </c>
      <c r="O153" s="12">
        <f>WEEKNUM(tblRestaurant[[#This Row],[Date]])</f>
        <v>2</v>
      </c>
      <c r="P153" s="7" t="str">
        <f>IF(OR(tblRestaurant[[#This Row],[Day]]="Sat",tblRestaurant[[#This Row],[Day]]="Sun"),"Weekend","Weekday")</f>
        <v>Weekend</v>
      </c>
      <c r="Q153" s="7" t="str">
        <f>IF(OR(tblRestaurant[[#This Row],[Day]]="Fri",tblRestaurant[[#This Row],[Day]]="Thu"),"Weekday","Weekend")</f>
        <v>Weekend</v>
      </c>
      <c r="R153" s="7" t="str">
        <f>IF(tblRestaurant[[#This Row],[Total Bill]]&lt;25,"Bronze",IF(tblRestaurant[[#This Row],[Total Bill]]&lt;50,"Silver",IF(tblRestaurant[[#This Row],[Total Bill]]&lt;75,"Gold","Platinum")))</f>
        <v>Bronze</v>
      </c>
      <c r="S153" s="7" cm="1">
        <f t="array" ref="S153">_xlfn.SWITCH(tblRestaurant[[#This Row],[Revenue Tier]],"Bronze",1,"Silver",2,"Gold",3,"Platinum",4)</f>
        <v>1</v>
      </c>
      <c r="T153" s="13">
        <f>AVERAGE(tblRestaurant[[#This Row],[Total Bill]],tblRestaurant[[#This Row],[Party Size]])</f>
        <v>10.95</v>
      </c>
    </row>
    <row r="154" spans="1:20" ht="20.100000000000001" customHeight="1">
      <c r="A154">
        <v>153</v>
      </c>
      <c r="B154" s="2">
        <v>45668</v>
      </c>
      <c r="C154" t="s">
        <v>16</v>
      </c>
      <c r="D154" t="s">
        <v>17</v>
      </c>
      <c r="E154" t="s">
        <v>11</v>
      </c>
      <c r="F154">
        <v>3</v>
      </c>
      <c r="G154" s="3">
        <v>36.03</v>
      </c>
      <c r="H154" s="4">
        <v>0.18</v>
      </c>
      <c r="I154" t="b">
        <v>0</v>
      </c>
      <c r="J154" s="3">
        <f>tblRestaurant[[#This Row],[Total Bill]]*tblRestaurant[[#This Row],[Tip %]]</f>
        <v>6.4854000000000003</v>
      </c>
      <c r="K154" s="7" t="str">
        <f>IF(tblRestaurant[[#This Row],[Cash]]=TRUE,"Cash","Card")</f>
        <v>Card</v>
      </c>
      <c r="L154" s="7" t="str">
        <f>IF(tblRestaurant[[#This Row],[Total Bill]]&lt;20,"Low",IF(tblRestaurant[[#This Row],[Total Bill]]&lt;50,"Medium","High"))</f>
        <v>Medium</v>
      </c>
      <c r="M154" s="7" t="str">
        <f>IF(tblRestaurant[[#This Row],[Party Size]]&lt;=2,"Small",IF(tblRestaurant[[#This Row],[Party Size]]&lt;=4,"Medium","Large"))</f>
        <v>Medium</v>
      </c>
      <c r="N154" t="str">
        <f>TEXT(tblRestaurant[[#This Row],[Date]],"mmmm")</f>
        <v>January</v>
      </c>
      <c r="O154" s="12">
        <f>WEEKNUM(tblRestaurant[[#This Row],[Date]])</f>
        <v>2</v>
      </c>
      <c r="P154" s="7" t="str">
        <f>IF(OR(tblRestaurant[[#This Row],[Day]]="Sat",tblRestaurant[[#This Row],[Day]]="Sun"),"Weekend","Weekday")</f>
        <v>Weekend</v>
      </c>
      <c r="Q154" s="7" t="str">
        <f>IF(OR(tblRestaurant[[#This Row],[Day]]="Fri",tblRestaurant[[#This Row],[Day]]="Thu"),"Weekday","Weekend")</f>
        <v>Weekend</v>
      </c>
      <c r="R154" s="7" t="str">
        <f>IF(tblRestaurant[[#This Row],[Total Bill]]&lt;25,"Bronze",IF(tblRestaurant[[#This Row],[Total Bill]]&lt;50,"Silver",IF(tblRestaurant[[#This Row],[Total Bill]]&lt;75,"Gold","Platinum")))</f>
        <v>Silver</v>
      </c>
      <c r="S154" s="7" cm="1">
        <f t="array" ref="S154">_xlfn.SWITCH(tblRestaurant[[#This Row],[Revenue Tier]],"Bronze",1,"Silver",2,"Gold",3,"Platinum",4)</f>
        <v>2</v>
      </c>
      <c r="T154" s="13">
        <f>AVERAGE(tblRestaurant[[#This Row],[Total Bill]],tblRestaurant[[#This Row],[Party Size]])</f>
        <v>19.515000000000001</v>
      </c>
    </row>
    <row r="155" spans="1:20" ht="20.100000000000001" customHeight="1">
      <c r="A155">
        <v>154</v>
      </c>
      <c r="B155" s="2">
        <v>45668</v>
      </c>
      <c r="C155" t="s">
        <v>16</v>
      </c>
      <c r="D155" t="s">
        <v>17</v>
      </c>
      <c r="E155" t="s">
        <v>12</v>
      </c>
      <c r="F155">
        <v>4</v>
      </c>
      <c r="G155" s="3">
        <v>29.06</v>
      </c>
      <c r="H155" s="4">
        <v>0.2</v>
      </c>
      <c r="I155" t="b">
        <v>1</v>
      </c>
      <c r="J155" s="3">
        <f>tblRestaurant[[#This Row],[Total Bill]]*tblRestaurant[[#This Row],[Tip %]]</f>
        <v>5.8120000000000003</v>
      </c>
      <c r="K155" s="7" t="str">
        <f>IF(tblRestaurant[[#This Row],[Cash]]=TRUE,"Cash","Card")</f>
        <v>Cash</v>
      </c>
      <c r="L155" s="7" t="str">
        <f>IF(tblRestaurant[[#This Row],[Total Bill]]&lt;20,"Low",IF(tblRestaurant[[#This Row],[Total Bill]]&lt;50,"Medium","High"))</f>
        <v>Medium</v>
      </c>
      <c r="M155" s="7" t="str">
        <f>IF(tblRestaurant[[#This Row],[Party Size]]&lt;=2,"Small",IF(tblRestaurant[[#This Row],[Party Size]]&lt;=4,"Medium","Large"))</f>
        <v>Medium</v>
      </c>
      <c r="N155" t="str">
        <f>TEXT(tblRestaurant[[#This Row],[Date]],"mmmm")</f>
        <v>January</v>
      </c>
      <c r="O155" s="12">
        <f>WEEKNUM(tblRestaurant[[#This Row],[Date]])</f>
        <v>2</v>
      </c>
      <c r="P155" s="7" t="str">
        <f>IF(OR(tblRestaurant[[#This Row],[Day]]="Sat",tblRestaurant[[#This Row],[Day]]="Sun"),"Weekend","Weekday")</f>
        <v>Weekend</v>
      </c>
      <c r="Q155" s="7" t="str">
        <f>IF(OR(tblRestaurant[[#This Row],[Day]]="Fri",tblRestaurant[[#This Row],[Day]]="Thu"),"Weekday","Weekend")</f>
        <v>Weekend</v>
      </c>
      <c r="R155" s="7" t="str">
        <f>IF(tblRestaurant[[#This Row],[Total Bill]]&lt;25,"Bronze",IF(tblRestaurant[[#This Row],[Total Bill]]&lt;50,"Silver",IF(tblRestaurant[[#This Row],[Total Bill]]&lt;75,"Gold","Platinum")))</f>
        <v>Silver</v>
      </c>
      <c r="S155" s="7" cm="1">
        <f t="array" ref="S155">_xlfn.SWITCH(tblRestaurant[[#This Row],[Revenue Tier]],"Bronze",1,"Silver",2,"Gold",3,"Platinum",4)</f>
        <v>2</v>
      </c>
      <c r="T155" s="13">
        <f>AVERAGE(tblRestaurant[[#This Row],[Total Bill]],tblRestaurant[[#This Row],[Party Size]])</f>
        <v>16.53</v>
      </c>
    </row>
    <row r="156" spans="1:20" ht="20.100000000000001" customHeight="1">
      <c r="A156">
        <v>155</v>
      </c>
      <c r="B156" s="2">
        <v>45668</v>
      </c>
      <c r="C156" t="s">
        <v>16</v>
      </c>
      <c r="D156" t="s">
        <v>17</v>
      </c>
      <c r="E156" t="s">
        <v>14</v>
      </c>
      <c r="F156">
        <v>4</v>
      </c>
      <c r="G156" s="3">
        <v>31.56</v>
      </c>
      <c r="H156" s="4">
        <v>0.15</v>
      </c>
      <c r="I156" t="b">
        <v>1</v>
      </c>
      <c r="J156" s="3">
        <f>tblRestaurant[[#This Row],[Total Bill]]*tblRestaurant[[#This Row],[Tip %]]</f>
        <v>4.734</v>
      </c>
      <c r="K156" s="7" t="str">
        <f>IF(tblRestaurant[[#This Row],[Cash]]=TRUE,"Cash","Card")</f>
        <v>Cash</v>
      </c>
      <c r="L156" s="7" t="str">
        <f>IF(tblRestaurant[[#This Row],[Total Bill]]&lt;20,"Low",IF(tblRestaurant[[#This Row],[Total Bill]]&lt;50,"Medium","High"))</f>
        <v>Medium</v>
      </c>
      <c r="M156" s="7" t="str">
        <f>IF(tblRestaurant[[#This Row],[Party Size]]&lt;=2,"Small",IF(tblRestaurant[[#This Row],[Party Size]]&lt;=4,"Medium","Large"))</f>
        <v>Medium</v>
      </c>
      <c r="N156" t="str">
        <f>TEXT(tblRestaurant[[#This Row],[Date]],"mmmm")</f>
        <v>January</v>
      </c>
      <c r="O156" s="12">
        <f>WEEKNUM(tblRestaurant[[#This Row],[Date]])</f>
        <v>2</v>
      </c>
      <c r="P156" s="7" t="str">
        <f>IF(OR(tblRestaurant[[#This Row],[Day]]="Sat",tblRestaurant[[#This Row],[Day]]="Sun"),"Weekend","Weekday")</f>
        <v>Weekend</v>
      </c>
      <c r="Q156" s="7" t="str">
        <f>IF(OR(tblRestaurant[[#This Row],[Day]]="Fri",tblRestaurant[[#This Row],[Day]]="Thu"),"Weekday","Weekend")</f>
        <v>Weekend</v>
      </c>
      <c r="R156" s="7" t="str">
        <f>IF(tblRestaurant[[#This Row],[Total Bill]]&lt;25,"Bronze",IF(tblRestaurant[[#This Row],[Total Bill]]&lt;50,"Silver",IF(tblRestaurant[[#This Row],[Total Bill]]&lt;75,"Gold","Platinum")))</f>
        <v>Silver</v>
      </c>
      <c r="S156" s="7" cm="1">
        <f t="array" ref="S156">_xlfn.SWITCH(tblRestaurant[[#This Row],[Revenue Tier]],"Bronze",1,"Silver",2,"Gold",3,"Platinum",4)</f>
        <v>2</v>
      </c>
      <c r="T156" s="13">
        <f>AVERAGE(tblRestaurant[[#This Row],[Total Bill]],tblRestaurant[[#This Row],[Party Size]])</f>
        <v>17.78</v>
      </c>
    </row>
    <row r="157" spans="1:20" ht="20.100000000000001" customHeight="1">
      <c r="A157">
        <v>156</v>
      </c>
      <c r="B157" s="2">
        <v>45668</v>
      </c>
      <c r="C157" t="s">
        <v>16</v>
      </c>
      <c r="D157" t="s">
        <v>17</v>
      </c>
      <c r="E157" t="s">
        <v>11</v>
      </c>
      <c r="F157">
        <v>5</v>
      </c>
      <c r="G157" s="3">
        <v>59.25</v>
      </c>
      <c r="H157" s="4">
        <v>0.18</v>
      </c>
      <c r="I157" t="b">
        <v>0</v>
      </c>
      <c r="J157" s="3">
        <f>tblRestaurant[[#This Row],[Total Bill]]*tblRestaurant[[#This Row],[Tip %]]</f>
        <v>10.664999999999999</v>
      </c>
      <c r="K157" s="7" t="str">
        <f>IF(tblRestaurant[[#This Row],[Cash]]=TRUE,"Cash","Card")</f>
        <v>Card</v>
      </c>
      <c r="L157" s="7" t="str">
        <f>IF(tblRestaurant[[#This Row],[Total Bill]]&lt;20,"Low",IF(tblRestaurant[[#This Row],[Total Bill]]&lt;50,"Medium","High"))</f>
        <v>High</v>
      </c>
      <c r="M157" s="7" t="str">
        <f>IF(tblRestaurant[[#This Row],[Party Size]]&lt;=2,"Small",IF(tblRestaurant[[#This Row],[Party Size]]&lt;=4,"Medium","Large"))</f>
        <v>Large</v>
      </c>
      <c r="N157" t="str">
        <f>TEXT(tblRestaurant[[#This Row],[Date]],"mmmm")</f>
        <v>January</v>
      </c>
      <c r="O157" s="12">
        <f>WEEKNUM(tblRestaurant[[#This Row],[Date]])</f>
        <v>2</v>
      </c>
      <c r="P157" s="7" t="str">
        <f>IF(OR(tblRestaurant[[#This Row],[Day]]="Sat",tblRestaurant[[#This Row],[Day]]="Sun"),"Weekend","Weekday")</f>
        <v>Weekend</v>
      </c>
      <c r="Q157" s="7" t="str">
        <f>IF(OR(tblRestaurant[[#This Row],[Day]]="Fri",tblRestaurant[[#This Row],[Day]]="Thu"),"Weekday","Weekend")</f>
        <v>Weekend</v>
      </c>
      <c r="R157" s="7" t="str">
        <f>IF(tblRestaurant[[#This Row],[Total Bill]]&lt;25,"Bronze",IF(tblRestaurant[[#This Row],[Total Bill]]&lt;50,"Silver",IF(tblRestaurant[[#This Row],[Total Bill]]&lt;75,"Gold","Platinum")))</f>
        <v>Gold</v>
      </c>
      <c r="S157" s="7" cm="1">
        <f t="array" ref="S157">_xlfn.SWITCH(tblRestaurant[[#This Row],[Revenue Tier]],"Bronze",1,"Silver",2,"Gold",3,"Platinum",4)</f>
        <v>3</v>
      </c>
      <c r="T157" s="13">
        <f>AVERAGE(tblRestaurant[[#This Row],[Total Bill]],tblRestaurant[[#This Row],[Party Size]])</f>
        <v>32.125</v>
      </c>
    </row>
    <row r="158" spans="1:20" ht="20.100000000000001" customHeight="1">
      <c r="A158">
        <v>157</v>
      </c>
      <c r="B158" s="2">
        <v>45668</v>
      </c>
      <c r="C158" t="s">
        <v>16</v>
      </c>
      <c r="D158" t="s">
        <v>17</v>
      </c>
      <c r="E158" t="s">
        <v>14</v>
      </c>
      <c r="F158">
        <v>6</v>
      </c>
      <c r="G158" s="3">
        <v>77.31</v>
      </c>
      <c r="H158" s="4">
        <v>0.2</v>
      </c>
      <c r="I158" t="b">
        <v>1</v>
      </c>
      <c r="J158" s="3">
        <f>tblRestaurant[[#This Row],[Total Bill]]*tblRestaurant[[#This Row],[Tip %]]</f>
        <v>15.462000000000002</v>
      </c>
      <c r="K158" s="7" t="str">
        <f>IF(tblRestaurant[[#This Row],[Cash]]=TRUE,"Cash","Card")</f>
        <v>Cash</v>
      </c>
      <c r="L158" s="7" t="str">
        <f>IF(tblRestaurant[[#This Row],[Total Bill]]&lt;20,"Low",IF(tblRestaurant[[#This Row],[Total Bill]]&lt;50,"Medium","High"))</f>
        <v>High</v>
      </c>
      <c r="M158" s="7" t="str">
        <f>IF(tblRestaurant[[#This Row],[Party Size]]&lt;=2,"Small",IF(tblRestaurant[[#This Row],[Party Size]]&lt;=4,"Medium","Large"))</f>
        <v>Large</v>
      </c>
      <c r="N158" t="str">
        <f>TEXT(tblRestaurant[[#This Row],[Date]],"mmmm")</f>
        <v>January</v>
      </c>
      <c r="O158" s="12">
        <f>WEEKNUM(tblRestaurant[[#This Row],[Date]])</f>
        <v>2</v>
      </c>
      <c r="P158" s="7" t="str">
        <f>IF(OR(tblRestaurant[[#This Row],[Day]]="Sat",tblRestaurant[[#This Row],[Day]]="Sun"),"Weekend","Weekday")</f>
        <v>Weekend</v>
      </c>
      <c r="Q158" s="7" t="str">
        <f>IF(OR(tblRestaurant[[#This Row],[Day]]="Fri",tblRestaurant[[#This Row],[Day]]="Thu"),"Weekday","Weekend")</f>
        <v>Weekend</v>
      </c>
      <c r="R158" s="7" t="str">
        <f>IF(tblRestaurant[[#This Row],[Total Bill]]&lt;25,"Bronze",IF(tblRestaurant[[#This Row],[Total Bill]]&lt;50,"Silver",IF(tblRestaurant[[#This Row],[Total Bill]]&lt;75,"Gold","Platinum")))</f>
        <v>Platinum</v>
      </c>
      <c r="S158" s="7" cm="1">
        <f t="array" ref="S158">_xlfn.SWITCH(tblRestaurant[[#This Row],[Revenue Tier]],"Bronze",1,"Silver",2,"Gold",3,"Platinum",4)</f>
        <v>4</v>
      </c>
      <c r="T158" s="13">
        <f>AVERAGE(tblRestaurant[[#This Row],[Total Bill]],tblRestaurant[[#This Row],[Party Size]])</f>
        <v>41.655000000000001</v>
      </c>
    </row>
    <row r="159" spans="1:20" ht="20.100000000000001" customHeight="1">
      <c r="A159">
        <v>158</v>
      </c>
      <c r="B159" s="2">
        <v>45668</v>
      </c>
      <c r="C159" t="s">
        <v>16</v>
      </c>
      <c r="D159" t="s">
        <v>17</v>
      </c>
      <c r="E159" t="s">
        <v>14</v>
      </c>
      <c r="F159">
        <v>4</v>
      </c>
      <c r="G159" s="3">
        <v>45.53</v>
      </c>
      <c r="H159" s="4">
        <v>0.18</v>
      </c>
      <c r="I159" t="b">
        <v>0</v>
      </c>
      <c r="J159" s="3">
        <f>tblRestaurant[[#This Row],[Total Bill]]*tblRestaurant[[#This Row],[Tip %]]</f>
        <v>8.1953999999999994</v>
      </c>
      <c r="K159" s="7" t="str">
        <f>IF(tblRestaurant[[#This Row],[Cash]]=TRUE,"Cash","Card")</f>
        <v>Card</v>
      </c>
      <c r="L159" s="7" t="str">
        <f>IF(tblRestaurant[[#This Row],[Total Bill]]&lt;20,"Low",IF(tblRestaurant[[#This Row],[Total Bill]]&lt;50,"Medium","High"))</f>
        <v>Medium</v>
      </c>
      <c r="M159" s="7" t="str">
        <f>IF(tblRestaurant[[#This Row],[Party Size]]&lt;=2,"Small",IF(tblRestaurant[[#This Row],[Party Size]]&lt;=4,"Medium","Large"))</f>
        <v>Medium</v>
      </c>
      <c r="N159" t="str">
        <f>TEXT(tblRestaurant[[#This Row],[Date]],"mmmm")</f>
        <v>January</v>
      </c>
      <c r="O159" s="12">
        <f>WEEKNUM(tblRestaurant[[#This Row],[Date]])</f>
        <v>2</v>
      </c>
      <c r="P159" s="7" t="str">
        <f>IF(OR(tblRestaurant[[#This Row],[Day]]="Sat",tblRestaurant[[#This Row],[Day]]="Sun"),"Weekend","Weekday")</f>
        <v>Weekend</v>
      </c>
      <c r="Q159" s="7" t="str">
        <f>IF(OR(tblRestaurant[[#This Row],[Day]]="Fri",tblRestaurant[[#This Row],[Day]]="Thu"),"Weekday","Weekend")</f>
        <v>Weekend</v>
      </c>
      <c r="R159" s="7" t="str">
        <f>IF(tblRestaurant[[#This Row],[Total Bill]]&lt;25,"Bronze",IF(tblRestaurant[[#This Row],[Total Bill]]&lt;50,"Silver",IF(tblRestaurant[[#This Row],[Total Bill]]&lt;75,"Gold","Platinum")))</f>
        <v>Silver</v>
      </c>
      <c r="S159" s="7" cm="1">
        <f t="array" ref="S159">_xlfn.SWITCH(tblRestaurant[[#This Row],[Revenue Tier]],"Bronze",1,"Silver",2,"Gold",3,"Platinum",4)</f>
        <v>2</v>
      </c>
      <c r="T159" s="13">
        <f>AVERAGE(tblRestaurant[[#This Row],[Total Bill]],tblRestaurant[[#This Row],[Party Size]])</f>
        <v>24.765000000000001</v>
      </c>
    </row>
    <row r="160" spans="1:20" ht="20.100000000000001" customHeight="1">
      <c r="A160">
        <v>159</v>
      </c>
      <c r="B160" s="2">
        <v>45668</v>
      </c>
      <c r="C160" t="s">
        <v>16</v>
      </c>
      <c r="D160" t="s">
        <v>17</v>
      </c>
      <c r="E160" t="s">
        <v>12</v>
      </c>
      <c r="F160">
        <v>2</v>
      </c>
      <c r="G160" s="3">
        <v>20.28</v>
      </c>
      <c r="H160" s="4">
        <v>0.2</v>
      </c>
      <c r="I160" t="b">
        <v>0</v>
      </c>
      <c r="J160" s="3">
        <f>tblRestaurant[[#This Row],[Total Bill]]*tblRestaurant[[#This Row],[Tip %]]</f>
        <v>4.056</v>
      </c>
      <c r="K160" s="7" t="str">
        <f>IF(tblRestaurant[[#This Row],[Cash]]=TRUE,"Cash","Card")</f>
        <v>Card</v>
      </c>
      <c r="L160" s="7" t="str">
        <f>IF(tblRestaurant[[#This Row],[Total Bill]]&lt;20,"Low",IF(tblRestaurant[[#This Row],[Total Bill]]&lt;50,"Medium","High"))</f>
        <v>Medium</v>
      </c>
      <c r="M160" s="7" t="str">
        <f>IF(tblRestaurant[[#This Row],[Party Size]]&lt;=2,"Small",IF(tblRestaurant[[#This Row],[Party Size]]&lt;=4,"Medium","Large"))</f>
        <v>Small</v>
      </c>
      <c r="N160" t="str">
        <f>TEXT(tblRestaurant[[#This Row],[Date]],"mmmm")</f>
        <v>January</v>
      </c>
      <c r="O160" s="12">
        <f>WEEKNUM(tblRestaurant[[#This Row],[Date]])</f>
        <v>2</v>
      </c>
      <c r="P160" s="7" t="str">
        <f>IF(OR(tblRestaurant[[#This Row],[Day]]="Sat",tblRestaurant[[#This Row],[Day]]="Sun"),"Weekend","Weekday")</f>
        <v>Weekend</v>
      </c>
      <c r="Q160" s="7" t="str">
        <f>IF(OR(tblRestaurant[[#This Row],[Day]]="Fri",tblRestaurant[[#This Row],[Day]]="Thu"),"Weekday","Weekend")</f>
        <v>Weekend</v>
      </c>
      <c r="R160" s="7" t="str">
        <f>IF(tblRestaurant[[#This Row],[Total Bill]]&lt;25,"Bronze",IF(tblRestaurant[[#This Row],[Total Bill]]&lt;50,"Silver",IF(tblRestaurant[[#This Row],[Total Bill]]&lt;75,"Gold","Platinum")))</f>
        <v>Bronze</v>
      </c>
      <c r="S160" s="7" cm="1">
        <f t="array" ref="S160">_xlfn.SWITCH(tblRestaurant[[#This Row],[Revenue Tier]],"Bronze",1,"Silver",2,"Gold",3,"Platinum",4)</f>
        <v>1</v>
      </c>
      <c r="T160" s="13">
        <f>AVERAGE(tblRestaurant[[#This Row],[Total Bill]],tblRestaurant[[#This Row],[Party Size]])</f>
        <v>11.14</v>
      </c>
    </row>
    <row r="161" spans="1:20" ht="20.100000000000001" customHeight="1">
      <c r="A161">
        <v>160</v>
      </c>
      <c r="B161" s="2">
        <v>45668</v>
      </c>
      <c r="C161" t="s">
        <v>16</v>
      </c>
      <c r="D161" t="s">
        <v>17</v>
      </c>
      <c r="E161" t="s">
        <v>14</v>
      </c>
      <c r="F161">
        <v>4</v>
      </c>
      <c r="G161" s="3">
        <v>66.53</v>
      </c>
      <c r="H161" s="4">
        <v>0.2</v>
      </c>
      <c r="I161" t="b">
        <v>0</v>
      </c>
      <c r="J161" s="3">
        <f>tblRestaurant[[#This Row],[Total Bill]]*tblRestaurant[[#This Row],[Tip %]]</f>
        <v>13.306000000000001</v>
      </c>
      <c r="K161" s="7" t="str">
        <f>IF(tblRestaurant[[#This Row],[Cash]]=TRUE,"Cash","Card")</f>
        <v>Card</v>
      </c>
      <c r="L161" s="7" t="str">
        <f>IF(tblRestaurant[[#This Row],[Total Bill]]&lt;20,"Low",IF(tblRestaurant[[#This Row],[Total Bill]]&lt;50,"Medium","High"))</f>
        <v>High</v>
      </c>
      <c r="M161" s="7" t="str">
        <f>IF(tblRestaurant[[#This Row],[Party Size]]&lt;=2,"Small",IF(tblRestaurant[[#This Row],[Party Size]]&lt;=4,"Medium","Large"))</f>
        <v>Medium</v>
      </c>
      <c r="N161" t="str">
        <f>TEXT(tblRestaurant[[#This Row],[Date]],"mmmm")</f>
        <v>January</v>
      </c>
      <c r="O161" s="12">
        <f>WEEKNUM(tblRestaurant[[#This Row],[Date]])</f>
        <v>2</v>
      </c>
      <c r="P161" s="7" t="str">
        <f>IF(OR(tblRestaurant[[#This Row],[Day]]="Sat",tblRestaurant[[#This Row],[Day]]="Sun"),"Weekend","Weekday")</f>
        <v>Weekend</v>
      </c>
      <c r="Q161" s="7" t="str">
        <f>IF(OR(tblRestaurant[[#This Row],[Day]]="Fri",tblRestaurant[[#This Row],[Day]]="Thu"),"Weekday","Weekend")</f>
        <v>Weekend</v>
      </c>
      <c r="R161" s="7" t="str">
        <f>IF(tblRestaurant[[#This Row],[Total Bill]]&lt;25,"Bronze",IF(tblRestaurant[[#This Row],[Total Bill]]&lt;50,"Silver",IF(tblRestaurant[[#This Row],[Total Bill]]&lt;75,"Gold","Platinum")))</f>
        <v>Gold</v>
      </c>
      <c r="S161" s="7" cm="1">
        <f t="array" ref="S161">_xlfn.SWITCH(tblRestaurant[[#This Row],[Revenue Tier]],"Bronze",1,"Silver",2,"Gold",3,"Platinum",4)</f>
        <v>3</v>
      </c>
      <c r="T161" s="13">
        <f>AVERAGE(tblRestaurant[[#This Row],[Total Bill]],tblRestaurant[[#This Row],[Party Size]])</f>
        <v>35.265000000000001</v>
      </c>
    </row>
    <row r="162" spans="1:20" ht="20.100000000000001" customHeight="1">
      <c r="A162">
        <v>161</v>
      </c>
      <c r="B162" s="2">
        <v>45668</v>
      </c>
      <c r="C162" t="s">
        <v>16</v>
      </c>
      <c r="D162" t="s">
        <v>17</v>
      </c>
      <c r="E162" t="s">
        <v>14</v>
      </c>
      <c r="F162">
        <v>4</v>
      </c>
      <c r="G162" s="3">
        <v>43.25</v>
      </c>
      <c r="H162" s="4">
        <v>0.25</v>
      </c>
      <c r="I162" t="b">
        <v>0</v>
      </c>
      <c r="J162" s="3">
        <f>tblRestaurant[[#This Row],[Total Bill]]*tblRestaurant[[#This Row],[Tip %]]</f>
        <v>10.8125</v>
      </c>
      <c r="K162" s="7" t="str">
        <f>IF(tblRestaurant[[#This Row],[Cash]]=TRUE,"Cash","Card")</f>
        <v>Card</v>
      </c>
      <c r="L162" s="7" t="str">
        <f>IF(tblRestaurant[[#This Row],[Total Bill]]&lt;20,"Low",IF(tblRestaurant[[#This Row],[Total Bill]]&lt;50,"Medium","High"))</f>
        <v>Medium</v>
      </c>
      <c r="M162" s="7" t="str">
        <f>IF(tblRestaurant[[#This Row],[Party Size]]&lt;=2,"Small",IF(tblRestaurant[[#This Row],[Party Size]]&lt;=4,"Medium","Large"))</f>
        <v>Medium</v>
      </c>
      <c r="N162" t="str">
        <f>TEXT(tblRestaurant[[#This Row],[Date]],"mmmm")</f>
        <v>January</v>
      </c>
      <c r="O162" s="12">
        <f>WEEKNUM(tblRestaurant[[#This Row],[Date]])</f>
        <v>2</v>
      </c>
      <c r="P162" s="7" t="str">
        <f>IF(OR(tblRestaurant[[#This Row],[Day]]="Sat",tblRestaurant[[#This Row],[Day]]="Sun"),"Weekend","Weekday")</f>
        <v>Weekend</v>
      </c>
      <c r="Q162" s="7" t="str">
        <f>IF(OR(tblRestaurant[[#This Row],[Day]]="Fri",tblRestaurant[[#This Row],[Day]]="Thu"),"Weekday","Weekend")</f>
        <v>Weekend</v>
      </c>
      <c r="R162" s="7" t="str">
        <f>IF(tblRestaurant[[#This Row],[Total Bill]]&lt;25,"Bronze",IF(tblRestaurant[[#This Row],[Total Bill]]&lt;50,"Silver",IF(tblRestaurant[[#This Row],[Total Bill]]&lt;75,"Gold","Platinum")))</f>
        <v>Silver</v>
      </c>
      <c r="S162" s="7" cm="1">
        <f t="array" ref="S162">_xlfn.SWITCH(tblRestaurant[[#This Row],[Revenue Tier]],"Bronze",1,"Silver",2,"Gold",3,"Platinum",4)</f>
        <v>2</v>
      </c>
      <c r="T162" s="13">
        <f>AVERAGE(tblRestaurant[[#This Row],[Total Bill]],tblRestaurant[[#This Row],[Party Size]])</f>
        <v>23.625</v>
      </c>
    </row>
    <row r="163" spans="1:20" ht="20.100000000000001" customHeight="1">
      <c r="A163">
        <v>162</v>
      </c>
      <c r="B163" s="2">
        <v>45668</v>
      </c>
      <c r="C163" t="s">
        <v>16</v>
      </c>
      <c r="D163" t="s">
        <v>17</v>
      </c>
      <c r="E163" t="s">
        <v>12</v>
      </c>
      <c r="F163">
        <v>2</v>
      </c>
      <c r="G163" s="3">
        <v>12.41</v>
      </c>
      <c r="H163" s="4">
        <v>0.15</v>
      </c>
      <c r="I163" t="b">
        <v>1</v>
      </c>
      <c r="J163" s="3">
        <f>tblRestaurant[[#This Row],[Total Bill]]*tblRestaurant[[#This Row],[Tip %]]</f>
        <v>1.8614999999999999</v>
      </c>
      <c r="K163" s="7" t="str">
        <f>IF(tblRestaurant[[#This Row],[Cash]]=TRUE,"Cash","Card")</f>
        <v>Cash</v>
      </c>
      <c r="L163" s="7" t="str">
        <f>IF(tblRestaurant[[#This Row],[Total Bill]]&lt;20,"Low",IF(tblRestaurant[[#This Row],[Total Bill]]&lt;50,"Medium","High"))</f>
        <v>Low</v>
      </c>
      <c r="M163" s="7" t="str">
        <f>IF(tblRestaurant[[#This Row],[Party Size]]&lt;=2,"Small",IF(tblRestaurant[[#This Row],[Party Size]]&lt;=4,"Medium","Large"))</f>
        <v>Small</v>
      </c>
      <c r="N163" t="str">
        <f>TEXT(tblRestaurant[[#This Row],[Date]],"mmmm")</f>
        <v>January</v>
      </c>
      <c r="O163" s="12">
        <f>WEEKNUM(tblRestaurant[[#This Row],[Date]])</f>
        <v>2</v>
      </c>
      <c r="P163" s="7" t="str">
        <f>IF(OR(tblRestaurant[[#This Row],[Day]]="Sat",tblRestaurant[[#This Row],[Day]]="Sun"),"Weekend","Weekday")</f>
        <v>Weekend</v>
      </c>
      <c r="Q163" s="7" t="str">
        <f>IF(OR(tblRestaurant[[#This Row],[Day]]="Fri",tblRestaurant[[#This Row],[Day]]="Thu"),"Weekday","Weekend")</f>
        <v>Weekend</v>
      </c>
      <c r="R163" s="7" t="str">
        <f>IF(tblRestaurant[[#This Row],[Total Bill]]&lt;25,"Bronze",IF(tblRestaurant[[#This Row],[Total Bill]]&lt;50,"Silver",IF(tblRestaurant[[#This Row],[Total Bill]]&lt;75,"Gold","Platinum")))</f>
        <v>Bronze</v>
      </c>
      <c r="S163" s="7" cm="1">
        <f t="array" ref="S163">_xlfn.SWITCH(tblRestaurant[[#This Row],[Revenue Tier]],"Bronze",1,"Silver",2,"Gold",3,"Platinum",4)</f>
        <v>1</v>
      </c>
      <c r="T163" s="13">
        <f>AVERAGE(tblRestaurant[[#This Row],[Total Bill]],tblRestaurant[[#This Row],[Party Size]])</f>
        <v>7.2050000000000001</v>
      </c>
    </row>
    <row r="164" spans="1:20" ht="20.100000000000001" customHeight="1">
      <c r="A164">
        <v>163</v>
      </c>
      <c r="B164" s="2">
        <v>45668</v>
      </c>
      <c r="C164" t="s">
        <v>16</v>
      </c>
      <c r="D164" t="s">
        <v>17</v>
      </c>
      <c r="E164" t="s">
        <v>11</v>
      </c>
      <c r="F164">
        <v>3</v>
      </c>
      <c r="G164" s="3">
        <v>51.25</v>
      </c>
      <c r="H164" s="4">
        <v>0.2</v>
      </c>
      <c r="I164" t="b">
        <v>0</v>
      </c>
      <c r="J164" s="3">
        <f>tblRestaurant[[#This Row],[Total Bill]]*tblRestaurant[[#This Row],[Tip %]]</f>
        <v>10.25</v>
      </c>
      <c r="K164" s="7" t="str">
        <f>IF(tblRestaurant[[#This Row],[Cash]]=TRUE,"Cash","Card")</f>
        <v>Card</v>
      </c>
      <c r="L164" s="7" t="str">
        <f>IF(tblRestaurant[[#This Row],[Total Bill]]&lt;20,"Low",IF(tblRestaurant[[#This Row],[Total Bill]]&lt;50,"Medium","High"))</f>
        <v>High</v>
      </c>
      <c r="M164" s="7" t="str">
        <f>IF(tblRestaurant[[#This Row],[Party Size]]&lt;=2,"Small",IF(tblRestaurant[[#This Row],[Party Size]]&lt;=4,"Medium","Large"))</f>
        <v>Medium</v>
      </c>
      <c r="N164" t="str">
        <f>TEXT(tblRestaurant[[#This Row],[Date]],"mmmm")</f>
        <v>January</v>
      </c>
      <c r="O164" s="12">
        <f>WEEKNUM(tblRestaurant[[#This Row],[Date]])</f>
        <v>2</v>
      </c>
      <c r="P164" s="7" t="str">
        <f>IF(OR(tblRestaurant[[#This Row],[Day]]="Sat",tblRestaurant[[#This Row],[Day]]="Sun"),"Weekend","Weekday")</f>
        <v>Weekend</v>
      </c>
      <c r="Q164" s="7" t="str">
        <f>IF(OR(tblRestaurant[[#This Row],[Day]]="Fri",tblRestaurant[[#This Row],[Day]]="Thu"),"Weekday","Weekend")</f>
        <v>Weekend</v>
      </c>
      <c r="R164" s="7" t="str">
        <f>IF(tblRestaurant[[#This Row],[Total Bill]]&lt;25,"Bronze",IF(tblRestaurant[[#This Row],[Total Bill]]&lt;50,"Silver",IF(tblRestaurant[[#This Row],[Total Bill]]&lt;75,"Gold","Platinum")))</f>
        <v>Gold</v>
      </c>
      <c r="S164" s="7" cm="1">
        <f t="array" ref="S164">_xlfn.SWITCH(tblRestaurant[[#This Row],[Revenue Tier]],"Bronze",1,"Silver",2,"Gold",3,"Platinum",4)</f>
        <v>3</v>
      </c>
      <c r="T164" s="13">
        <f>AVERAGE(tblRestaurant[[#This Row],[Total Bill]],tblRestaurant[[#This Row],[Party Size]])</f>
        <v>27.125</v>
      </c>
    </row>
    <row r="165" spans="1:20" ht="20.100000000000001" customHeight="1">
      <c r="A165">
        <v>164</v>
      </c>
      <c r="B165" s="2">
        <v>45668</v>
      </c>
      <c r="C165" t="s">
        <v>16</v>
      </c>
      <c r="D165" t="s">
        <v>17</v>
      </c>
      <c r="E165" t="s">
        <v>13</v>
      </c>
      <c r="F165">
        <v>2</v>
      </c>
      <c r="G165" s="3">
        <v>20.93</v>
      </c>
      <c r="H165" s="4">
        <v>0.18</v>
      </c>
      <c r="I165" t="b">
        <v>0</v>
      </c>
      <c r="J165" s="3">
        <f>tblRestaurant[[#This Row],[Total Bill]]*tblRestaurant[[#This Row],[Tip %]]</f>
        <v>3.7673999999999999</v>
      </c>
      <c r="K165" s="7" t="str">
        <f>IF(tblRestaurant[[#This Row],[Cash]]=TRUE,"Cash","Card")</f>
        <v>Card</v>
      </c>
      <c r="L165" s="7" t="str">
        <f>IF(tblRestaurant[[#This Row],[Total Bill]]&lt;20,"Low",IF(tblRestaurant[[#This Row],[Total Bill]]&lt;50,"Medium","High"))</f>
        <v>Medium</v>
      </c>
      <c r="M165" s="7" t="str">
        <f>IF(tblRestaurant[[#This Row],[Party Size]]&lt;=2,"Small",IF(tblRestaurant[[#This Row],[Party Size]]&lt;=4,"Medium","Large"))</f>
        <v>Small</v>
      </c>
      <c r="N165" t="str">
        <f>TEXT(tblRestaurant[[#This Row],[Date]],"mmmm")</f>
        <v>January</v>
      </c>
      <c r="O165" s="12">
        <f>WEEKNUM(tblRestaurant[[#This Row],[Date]])</f>
        <v>2</v>
      </c>
      <c r="P165" s="7" t="str">
        <f>IF(OR(tblRestaurant[[#This Row],[Day]]="Sat",tblRestaurant[[#This Row],[Day]]="Sun"),"Weekend","Weekday")</f>
        <v>Weekend</v>
      </c>
      <c r="Q165" s="7" t="str">
        <f>IF(OR(tblRestaurant[[#This Row],[Day]]="Fri",tblRestaurant[[#This Row],[Day]]="Thu"),"Weekday","Weekend")</f>
        <v>Weekend</v>
      </c>
      <c r="R165" s="7" t="str">
        <f>IF(tblRestaurant[[#This Row],[Total Bill]]&lt;25,"Bronze",IF(tblRestaurant[[#This Row],[Total Bill]]&lt;50,"Silver",IF(tblRestaurant[[#This Row],[Total Bill]]&lt;75,"Gold","Platinum")))</f>
        <v>Bronze</v>
      </c>
      <c r="S165" s="7" cm="1">
        <f t="array" ref="S165">_xlfn.SWITCH(tblRestaurant[[#This Row],[Revenue Tier]],"Bronze",1,"Silver",2,"Gold",3,"Platinum",4)</f>
        <v>1</v>
      </c>
      <c r="T165" s="13">
        <f>AVERAGE(tblRestaurant[[#This Row],[Total Bill]],tblRestaurant[[#This Row],[Party Size]])</f>
        <v>11.465</v>
      </c>
    </row>
    <row r="166" spans="1:20" ht="20.100000000000001" customHeight="1">
      <c r="A166">
        <v>165</v>
      </c>
      <c r="B166" s="2">
        <v>45668</v>
      </c>
      <c r="C166" t="s">
        <v>16</v>
      </c>
      <c r="D166" t="s">
        <v>17</v>
      </c>
      <c r="E166" t="s">
        <v>12</v>
      </c>
      <c r="F166">
        <v>2</v>
      </c>
      <c r="G166" s="3">
        <v>34.03</v>
      </c>
      <c r="H166" s="4">
        <v>0.15</v>
      </c>
      <c r="I166" t="b">
        <v>0</v>
      </c>
      <c r="J166" s="3">
        <f>tblRestaurant[[#This Row],[Total Bill]]*tblRestaurant[[#This Row],[Tip %]]</f>
        <v>5.1044999999999998</v>
      </c>
      <c r="K166" s="7" t="str">
        <f>IF(tblRestaurant[[#This Row],[Cash]]=TRUE,"Cash","Card")</f>
        <v>Card</v>
      </c>
      <c r="L166" s="7" t="str">
        <f>IF(tblRestaurant[[#This Row],[Total Bill]]&lt;20,"Low",IF(tblRestaurant[[#This Row],[Total Bill]]&lt;50,"Medium","High"))</f>
        <v>Medium</v>
      </c>
      <c r="M166" s="7" t="str">
        <f>IF(tblRestaurant[[#This Row],[Party Size]]&lt;=2,"Small",IF(tblRestaurant[[#This Row],[Party Size]]&lt;=4,"Medium","Large"))</f>
        <v>Small</v>
      </c>
      <c r="N166" t="str">
        <f>TEXT(tblRestaurant[[#This Row],[Date]],"mmmm")</f>
        <v>January</v>
      </c>
      <c r="O166" s="12">
        <f>WEEKNUM(tblRestaurant[[#This Row],[Date]])</f>
        <v>2</v>
      </c>
      <c r="P166" s="7" t="str">
        <f>IF(OR(tblRestaurant[[#This Row],[Day]]="Sat",tblRestaurant[[#This Row],[Day]]="Sun"),"Weekend","Weekday")</f>
        <v>Weekend</v>
      </c>
      <c r="Q166" s="7" t="str">
        <f>IF(OR(tblRestaurant[[#This Row],[Day]]="Fri",tblRestaurant[[#This Row],[Day]]="Thu"),"Weekday","Weekend")</f>
        <v>Weekend</v>
      </c>
      <c r="R166" s="7" t="str">
        <f>IF(tblRestaurant[[#This Row],[Total Bill]]&lt;25,"Bronze",IF(tblRestaurant[[#This Row],[Total Bill]]&lt;50,"Silver",IF(tblRestaurant[[#This Row],[Total Bill]]&lt;75,"Gold","Platinum")))</f>
        <v>Silver</v>
      </c>
      <c r="S166" s="7" cm="1">
        <f t="array" ref="S166">_xlfn.SWITCH(tblRestaurant[[#This Row],[Revenue Tier]],"Bronze",1,"Silver",2,"Gold",3,"Platinum",4)</f>
        <v>2</v>
      </c>
      <c r="T166" s="13">
        <f>AVERAGE(tblRestaurant[[#This Row],[Total Bill]],tblRestaurant[[#This Row],[Party Size]])</f>
        <v>18.015000000000001</v>
      </c>
    </row>
    <row r="167" spans="1:20" ht="20.100000000000001" customHeight="1">
      <c r="A167">
        <v>166</v>
      </c>
      <c r="B167" s="2">
        <v>45668</v>
      </c>
      <c r="C167" t="s">
        <v>16</v>
      </c>
      <c r="D167" t="s">
        <v>17</v>
      </c>
      <c r="E167" t="s">
        <v>13</v>
      </c>
      <c r="F167">
        <v>3</v>
      </c>
      <c r="G167" s="3">
        <v>42.92</v>
      </c>
      <c r="H167" s="4">
        <v>0.25</v>
      </c>
      <c r="I167" t="b">
        <v>0</v>
      </c>
      <c r="J167" s="3">
        <f>tblRestaurant[[#This Row],[Total Bill]]*tblRestaurant[[#This Row],[Tip %]]</f>
        <v>10.73</v>
      </c>
      <c r="K167" s="7" t="str">
        <f>IF(tblRestaurant[[#This Row],[Cash]]=TRUE,"Cash","Card")</f>
        <v>Card</v>
      </c>
      <c r="L167" s="7" t="str">
        <f>IF(tblRestaurant[[#This Row],[Total Bill]]&lt;20,"Low",IF(tblRestaurant[[#This Row],[Total Bill]]&lt;50,"Medium","High"))</f>
        <v>Medium</v>
      </c>
      <c r="M167" s="7" t="str">
        <f>IF(tblRestaurant[[#This Row],[Party Size]]&lt;=2,"Small",IF(tblRestaurant[[#This Row],[Party Size]]&lt;=4,"Medium","Large"))</f>
        <v>Medium</v>
      </c>
      <c r="N167" t="str">
        <f>TEXT(tblRestaurant[[#This Row],[Date]],"mmmm")</f>
        <v>January</v>
      </c>
      <c r="O167" s="12">
        <f>WEEKNUM(tblRestaurant[[#This Row],[Date]])</f>
        <v>2</v>
      </c>
      <c r="P167" s="7" t="str">
        <f>IF(OR(tblRestaurant[[#This Row],[Day]]="Sat",tblRestaurant[[#This Row],[Day]]="Sun"),"Weekend","Weekday")</f>
        <v>Weekend</v>
      </c>
      <c r="Q167" s="7" t="str">
        <f>IF(OR(tblRestaurant[[#This Row],[Day]]="Fri",tblRestaurant[[#This Row],[Day]]="Thu"),"Weekday","Weekend")</f>
        <v>Weekend</v>
      </c>
      <c r="R167" s="7" t="str">
        <f>IF(tblRestaurant[[#This Row],[Total Bill]]&lt;25,"Bronze",IF(tblRestaurant[[#This Row],[Total Bill]]&lt;50,"Silver",IF(tblRestaurant[[#This Row],[Total Bill]]&lt;75,"Gold","Platinum")))</f>
        <v>Silver</v>
      </c>
      <c r="S167" s="7" cm="1">
        <f t="array" ref="S167">_xlfn.SWITCH(tblRestaurant[[#This Row],[Revenue Tier]],"Bronze",1,"Silver",2,"Gold",3,"Platinum",4)</f>
        <v>2</v>
      </c>
      <c r="T167" s="13">
        <f>AVERAGE(tblRestaurant[[#This Row],[Total Bill]],tblRestaurant[[#This Row],[Party Size]])</f>
        <v>22.96</v>
      </c>
    </row>
    <row r="168" spans="1:20" ht="20.100000000000001" customHeight="1">
      <c r="A168">
        <v>167</v>
      </c>
      <c r="B168" s="2">
        <v>45668</v>
      </c>
      <c r="C168" t="s">
        <v>16</v>
      </c>
      <c r="D168" t="s">
        <v>17</v>
      </c>
      <c r="E168" t="s">
        <v>11</v>
      </c>
      <c r="F168">
        <v>2</v>
      </c>
      <c r="G168" s="3">
        <v>24.15</v>
      </c>
      <c r="H168" s="4">
        <v>0.15</v>
      </c>
      <c r="I168" t="b">
        <v>0</v>
      </c>
      <c r="J168" s="3">
        <f>tblRestaurant[[#This Row],[Total Bill]]*tblRestaurant[[#This Row],[Tip %]]</f>
        <v>3.6224999999999996</v>
      </c>
      <c r="K168" s="7" t="str">
        <f>IF(tblRestaurant[[#This Row],[Cash]]=TRUE,"Cash","Card")</f>
        <v>Card</v>
      </c>
      <c r="L168" s="7" t="str">
        <f>IF(tblRestaurant[[#This Row],[Total Bill]]&lt;20,"Low",IF(tblRestaurant[[#This Row],[Total Bill]]&lt;50,"Medium","High"))</f>
        <v>Medium</v>
      </c>
      <c r="M168" s="7" t="str">
        <f>IF(tblRestaurant[[#This Row],[Party Size]]&lt;=2,"Small",IF(tblRestaurant[[#This Row],[Party Size]]&lt;=4,"Medium","Large"))</f>
        <v>Small</v>
      </c>
      <c r="N168" t="str">
        <f>TEXT(tblRestaurant[[#This Row],[Date]],"mmmm")</f>
        <v>January</v>
      </c>
      <c r="O168" s="12">
        <f>WEEKNUM(tblRestaurant[[#This Row],[Date]])</f>
        <v>2</v>
      </c>
      <c r="P168" s="7" t="str">
        <f>IF(OR(tblRestaurant[[#This Row],[Day]]="Sat",tblRestaurant[[#This Row],[Day]]="Sun"),"Weekend","Weekday")</f>
        <v>Weekend</v>
      </c>
      <c r="Q168" s="7" t="str">
        <f>IF(OR(tblRestaurant[[#This Row],[Day]]="Fri",tblRestaurant[[#This Row],[Day]]="Thu"),"Weekday","Weekend")</f>
        <v>Weekend</v>
      </c>
      <c r="R168" s="7" t="str">
        <f>IF(tblRestaurant[[#This Row],[Total Bill]]&lt;25,"Bronze",IF(tblRestaurant[[#This Row],[Total Bill]]&lt;50,"Silver",IF(tblRestaurant[[#This Row],[Total Bill]]&lt;75,"Gold","Platinum")))</f>
        <v>Bronze</v>
      </c>
      <c r="S168" s="7" cm="1">
        <f t="array" ref="S168">_xlfn.SWITCH(tblRestaurant[[#This Row],[Revenue Tier]],"Bronze",1,"Silver",2,"Gold",3,"Platinum",4)</f>
        <v>1</v>
      </c>
      <c r="T168" s="13">
        <f>AVERAGE(tblRestaurant[[#This Row],[Total Bill]],tblRestaurant[[#This Row],[Party Size]])</f>
        <v>13.074999999999999</v>
      </c>
    </row>
    <row r="169" spans="1:20" ht="20.100000000000001" customHeight="1">
      <c r="A169">
        <v>168</v>
      </c>
      <c r="B169" s="2">
        <v>45668</v>
      </c>
      <c r="C169" t="s">
        <v>16</v>
      </c>
      <c r="D169" t="s">
        <v>17</v>
      </c>
      <c r="E169" t="s">
        <v>14</v>
      </c>
      <c r="F169">
        <v>4</v>
      </c>
      <c r="G169" s="3">
        <v>40.18</v>
      </c>
      <c r="H169" s="4">
        <v>0.2</v>
      </c>
      <c r="I169" t="b">
        <v>0</v>
      </c>
      <c r="J169" s="3">
        <f>tblRestaurant[[#This Row],[Total Bill]]*tblRestaurant[[#This Row],[Tip %]]</f>
        <v>8.0359999999999996</v>
      </c>
      <c r="K169" s="7" t="str">
        <f>IF(tblRestaurant[[#This Row],[Cash]]=TRUE,"Cash","Card")</f>
        <v>Card</v>
      </c>
      <c r="L169" s="7" t="str">
        <f>IF(tblRestaurant[[#This Row],[Total Bill]]&lt;20,"Low",IF(tblRestaurant[[#This Row],[Total Bill]]&lt;50,"Medium","High"))</f>
        <v>Medium</v>
      </c>
      <c r="M169" s="7" t="str">
        <f>IF(tblRestaurant[[#This Row],[Party Size]]&lt;=2,"Small",IF(tblRestaurant[[#This Row],[Party Size]]&lt;=4,"Medium","Large"))</f>
        <v>Medium</v>
      </c>
      <c r="N169" t="str">
        <f>TEXT(tblRestaurant[[#This Row],[Date]],"mmmm")</f>
        <v>January</v>
      </c>
      <c r="O169" s="12">
        <f>WEEKNUM(tblRestaurant[[#This Row],[Date]])</f>
        <v>2</v>
      </c>
      <c r="P169" s="7" t="str">
        <f>IF(OR(tblRestaurant[[#This Row],[Day]]="Sat",tblRestaurant[[#This Row],[Day]]="Sun"),"Weekend","Weekday")</f>
        <v>Weekend</v>
      </c>
      <c r="Q169" s="7" t="str">
        <f>IF(OR(tblRestaurant[[#This Row],[Day]]="Fri",tblRestaurant[[#This Row],[Day]]="Thu"),"Weekday","Weekend")</f>
        <v>Weekend</v>
      </c>
      <c r="R169" s="7" t="str">
        <f>IF(tblRestaurant[[#This Row],[Total Bill]]&lt;25,"Bronze",IF(tblRestaurant[[#This Row],[Total Bill]]&lt;50,"Silver",IF(tblRestaurant[[#This Row],[Total Bill]]&lt;75,"Gold","Platinum")))</f>
        <v>Silver</v>
      </c>
      <c r="S169" s="7" cm="1">
        <f t="array" ref="S169">_xlfn.SWITCH(tblRestaurant[[#This Row],[Revenue Tier]],"Bronze",1,"Silver",2,"Gold",3,"Platinum",4)</f>
        <v>2</v>
      </c>
      <c r="T169" s="13">
        <f>AVERAGE(tblRestaurant[[#This Row],[Total Bill]],tblRestaurant[[#This Row],[Party Size]])</f>
        <v>22.09</v>
      </c>
    </row>
    <row r="170" spans="1:20" ht="20.100000000000001" customHeight="1">
      <c r="A170">
        <v>169</v>
      </c>
      <c r="B170" s="2">
        <v>45669</v>
      </c>
      <c r="C170" t="s">
        <v>18</v>
      </c>
      <c r="D170" t="s">
        <v>19</v>
      </c>
      <c r="E170" t="s">
        <v>14</v>
      </c>
      <c r="F170">
        <v>2</v>
      </c>
      <c r="G170" s="3">
        <v>31.55</v>
      </c>
      <c r="H170" s="4">
        <v>0.2</v>
      </c>
      <c r="I170" t="b">
        <v>0</v>
      </c>
      <c r="J170" s="3">
        <f>tblRestaurant[[#This Row],[Total Bill]]*tblRestaurant[[#This Row],[Tip %]]</f>
        <v>6.3100000000000005</v>
      </c>
      <c r="K170" s="7" t="str">
        <f>IF(tblRestaurant[[#This Row],[Cash]]=TRUE,"Cash","Card")</f>
        <v>Card</v>
      </c>
      <c r="L170" s="7" t="str">
        <f>IF(tblRestaurant[[#This Row],[Total Bill]]&lt;20,"Low",IF(tblRestaurant[[#This Row],[Total Bill]]&lt;50,"Medium","High"))</f>
        <v>Medium</v>
      </c>
      <c r="M170" s="7" t="str">
        <f>IF(tblRestaurant[[#This Row],[Party Size]]&lt;=2,"Small",IF(tblRestaurant[[#This Row],[Party Size]]&lt;=4,"Medium","Large"))</f>
        <v>Small</v>
      </c>
      <c r="N170" t="str">
        <f>TEXT(tblRestaurant[[#This Row],[Date]],"mmmm")</f>
        <v>January</v>
      </c>
      <c r="O170" s="12">
        <f>WEEKNUM(tblRestaurant[[#This Row],[Date]])</f>
        <v>3</v>
      </c>
      <c r="P170" s="7" t="str">
        <f>IF(OR(tblRestaurant[[#This Row],[Day]]="Sat",tblRestaurant[[#This Row],[Day]]="Sun"),"Weekend","Weekday")</f>
        <v>Weekend</v>
      </c>
      <c r="Q170" s="7" t="str">
        <f>IF(OR(tblRestaurant[[#This Row],[Day]]="Fri",tblRestaurant[[#This Row],[Day]]="Thu"),"Weekday","Weekend")</f>
        <v>Weekend</v>
      </c>
      <c r="R170" s="7" t="str">
        <f>IF(tblRestaurant[[#This Row],[Total Bill]]&lt;25,"Bronze",IF(tblRestaurant[[#This Row],[Total Bill]]&lt;50,"Silver",IF(tblRestaurant[[#This Row],[Total Bill]]&lt;75,"Gold","Platinum")))</f>
        <v>Silver</v>
      </c>
      <c r="S170" s="7" cm="1">
        <f t="array" ref="S170">_xlfn.SWITCH(tblRestaurant[[#This Row],[Revenue Tier]],"Bronze",1,"Silver",2,"Gold",3,"Platinum",4)</f>
        <v>2</v>
      </c>
      <c r="T170" s="13">
        <f>AVERAGE(tblRestaurant[[#This Row],[Total Bill]],tblRestaurant[[#This Row],[Party Size]])</f>
        <v>16.774999999999999</v>
      </c>
    </row>
    <row r="171" spans="1:20" ht="20.100000000000001" customHeight="1">
      <c r="A171">
        <v>170</v>
      </c>
      <c r="B171" s="2">
        <v>45669</v>
      </c>
      <c r="C171" t="s">
        <v>18</v>
      </c>
      <c r="D171" t="s">
        <v>19</v>
      </c>
      <c r="E171" t="s">
        <v>13</v>
      </c>
      <c r="F171">
        <v>2</v>
      </c>
      <c r="G171" s="3">
        <v>31.72</v>
      </c>
      <c r="H171" s="4">
        <v>0.18</v>
      </c>
      <c r="I171" t="b">
        <v>0</v>
      </c>
      <c r="J171" s="3">
        <f>tblRestaurant[[#This Row],[Total Bill]]*tblRestaurant[[#This Row],[Tip %]]</f>
        <v>5.7096</v>
      </c>
      <c r="K171" s="7" t="str">
        <f>IF(tblRestaurant[[#This Row],[Cash]]=TRUE,"Cash","Card")</f>
        <v>Card</v>
      </c>
      <c r="L171" s="7" t="str">
        <f>IF(tblRestaurant[[#This Row],[Total Bill]]&lt;20,"Low",IF(tblRestaurant[[#This Row],[Total Bill]]&lt;50,"Medium","High"))</f>
        <v>Medium</v>
      </c>
      <c r="M171" s="7" t="str">
        <f>IF(tblRestaurant[[#This Row],[Party Size]]&lt;=2,"Small",IF(tblRestaurant[[#This Row],[Party Size]]&lt;=4,"Medium","Large"))</f>
        <v>Small</v>
      </c>
      <c r="N171" t="str">
        <f>TEXT(tblRestaurant[[#This Row],[Date]],"mmmm")</f>
        <v>January</v>
      </c>
      <c r="O171" s="12">
        <f>WEEKNUM(tblRestaurant[[#This Row],[Date]])</f>
        <v>3</v>
      </c>
      <c r="P171" s="7" t="str">
        <f>IF(OR(tblRestaurant[[#This Row],[Day]]="Sat",tblRestaurant[[#This Row],[Day]]="Sun"),"Weekend","Weekday")</f>
        <v>Weekend</v>
      </c>
      <c r="Q171" s="7" t="str">
        <f>IF(OR(tblRestaurant[[#This Row],[Day]]="Fri",tblRestaurant[[#This Row],[Day]]="Thu"),"Weekday","Weekend")</f>
        <v>Weekend</v>
      </c>
      <c r="R171" s="7" t="str">
        <f>IF(tblRestaurant[[#This Row],[Total Bill]]&lt;25,"Bronze",IF(tblRestaurant[[#This Row],[Total Bill]]&lt;50,"Silver",IF(tblRestaurant[[#This Row],[Total Bill]]&lt;75,"Gold","Platinum")))</f>
        <v>Silver</v>
      </c>
      <c r="S171" s="7" cm="1">
        <f t="array" ref="S171">_xlfn.SWITCH(tblRestaurant[[#This Row],[Revenue Tier]],"Bronze",1,"Silver",2,"Gold",3,"Platinum",4)</f>
        <v>2</v>
      </c>
      <c r="T171" s="13">
        <f>AVERAGE(tblRestaurant[[#This Row],[Total Bill]],tblRestaurant[[#This Row],[Party Size]])</f>
        <v>16.86</v>
      </c>
    </row>
    <row r="172" spans="1:20" ht="20.100000000000001" customHeight="1">
      <c r="A172">
        <v>171</v>
      </c>
      <c r="B172" s="2">
        <v>45669</v>
      </c>
      <c r="C172" t="s">
        <v>18</v>
      </c>
      <c r="D172" t="s">
        <v>19</v>
      </c>
      <c r="E172" t="s">
        <v>14</v>
      </c>
      <c r="F172">
        <v>3</v>
      </c>
      <c r="G172" s="3">
        <v>53.78</v>
      </c>
      <c r="H172" s="4">
        <v>0.18</v>
      </c>
      <c r="I172" t="b">
        <v>0</v>
      </c>
      <c r="J172" s="3">
        <f>tblRestaurant[[#This Row],[Total Bill]]*tblRestaurant[[#This Row],[Tip %]]</f>
        <v>9.6804000000000006</v>
      </c>
      <c r="K172" s="7" t="str">
        <f>IF(tblRestaurant[[#This Row],[Cash]]=TRUE,"Cash","Card")</f>
        <v>Card</v>
      </c>
      <c r="L172" s="7" t="str">
        <f>IF(tblRestaurant[[#This Row],[Total Bill]]&lt;20,"Low",IF(tblRestaurant[[#This Row],[Total Bill]]&lt;50,"Medium","High"))</f>
        <v>High</v>
      </c>
      <c r="M172" s="7" t="str">
        <f>IF(tblRestaurant[[#This Row],[Party Size]]&lt;=2,"Small",IF(tblRestaurant[[#This Row],[Party Size]]&lt;=4,"Medium","Large"))</f>
        <v>Medium</v>
      </c>
      <c r="N172" t="str">
        <f>TEXT(tblRestaurant[[#This Row],[Date]],"mmmm")</f>
        <v>January</v>
      </c>
      <c r="O172" s="12">
        <f>WEEKNUM(tblRestaurant[[#This Row],[Date]])</f>
        <v>3</v>
      </c>
      <c r="P172" s="7" t="str">
        <f>IF(OR(tblRestaurant[[#This Row],[Day]]="Sat",tblRestaurant[[#This Row],[Day]]="Sun"),"Weekend","Weekday")</f>
        <v>Weekend</v>
      </c>
      <c r="Q172" s="7" t="str">
        <f>IF(OR(tblRestaurant[[#This Row],[Day]]="Fri",tblRestaurant[[#This Row],[Day]]="Thu"),"Weekday","Weekend")</f>
        <v>Weekend</v>
      </c>
      <c r="R172" s="7" t="str">
        <f>IF(tblRestaurant[[#This Row],[Total Bill]]&lt;25,"Bronze",IF(tblRestaurant[[#This Row],[Total Bill]]&lt;50,"Silver",IF(tblRestaurant[[#This Row],[Total Bill]]&lt;75,"Gold","Platinum")))</f>
        <v>Gold</v>
      </c>
      <c r="S172" s="7" cm="1">
        <f t="array" ref="S172">_xlfn.SWITCH(tblRestaurant[[#This Row],[Revenue Tier]],"Bronze",1,"Silver",2,"Gold",3,"Platinum",4)</f>
        <v>3</v>
      </c>
      <c r="T172" s="13">
        <f>AVERAGE(tblRestaurant[[#This Row],[Total Bill]],tblRestaurant[[#This Row],[Party Size]])</f>
        <v>28.39</v>
      </c>
    </row>
    <row r="173" spans="1:20" ht="20.100000000000001" customHeight="1">
      <c r="A173">
        <v>172</v>
      </c>
      <c r="B173" s="2">
        <v>45669</v>
      </c>
      <c r="C173" t="s">
        <v>18</v>
      </c>
      <c r="D173" t="s">
        <v>19</v>
      </c>
      <c r="E173" t="s">
        <v>11</v>
      </c>
      <c r="F173">
        <v>2</v>
      </c>
      <c r="G173" s="3">
        <v>37.25</v>
      </c>
      <c r="H173" s="4">
        <v>0.25</v>
      </c>
      <c r="I173" t="b">
        <v>0</v>
      </c>
      <c r="J173" s="3">
        <f>tblRestaurant[[#This Row],[Total Bill]]*tblRestaurant[[#This Row],[Tip %]]</f>
        <v>9.3125</v>
      </c>
      <c r="K173" s="7" t="str">
        <f>IF(tblRestaurant[[#This Row],[Cash]]=TRUE,"Cash","Card")</f>
        <v>Card</v>
      </c>
      <c r="L173" s="7" t="str">
        <f>IF(tblRestaurant[[#This Row],[Total Bill]]&lt;20,"Low",IF(tblRestaurant[[#This Row],[Total Bill]]&lt;50,"Medium","High"))</f>
        <v>Medium</v>
      </c>
      <c r="M173" s="7" t="str">
        <f>IF(tblRestaurant[[#This Row],[Party Size]]&lt;=2,"Small",IF(tblRestaurant[[#This Row],[Party Size]]&lt;=4,"Medium","Large"))</f>
        <v>Small</v>
      </c>
      <c r="N173" t="str">
        <f>TEXT(tblRestaurant[[#This Row],[Date]],"mmmm")</f>
        <v>January</v>
      </c>
      <c r="O173" s="12">
        <f>WEEKNUM(tblRestaurant[[#This Row],[Date]])</f>
        <v>3</v>
      </c>
      <c r="P173" s="7" t="str">
        <f>IF(OR(tblRestaurant[[#This Row],[Day]]="Sat",tblRestaurant[[#This Row],[Day]]="Sun"),"Weekend","Weekday")</f>
        <v>Weekend</v>
      </c>
      <c r="Q173" s="7" t="str">
        <f>IF(OR(tblRestaurant[[#This Row],[Day]]="Fri",tblRestaurant[[#This Row],[Day]]="Thu"),"Weekday","Weekend")</f>
        <v>Weekend</v>
      </c>
      <c r="R173" s="7" t="str">
        <f>IF(tblRestaurant[[#This Row],[Total Bill]]&lt;25,"Bronze",IF(tblRestaurant[[#This Row],[Total Bill]]&lt;50,"Silver",IF(tblRestaurant[[#This Row],[Total Bill]]&lt;75,"Gold","Platinum")))</f>
        <v>Silver</v>
      </c>
      <c r="S173" s="7" cm="1">
        <f t="array" ref="S173">_xlfn.SWITCH(tblRestaurant[[#This Row],[Revenue Tier]],"Bronze",1,"Silver",2,"Gold",3,"Platinum",4)</f>
        <v>2</v>
      </c>
      <c r="T173" s="13">
        <f>AVERAGE(tblRestaurant[[#This Row],[Total Bill]],tblRestaurant[[#This Row],[Party Size]])</f>
        <v>19.625</v>
      </c>
    </row>
    <row r="174" spans="1:20" ht="20.100000000000001" customHeight="1">
      <c r="A174">
        <v>173</v>
      </c>
      <c r="B174" s="2">
        <v>45669</v>
      </c>
      <c r="C174" t="s">
        <v>18</v>
      </c>
      <c r="D174" t="s">
        <v>17</v>
      </c>
      <c r="E174" t="s">
        <v>12</v>
      </c>
      <c r="F174">
        <v>2</v>
      </c>
      <c r="G174" s="3">
        <v>24.88</v>
      </c>
      <c r="H174" s="4">
        <v>0.18</v>
      </c>
      <c r="I174" t="b">
        <v>0</v>
      </c>
      <c r="J174" s="3">
        <f>tblRestaurant[[#This Row],[Total Bill]]*tblRestaurant[[#This Row],[Tip %]]</f>
        <v>4.4783999999999997</v>
      </c>
      <c r="K174" s="7" t="str">
        <f>IF(tblRestaurant[[#This Row],[Cash]]=TRUE,"Cash","Card")</f>
        <v>Card</v>
      </c>
      <c r="L174" s="7" t="str">
        <f>IF(tblRestaurant[[#This Row],[Total Bill]]&lt;20,"Low",IF(tblRestaurant[[#This Row],[Total Bill]]&lt;50,"Medium","High"))</f>
        <v>Medium</v>
      </c>
      <c r="M174" s="7" t="str">
        <f>IF(tblRestaurant[[#This Row],[Party Size]]&lt;=2,"Small",IF(tblRestaurant[[#This Row],[Party Size]]&lt;=4,"Medium","Large"))</f>
        <v>Small</v>
      </c>
      <c r="N174" t="str">
        <f>TEXT(tblRestaurant[[#This Row],[Date]],"mmmm")</f>
        <v>January</v>
      </c>
      <c r="O174" s="12">
        <f>WEEKNUM(tblRestaurant[[#This Row],[Date]])</f>
        <v>3</v>
      </c>
      <c r="P174" s="7" t="str">
        <f>IF(OR(tblRestaurant[[#This Row],[Day]]="Sat",tblRestaurant[[#This Row],[Day]]="Sun"),"Weekend","Weekday")</f>
        <v>Weekend</v>
      </c>
      <c r="Q174" s="7" t="str">
        <f>IF(OR(tblRestaurant[[#This Row],[Day]]="Fri",tblRestaurant[[#This Row],[Day]]="Thu"),"Weekday","Weekend")</f>
        <v>Weekend</v>
      </c>
      <c r="R174" s="7" t="str">
        <f>IF(tblRestaurant[[#This Row],[Total Bill]]&lt;25,"Bronze",IF(tblRestaurant[[#This Row],[Total Bill]]&lt;50,"Silver",IF(tblRestaurant[[#This Row],[Total Bill]]&lt;75,"Gold","Platinum")))</f>
        <v>Bronze</v>
      </c>
      <c r="S174" s="7" cm="1">
        <f t="array" ref="S174">_xlfn.SWITCH(tblRestaurant[[#This Row],[Revenue Tier]],"Bronze",1,"Silver",2,"Gold",3,"Platinum",4)</f>
        <v>1</v>
      </c>
      <c r="T174" s="13">
        <f>AVERAGE(tblRestaurant[[#This Row],[Total Bill]],tblRestaurant[[#This Row],[Party Size]])</f>
        <v>13.44</v>
      </c>
    </row>
    <row r="175" spans="1:20" ht="20.100000000000001" customHeight="1">
      <c r="A175">
        <v>174</v>
      </c>
      <c r="B175" s="2">
        <v>45669</v>
      </c>
      <c r="C175" t="s">
        <v>18</v>
      </c>
      <c r="D175" t="s">
        <v>17</v>
      </c>
      <c r="E175" t="s">
        <v>12</v>
      </c>
      <c r="F175">
        <v>2</v>
      </c>
      <c r="G175" s="3">
        <v>25.33</v>
      </c>
      <c r="H175" s="4">
        <v>0.15</v>
      </c>
      <c r="I175" t="b">
        <v>0</v>
      </c>
      <c r="J175" s="3">
        <f>tblRestaurant[[#This Row],[Total Bill]]*tblRestaurant[[#This Row],[Tip %]]</f>
        <v>3.7994999999999997</v>
      </c>
      <c r="K175" s="7" t="str">
        <f>IF(tblRestaurant[[#This Row],[Cash]]=TRUE,"Cash","Card")</f>
        <v>Card</v>
      </c>
      <c r="L175" s="7" t="str">
        <f>IF(tblRestaurant[[#This Row],[Total Bill]]&lt;20,"Low",IF(tblRestaurant[[#This Row],[Total Bill]]&lt;50,"Medium","High"))</f>
        <v>Medium</v>
      </c>
      <c r="M175" s="7" t="str">
        <f>IF(tblRestaurant[[#This Row],[Party Size]]&lt;=2,"Small",IF(tblRestaurant[[#This Row],[Party Size]]&lt;=4,"Medium","Large"))</f>
        <v>Small</v>
      </c>
      <c r="N175" t="str">
        <f>TEXT(tblRestaurant[[#This Row],[Date]],"mmmm")</f>
        <v>January</v>
      </c>
      <c r="O175" s="12">
        <f>WEEKNUM(tblRestaurant[[#This Row],[Date]])</f>
        <v>3</v>
      </c>
      <c r="P175" s="7" t="str">
        <f>IF(OR(tblRestaurant[[#This Row],[Day]]="Sat",tblRestaurant[[#This Row],[Day]]="Sun"),"Weekend","Weekday")</f>
        <v>Weekend</v>
      </c>
      <c r="Q175" s="7" t="str">
        <f>IF(OR(tblRestaurant[[#This Row],[Day]]="Fri",tblRestaurant[[#This Row],[Day]]="Thu"),"Weekday","Weekend")</f>
        <v>Weekend</v>
      </c>
      <c r="R175" s="7" t="str">
        <f>IF(tblRestaurant[[#This Row],[Total Bill]]&lt;25,"Bronze",IF(tblRestaurant[[#This Row],[Total Bill]]&lt;50,"Silver",IF(tblRestaurant[[#This Row],[Total Bill]]&lt;75,"Gold","Platinum")))</f>
        <v>Silver</v>
      </c>
      <c r="S175" s="7" cm="1">
        <f t="array" ref="S175">_xlfn.SWITCH(tblRestaurant[[#This Row],[Revenue Tier]],"Bronze",1,"Silver",2,"Gold",3,"Platinum",4)</f>
        <v>2</v>
      </c>
      <c r="T175" s="13">
        <f>AVERAGE(tblRestaurant[[#This Row],[Total Bill]],tblRestaurant[[#This Row],[Party Size]])</f>
        <v>13.664999999999999</v>
      </c>
    </row>
    <row r="176" spans="1:20" ht="20.100000000000001" customHeight="1">
      <c r="A176">
        <v>175</v>
      </c>
      <c r="B176" s="2">
        <v>45669</v>
      </c>
      <c r="C176" t="s">
        <v>18</v>
      </c>
      <c r="D176" t="s">
        <v>17</v>
      </c>
      <c r="E176" t="s">
        <v>14</v>
      </c>
      <c r="F176">
        <v>2</v>
      </c>
      <c r="G176" s="3">
        <v>33.15</v>
      </c>
      <c r="H176" s="4">
        <v>0.15</v>
      </c>
      <c r="I176" t="b">
        <v>0</v>
      </c>
      <c r="J176" s="3">
        <f>tblRestaurant[[#This Row],[Total Bill]]*tblRestaurant[[#This Row],[Tip %]]</f>
        <v>4.9724999999999993</v>
      </c>
      <c r="K176" s="7" t="str">
        <f>IF(tblRestaurant[[#This Row],[Cash]]=TRUE,"Cash","Card")</f>
        <v>Card</v>
      </c>
      <c r="L176" s="7" t="str">
        <f>IF(tblRestaurant[[#This Row],[Total Bill]]&lt;20,"Low",IF(tblRestaurant[[#This Row],[Total Bill]]&lt;50,"Medium","High"))</f>
        <v>Medium</v>
      </c>
      <c r="M176" s="7" t="str">
        <f>IF(tblRestaurant[[#This Row],[Party Size]]&lt;=2,"Small",IF(tblRestaurant[[#This Row],[Party Size]]&lt;=4,"Medium","Large"))</f>
        <v>Small</v>
      </c>
      <c r="N176" t="str">
        <f>TEXT(tblRestaurant[[#This Row],[Date]],"mmmm")</f>
        <v>January</v>
      </c>
      <c r="O176" s="12">
        <f>WEEKNUM(tblRestaurant[[#This Row],[Date]])</f>
        <v>3</v>
      </c>
      <c r="P176" s="7" t="str">
        <f>IF(OR(tblRestaurant[[#This Row],[Day]]="Sat",tblRestaurant[[#This Row],[Day]]="Sun"),"Weekend","Weekday")</f>
        <v>Weekend</v>
      </c>
      <c r="Q176" s="7" t="str">
        <f>IF(OR(tblRestaurant[[#This Row],[Day]]="Fri",tblRestaurant[[#This Row],[Day]]="Thu"),"Weekday","Weekend")</f>
        <v>Weekend</v>
      </c>
      <c r="R176" s="7" t="str">
        <f>IF(tblRestaurant[[#This Row],[Total Bill]]&lt;25,"Bronze",IF(tblRestaurant[[#This Row],[Total Bill]]&lt;50,"Silver",IF(tblRestaurant[[#This Row],[Total Bill]]&lt;75,"Gold","Platinum")))</f>
        <v>Silver</v>
      </c>
      <c r="S176" s="7" cm="1">
        <f t="array" ref="S176">_xlfn.SWITCH(tblRestaurant[[#This Row],[Revenue Tier]],"Bronze",1,"Silver",2,"Gold",3,"Platinum",4)</f>
        <v>2</v>
      </c>
      <c r="T176" s="13">
        <f>AVERAGE(tblRestaurant[[#This Row],[Total Bill]],tblRestaurant[[#This Row],[Party Size]])</f>
        <v>17.574999999999999</v>
      </c>
    </row>
    <row r="177" spans="1:20" ht="20.100000000000001" customHeight="1">
      <c r="A177">
        <v>176</v>
      </c>
      <c r="B177" s="2">
        <v>45669</v>
      </c>
      <c r="C177" t="s">
        <v>18</v>
      </c>
      <c r="D177" t="s">
        <v>17</v>
      </c>
      <c r="E177" t="s">
        <v>13</v>
      </c>
      <c r="F177">
        <v>2</v>
      </c>
      <c r="G177" s="3">
        <v>26.28</v>
      </c>
      <c r="H177" s="4">
        <v>0.18</v>
      </c>
      <c r="I177" t="b">
        <v>1</v>
      </c>
      <c r="J177" s="3">
        <f>tblRestaurant[[#This Row],[Total Bill]]*tblRestaurant[[#This Row],[Tip %]]</f>
        <v>4.7304000000000004</v>
      </c>
      <c r="K177" s="7" t="str">
        <f>IF(tblRestaurant[[#This Row],[Cash]]=TRUE,"Cash","Card")</f>
        <v>Cash</v>
      </c>
      <c r="L177" s="7" t="str">
        <f>IF(tblRestaurant[[#This Row],[Total Bill]]&lt;20,"Low",IF(tblRestaurant[[#This Row],[Total Bill]]&lt;50,"Medium","High"))</f>
        <v>Medium</v>
      </c>
      <c r="M177" s="7" t="str">
        <f>IF(tblRestaurant[[#This Row],[Party Size]]&lt;=2,"Small",IF(tblRestaurant[[#This Row],[Party Size]]&lt;=4,"Medium","Large"))</f>
        <v>Small</v>
      </c>
      <c r="N177" t="str">
        <f>TEXT(tblRestaurant[[#This Row],[Date]],"mmmm")</f>
        <v>January</v>
      </c>
      <c r="O177" s="12">
        <f>WEEKNUM(tblRestaurant[[#This Row],[Date]])</f>
        <v>3</v>
      </c>
      <c r="P177" s="7" t="str">
        <f>IF(OR(tblRestaurant[[#This Row],[Day]]="Sat",tblRestaurant[[#This Row],[Day]]="Sun"),"Weekend","Weekday")</f>
        <v>Weekend</v>
      </c>
      <c r="Q177" s="7" t="str">
        <f>IF(OR(tblRestaurant[[#This Row],[Day]]="Fri",tblRestaurant[[#This Row],[Day]]="Thu"),"Weekday","Weekend")</f>
        <v>Weekend</v>
      </c>
      <c r="R177" s="7" t="str">
        <f>IF(tblRestaurant[[#This Row],[Total Bill]]&lt;25,"Bronze",IF(tblRestaurant[[#This Row],[Total Bill]]&lt;50,"Silver",IF(tblRestaurant[[#This Row],[Total Bill]]&lt;75,"Gold","Platinum")))</f>
        <v>Silver</v>
      </c>
      <c r="S177" s="7" cm="1">
        <f t="array" ref="S177">_xlfn.SWITCH(tblRestaurant[[#This Row],[Revenue Tier]],"Bronze",1,"Silver",2,"Gold",3,"Platinum",4)</f>
        <v>2</v>
      </c>
      <c r="T177" s="13">
        <f>AVERAGE(tblRestaurant[[#This Row],[Total Bill]],tblRestaurant[[#This Row],[Party Size]])</f>
        <v>14.14</v>
      </c>
    </row>
    <row r="178" spans="1:20" ht="20.100000000000001" customHeight="1">
      <c r="A178">
        <v>177</v>
      </c>
      <c r="B178" s="2">
        <v>45669</v>
      </c>
      <c r="C178" t="s">
        <v>18</v>
      </c>
      <c r="D178" t="s">
        <v>17</v>
      </c>
      <c r="E178" t="s">
        <v>11</v>
      </c>
      <c r="F178">
        <v>2</v>
      </c>
      <c r="G178" s="3">
        <v>21.44</v>
      </c>
      <c r="H178" s="4">
        <v>0.15</v>
      </c>
      <c r="I178" t="b">
        <v>0</v>
      </c>
      <c r="J178" s="3">
        <f>tblRestaurant[[#This Row],[Total Bill]]*tblRestaurant[[#This Row],[Tip %]]</f>
        <v>3.2160000000000002</v>
      </c>
      <c r="K178" s="7" t="str">
        <f>IF(tblRestaurant[[#This Row],[Cash]]=TRUE,"Cash","Card")</f>
        <v>Card</v>
      </c>
      <c r="L178" s="7" t="str">
        <f>IF(tblRestaurant[[#This Row],[Total Bill]]&lt;20,"Low",IF(tblRestaurant[[#This Row],[Total Bill]]&lt;50,"Medium","High"))</f>
        <v>Medium</v>
      </c>
      <c r="M178" s="7" t="str">
        <f>IF(tblRestaurant[[#This Row],[Party Size]]&lt;=2,"Small",IF(tblRestaurant[[#This Row],[Party Size]]&lt;=4,"Medium","Large"))</f>
        <v>Small</v>
      </c>
      <c r="N178" t="str">
        <f>TEXT(tblRestaurant[[#This Row],[Date]],"mmmm")</f>
        <v>January</v>
      </c>
      <c r="O178" s="12">
        <f>WEEKNUM(tblRestaurant[[#This Row],[Date]])</f>
        <v>3</v>
      </c>
      <c r="P178" s="7" t="str">
        <f>IF(OR(tblRestaurant[[#This Row],[Day]]="Sat",tblRestaurant[[#This Row],[Day]]="Sun"),"Weekend","Weekday")</f>
        <v>Weekend</v>
      </c>
      <c r="Q178" s="7" t="str">
        <f>IF(OR(tblRestaurant[[#This Row],[Day]]="Fri",tblRestaurant[[#This Row],[Day]]="Thu"),"Weekday","Weekend")</f>
        <v>Weekend</v>
      </c>
      <c r="R178" s="7" t="str">
        <f>IF(tblRestaurant[[#This Row],[Total Bill]]&lt;25,"Bronze",IF(tblRestaurant[[#This Row],[Total Bill]]&lt;50,"Silver",IF(tblRestaurant[[#This Row],[Total Bill]]&lt;75,"Gold","Platinum")))</f>
        <v>Bronze</v>
      </c>
      <c r="S178" s="7" cm="1">
        <f t="array" ref="S178">_xlfn.SWITCH(tblRestaurant[[#This Row],[Revenue Tier]],"Bronze",1,"Silver",2,"Gold",3,"Platinum",4)</f>
        <v>1</v>
      </c>
      <c r="T178" s="13">
        <f>AVERAGE(tblRestaurant[[#This Row],[Total Bill]],tblRestaurant[[#This Row],[Party Size]])</f>
        <v>11.72</v>
      </c>
    </row>
    <row r="179" spans="1:20" ht="20.100000000000001" customHeight="1">
      <c r="A179">
        <v>178</v>
      </c>
      <c r="B179" s="2">
        <v>45669</v>
      </c>
      <c r="C179" t="s">
        <v>18</v>
      </c>
      <c r="D179" t="s">
        <v>17</v>
      </c>
      <c r="E179" t="s">
        <v>12</v>
      </c>
      <c r="F179">
        <v>2</v>
      </c>
      <c r="G179" s="3">
        <v>35.53</v>
      </c>
      <c r="H179" s="4">
        <v>0.2</v>
      </c>
      <c r="I179" t="b">
        <v>0</v>
      </c>
      <c r="J179" s="3">
        <f>tblRestaurant[[#This Row],[Total Bill]]*tblRestaurant[[#This Row],[Tip %]]</f>
        <v>7.1060000000000008</v>
      </c>
      <c r="K179" s="7" t="str">
        <f>IF(tblRestaurant[[#This Row],[Cash]]=TRUE,"Cash","Card")</f>
        <v>Card</v>
      </c>
      <c r="L179" s="7" t="str">
        <f>IF(tblRestaurant[[#This Row],[Total Bill]]&lt;20,"Low",IF(tblRestaurant[[#This Row],[Total Bill]]&lt;50,"Medium","High"))</f>
        <v>Medium</v>
      </c>
      <c r="M179" s="7" t="str">
        <f>IF(tblRestaurant[[#This Row],[Party Size]]&lt;=2,"Small",IF(tblRestaurant[[#This Row],[Party Size]]&lt;=4,"Medium","Large"))</f>
        <v>Small</v>
      </c>
      <c r="N179" t="str">
        <f>TEXT(tblRestaurant[[#This Row],[Date]],"mmmm")</f>
        <v>January</v>
      </c>
      <c r="O179" s="12">
        <f>WEEKNUM(tblRestaurant[[#This Row],[Date]])</f>
        <v>3</v>
      </c>
      <c r="P179" s="7" t="str">
        <f>IF(OR(tblRestaurant[[#This Row],[Day]]="Sat",tblRestaurant[[#This Row],[Day]]="Sun"),"Weekend","Weekday")</f>
        <v>Weekend</v>
      </c>
      <c r="Q179" s="7" t="str">
        <f>IF(OR(tblRestaurant[[#This Row],[Day]]="Fri",tblRestaurant[[#This Row],[Day]]="Thu"),"Weekday","Weekend")</f>
        <v>Weekend</v>
      </c>
      <c r="R179" s="7" t="str">
        <f>IF(tblRestaurant[[#This Row],[Total Bill]]&lt;25,"Bronze",IF(tblRestaurant[[#This Row],[Total Bill]]&lt;50,"Silver",IF(tblRestaurant[[#This Row],[Total Bill]]&lt;75,"Gold","Platinum")))</f>
        <v>Silver</v>
      </c>
      <c r="S179" s="7" cm="1">
        <f t="array" ref="S179">_xlfn.SWITCH(tblRestaurant[[#This Row],[Revenue Tier]],"Bronze",1,"Silver",2,"Gold",3,"Platinum",4)</f>
        <v>2</v>
      </c>
      <c r="T179" s="13">
        <f>AVERAGE(tblRestaurant[[#This Row],[Total Bill]],tblRestaurant[[#This Row],[Party Size]])</f>
        <v>18.765000000000001</v>
      </c>
    </row>
    <row r="180" spans="1:20" ht="20.100000000000001" customHeight="1">
      <c r="A180">
        <v>179</v>
      </c>
      <c r="B180" s="2">
        <v>45669</v>
      </c>
      <c r="C180" t="s">
        <v>18</v>
      </c>
      <c r="D180" t="s">
        <v>17</v>
      </c>
      <c r="E180" t="s">
        <v>11</v>
      </c>
      <c r="F180">
        <v>2</v>
      </c>
      <c r="G180" s="3">
        <v>28.76</v>
      </c>
      <c r="H180" s="4">
        <v>0.18</v>
      </c>
      <c r="I180" t="b">
        <v>0</v>
      </c>
      <c r="J180" s="3">
        <f>tblRestaurant[[#This Row],[Total Bill]]*tblRestaurant[[#This Row],[Tip %]]</f>
        <v>5.1768000000000001</v>
      </c>
      <c r="K180" s="7" t="str">
        <f>IF(tblRestaurant[[#This Row],[Cash]]=TRUE,"Cash","Card")</f>
        <v>Card</v>
      </c>
      <c r="L180" s="7" t="str">
        <f>IF(tblRestaurant[[#This Row],[Total Bill]]&lt;20,"Low",IF(tblRestaurant[[#This Row],[Total Bill]]&lt;50,"Medium","High"))</f>
        <v>Medium</v>
      </c>
      <c r="M180" s="7" t="str">
        <f>IF(tblRestaurant[[#This Row],[Party Size]]&lt;=2,"Small",IF(tblRestaurant[[#This Row],[Party Size]]&lt;=4,"Medium","Large"))</f>
        <v>Small</v>
      </c>
      <c r="N180" t="str">
        <f>TEXT(tblRestaurant[[#This Row],[Date]],"mmmm")</f>
        <v>January</v>
      </c>
      <c r="O180" s="12">
        <f>WEEKNUM(tblRestaurant[[#This Row],[Date]])</f>
        <v>3</v>
      </c>
      <c r="P180" s="7" t="str">
        <f>IF(OR(tblRestaurant[[#This Row],[Day]]="Sat",tblRestaurant[[#This Row],[Day]]="Sun"),"Weekend","Weekday")</f>
        <v>Weekend</v>
      </c>
      <c r="Q180" s="7" t="str">
        <f>IF(OR(tblRestaurant[[#This Row],[Day]]="Fri",tblRestaurant[[#This Row],[Day]]="Thu"),"Weekday","Weekend")</f>
        <v>Weekend</v>
      </c>
      <c r="R180" s="7" t="str">
        <f>IF(tblRestaurant[[#This Row],[Total Bill]]&lt;25,"Bronze",IF(tblRestaurant[[#This Row],[Total Bill]]&lt;50,"Silver",IF(tblRestaurant[[#This Row],[Total Bill]]&lt;75,"Gold","Platinum")))</f>
        <v>Silver</v>
      </c>
      <c r="S180" s="7" cm="1">
        <f t="array" ref="S180">_xlfn.SWITCH(tblRestaurant[[#This Row],[Revenue Tier]],"Bronze",1,"Silver",2,"Gold",3,"Platinum",4)</f>
        <v>2</v>
      </c>
      <c r="T180" s="13">
        <f>AVERAGE(tblRestaurant[[#This Row],[Total Bill]],tblRestaurant[[#This Row],[Party Size]])</f>
        <v>15.38</v>
      </c>
    </row>
    <row r="181" spans="1:20" ht="20.100000000000001" customHeight="1">
      <c r="A181">
        <v>180</v>
      </c>
      <c r="B181" s="2">
        <v>45669</v>
      </c>
      <c r="C181" t="s">
        <v>18</v>
      </c>
      <c r="D181" t="s">
        <v>17</v>
      </c>
      <c r="E181" t="s">
        <v>12</v>
      </c>
      <c r="F181">
        <v>2</v>
      </c>
      <c r="G181" s="3">
        <v>25.65</v>
      </c>
      <c r="H181" s="4">
        <v>0.18</v>
      </c>
      <c r="I181" t="b">
        <v>0</v>
      </c>
      <c r="J181" s="3">
        <f>tblRestaurant[[#This Row],[Total Bill]]*tblRestaurant[[#This Row],[Tip %]]</f>
        <v>4.617</v>
      </c>
      <c r="K181" s="7" t="str">
        <f>IF(tblRestaurant[[#This Row],[Cash]]=TRUE,"Cash","Card")</f>
        <v>Card</v>
      </c>
      <c r="L181" s="7" t="str">
        <f>IF(tblRestaurant[[#This Row],[Total Bill]]&lt;20,"Low",IF(tblRestaurant[[#This Row],[Total Bill]]&lt;50,"Medium","High"))</f>
        <v>Medium</v>
      </c>
      <c r="M181" s="7" t="str">
        <f>IF(tblRestaurant[[#This Row],[Party Size]]&lt;=2,"Small",IF(tblRestaurant[[#This Row],[Party Size]]&lt;=4,"Medium","Large"))</f>
        <v>Small</v>
      </c>
      <c r="N181" t="str">
        <f>TEXT(tblRestaurant[[#This Row],[Date]],"mmmm")</f>
        <v>January</v>
      </c>
      <c r="O181" s="12">
        <f>WEEKNUM(tblRestaurant[[#This Row],[Date]])</f>
        <v>3</v>
      </c>
      <c r="P181" s="7" t="str">
        <f>IF(OR(tblRestaurant[[#This Row],[Day]]="Sat",tblRestaurant[[#This Row],[Day]]="Sun"),"Weekend","Weekday")</f>
        <v>Weekend</v>
      </c>
      <c r="Q181" s="7" t="str">
        <f>IF(OR(tblRestaurant[[#This Row],[Day]]="Fri",tblRestaurant[[#This Row],[Day]]="Thu"),"Weekday","Weekend")</f>
        <v>Weekend</v>
      </c>
      <c r="R181" s="7" t="str">
        <f>IF(tblRestaurant[[#This Row],[Total Bill]]&lt;25,"Bronze",IF(tblRestaurant[[#This Row],[Total Bill]]&lt;50,"Silver",IF(tblRestaurant[[#This Row],[Total Bill]]&lt;75,"Gold","Platinum")))</f>
        <v>Silver</v>
      </c>
      <c r="S181" s="7" cm="1">
        <f t="array" ref="S181">_xlfn.SWITCH(tblRestaurant[[#This Row],[Revenue Tier]],"Bronze",1,"Silver",2,"Gold",3,"Platinum",4)</f>
        <v>2</v>
      </c>
      <c r="T181" s="13">
        <f>AVERAGE(tblRestaurant[[#This Row],[Total Bill]],tblRestaurant[[#This Row],[Party Size]])</f>
        <v>13.824999999999999</v>
      </c>
    </row>
    <row r="182" spans="1:20" ht="20.100000000000001" customHeight="1">
      <c r="A182">
        <v>181</v>
      </c>
      <c r="B182" s="2">
        <v>45669</v>
      </c>
      <c r="C182" t="s">
        <v>18</v>
      </c>
      <c r="D182" t="s">
        <v>17</v>
      </c>
      <c r="E182" t="s">
        <v>14</v>
      </c>
      <c r="F182">
        <v>4</v>
      </c>
      <c r="G182" s="3">
        <v>38.159999999999997</v>
      </c>
      <c r="H182" s="4">
        <v>0.2</v>
      </c>
      <c r="I182" t="b">
        <v>0</v>
      </c>
      <c r="J182" s="3">
        <f>tblRestaurant[[#This Row],[Total Bill]]*tblRestaurant[[#This Row],[Tip %]]</f>
        <v>7.6319999999999997</v>
      </c>
      <c r="K182" s="7" t="str">
        <f>IF(tblRestaurant[[#This Row],[Cash]]=TRUE,"Cash","Card")</f>
        <v>Card</v>
      </c>
      <c r="L182" s="7" t="str">
        <f>IF(tblRestaurant[[#This Row],[Total Bill]]&lt;20,"Low",IF(tblRestaurant[[#This Row],[Total Bill]]&lt;50,"Medium","High"))</f>
        <v>Medium</v>
      </c>
      <c r="M182" s="7" t="str">
        <f>IF(tblRestaurant[[#This Row],[Party Size]]&lt;=2,"Small",IF(tblRestaurant[[#This Row],[Party Size]]&lt;=4,"Medium","Large"))</f>
        <v>Medium</v>
      </c>
      <c r="N182" t="str">
        <f>TEXT(tblRestaurant[[#This Row],[Date]],"mmmm")</f>
        <v>January</v>
      </c>
      <c r="O182" s="12">
        <f>WEEKNUM(tblRestaurant[[#This Row],[Date]])</f>
        <v>3</v>
      </c>
      <c r="P182" s="7" t="str">
        <f>IF(OR(tblRestaurant[[#This Row],[Day]]="Sat",tblRestaurant[[#This Row],[Day]]="Sun"),"Weekend","Weekday")</f>
        <v>Weekend</v>
      </c>
      <c r="Q182" s="7" t="str">
        <f>IF(OR(tblRestaurant[[#This Row],[Day]]="Fri",tblRestaurant[[#This Row],[Day]]="Thu"),"Weekday","Weekend")</f>
        <v>Weekend</v>
      </c>
      <c r="R182" s="7" t="str">
        <f>IF(tblRestaurant[[#This Row],[Total Bill]]&lt;25,"Bronze",IF(tblRestaurant[[#This Row],[Total Bill]]&lt;50,"Silver",IF(tblRestaurant[[#This Row],[Total Bill]]&lt;75,"Gold","Platinum")))</f>
        <v>Silver</v>
      </c>
      <c r="S182" s="7" cm="1">
        <f t="array" ref="S182">_xlfn.SWITCH(tblRestaurant[[#This Row],[Revenue Tier]],"Bronze",1,"Silver",2,"Gold",3,"Platinum",4)</f>
        <v>2</v>
      </c>
      <c r="T182" s="13">
        <f>AVERAGE(tblRestaurant[[#This Row],[Total Bill]],tblRestaurant[[#This Row],[Party Size]])</f>
        <v>21.08</v>
      </c>
    </row>
    <row r="183" spans="1:20" ht="20.100000000000001" customHeight="1">
      <c r="A183">
        <v>182</v>
      </c>
      <c r="B183" s="2">
        <v>45669</v>
      </c>
      <c r="C183" t="s">
        <v>18</v>
      </c>
      <c r="D183" t="s">
        <v>17</v>
      </c>
      <c r="E183" t="s">
        <v>13</v>
      </c>
      <c r="F183">
        <v>2</v>
      </c>
      <c r="G183" s="3">
        <v>25.3</v>
      </c>
      <c r="H183" s="4">
        <v>0.2</v>
      </c>
      <c r="I183" t="b">
        <v>0</v>
      </c>
      <c r="J183" s="3">
        <f>tblRestaurant[[#This Row],[Total Bill]]*tblRestaurant[[#This Row],[Tip %]]</f>
        <v>5.0600000000000005</v>
      </c>
      <c r="K183" s="7" t="str">
        <f>IF(tblRestaurant[[#This Row],[Cash]]=TRUE,"Cash","Card")</f>
        <v>Card</v>
      </c>
      <c r="L183" s="7" t="str">
        <f>IF(tblRestaurant[[#This Row],[Total Bill]]&lt;20,"Low",IF(tblRestaurant[[#This Row],[Total Bill]]&lt;50,"Medium","High"))</f>
        <v>Medium</v>
      </c>
      <c r="M183" s="7" t="str">
        <f>IF(tblRestaurant[[#This Row],[Party Size]]&lt;=2,"Small",IF(tblRestaurant[[#This Row],[Party Size]]&lt;=4,"Medium","Large"))</f>
        <v>Small</v>
      </c>
      <c r="N183" t="str">
        <f>TEXT(tblRestaurant[[#This Row],[Date]],"mmmm")</f>
        <v>January</v>
      </c>
      <c r="O183" s="12">
        <f>WEEKNUM(tblRestaurant[[#This Row],[Date]])</f>
        <v>3</v>
      </c>
      <c r="P183" s="7" t="str">
        <f>IF(OR(tblRestaurant[[#This Row],[Day]]="Sat",tblRestaurant[[#This Row],[Day]]="Sun"),"Weekend","Weekday")</f>
        <v>Weekend</v>
      </c>
      <c r="Q183" s="7" t="str">
        <f>IF(OR(tblRestaurant[[#This Row],[Day]]="Fri",tblRestaurant[[#This Row],[Day]]="Thu"),"Weekday","Weekend")</f>
        <v>Weekend</v>
      </c>
      <c r="R183" s="7" t="str">
        <f>IF(tblRestaurant[[#This Row],[Total Bill]]&lt;25,"Bronze",IF(tblRestaurant[[#This Row],[Total Bill]]&lt;50,"Silver",IF(tblRestaurant[[#This Row],[Total Bill]]&lt;75,"Gold","Platinum")))</f>
        <v>Silver</v>
      </c>
      <c r="S183" s="7" cm="1">
        <f t="array" ref="S183">_xlfn.SWITCH(tblRestaurant[[#This Row],[Revenue Tier]],"Bronze",1,"Silver",2,"Gold",3,"Platinum",4)</f>
        <v>2</v>
      </c>
      <c r="T183" s="13">
        <f>AVERAGE(tblRestaurant[[#This Row],[Total Bill]],tblRestaurant[[#This Row],[Party Size]])</f>
        <v>13.65</v>
      </c>
    </row>
    <row r="184" spans="1:20" ht="20.100000000000001" customHeight="1">
      <c r="A184">
        <v>183</v>
      </c>
      <c r="B184" s="2">
        <v>45669</v>
      </c>
      <c r="C184" t="s">
        <v>18</v>
      </c>
      <c r="D184" t="s">
        <v>17</v>
      </c>
      <c r="E184" t="s">
        <v>12</v>
      </c>
      <c r="F184">
        <v>3</v>
      </c>
      <c r="G184" s="3">
        <v>19.53</v>
      </c>
      <c r="H184" s="4">
        <v>0.15</v>
      </c>
      <c r="I184" t="b">
        <v>0</v>
      </c>
      <c r="J184" s="3">
        <f>tblRestaurant[[#This Row],[Total Bill]]*tblRestaurant[[#This Row],[Tip %]]</f>
        <v>2.9295</v>
      </c>
      <c r="K184" s="7" t="str">
        <f>IF(tblRestaurant[[#This Row],[Cash]]=TRUE,"Cash","Card")</f>
        <v>Card</v>
      </c>
      <c r="L184" s="7" t="str">
        <f>IF(tblRestaurant[[#This Row],[Total Bill]]&lt;20,"Low",IF(tblRestaurant[[#This Row],[Total Bill]]&lt;50,"Medium","High"))</f>
        <v>Low</v>
      </c>
      <c r="M184" s="7" t="str">
        <f>IF(tblRestaurant[[#This Row],[Party Size]]&lt;=2,"Small",IF(tblRestaurant[[#This Row],[Party Size]]&lt;=4,"Medium","Large"))</f>
        <v>Medium</v>
      </c>
      <c r="N184" t="str">
        <f>TEXT(tblRestaurant[[#This Row],[Date]],"mmmm")</f>
        <v>January</v>
      </c>
      <c r="O184" s="12">
        <f>WEEKNUM(tblRestaurant[[#This Row],[Date]])</f>
        <v>3</v>
      </c>
      <c r="P184" s="7" t="str">
        <f>IF(OR(tblRestaurant[[#This Row],[Day]]="Sat",tblRestaurant[[#This Row],[Day]]="Sun"),"Weekend","Weekday")</f>
        <v>Weekend</v>
      </c>
      <c r="Q184" s="7" t="str">
        <f>IF(OR(tblRestaurant[[#This Row],[Day]]="Fri",tblRestaurant[[#This Row],[Day]]="Thu"),"Weekday","Weekend")</f>
        <v>Weekend</v>
      </c>
      <c r="R184" s="7" t="str">
        <f>IF(tblRestaurant[[#This Row],[Total Bill]]&lt;25,"Bronze",IF(tblRestaurant[[#This Row],[Total Bill]]&lt;50,"Silver",IF(tblRestaurant[[#This Row],[Total Bill]]&lt;75,"Gold","Platinum")))</f>
        <v>Bronze</v>
      </c>
      <c r="S184" s="7" cm="1">
        <f t="array" ref="S184">_xlfn.SWITCH(tblRestaurant[[#This Row],[Revenue Tier]],"Bronze",1,"Silver",2,"Gold",3,"Platinum",4)</f>
        <v>1</v>
      </c>
      <c r="T184" s="13">
        <f>AVERAGE(tblRestaurant[[#This Row],[Total Bill]],tblRestaurant[[#This Row],[Party Size]])</f>
        <v>11.265000000000001</v>
      </c>
    </row>
    <row r="185" spans="1:20" ht="20.100000000000001" customHeight="1">
      <c r="A185">
        <v>184</v>
      </c>
      <c r="B185" s="2">
        <v>45669</v>
      </c>
      <c r="C185" t="s">
        <v>18</v>
      </c>
      <c r="D185" t="s">
        <v>17</v>
      </c>
      <c r="E185" t="s">
        <v>14</v>
      </c>
      <c r="F185">
        <v>4</v>
      </c>
      <c r="G185" s="3">
        <v>43.73</v>
      </c>
      <c r="H185" s="4">
        <v>0.2</v>
      </c>
      <c r="I185" t="b">
        <v>1</v>
      </c>
      <c r="J185" s="3">
        <f>tblRestaurant[[#This Row],[Total Bill]]*tblRestaurant[[#This Row],[Tip %]]</f>
        <v>8.7460000000000004</v>
      </c>
      <c r="K185" s="7" t="str">
        <f>IF(tblRestaurant[[#This Row],[Cash]]=TRUE,"Cash","Card")</f>
        <v>Cash</v>
      </c>
      <c r="L185" s="7" t="str">
        <f>IF(tblRestaurant[[#This Row],[Total Bill]]&lt;20,"Low",IF(tblRestaurant[[#This Row],[Total Bill]]&lt;50,"Medium","High"))</f>
        <v>Medium</v>
      </c>
      <c r="M185" s="7" t="str">
        <f>IF(tblRestaurant[[#This Row],[Party Size]]&lt;=2,"Small",IF(tblRestaurant[[#This Row],[Party Size]]&lt;=4,"Medium","Large"))</f>
        <v>Medium</v>
      </c>
      <c r="N185" t="str">
        <f>TEXT(tblRestaurant[[#This Row],[Date]],"mmmm")</f>
        <v>January</v>
      </c>
      <c r="O185" s="12">
        <f>WEEKNUM(tblRestaurant[[#This Row],[Date]])</f>
        <v>3</v>
      </c>
      <c r="P185" s="7" t="str">
        <f>IF(OR(tblRestaurant[[#This Row],[Day]]="Sat",tblRestaurant[[#This Row],[Day]]="Sun"),"Weekend","Weekday")</f>
        <v>Weekend</v>
      </c>
      <c r="Q185" s="7" t="str">
        <f>IF(OR(tblRestaurant[[#This Row],[Day]]="Fri",tblRestaurant[[#This Row],[Day]]="Thu"),"Weekday","Weekend")</f>
        <v>Weekend</v>
      </c>
      <c r="R185" s="7" t="str">
        <f>IF(tblRestaurant[[#This Row],[Total Bill]]&lt;25,"Bronze",IF(tblRestaurant[[#This Row],[Total Bill]]&lt;50,"Silver",IF(tblRestaurant[[#This Row],[Total Bill]]&lt;75,"Gold","Platinum")))</f>
        <v>Silver</v>
      </c>
      <c r="S185" s="7" cm="1">
        <f t="array" ref="S185">_xlfn.SWITCH(tblRestaurant[[#This Row],[Revenue Tier]],"Bronze",1,"Silver",2,"Gold",3,"Platinum",4)</f>
        <v>2</v>
      </c>
      <c r="T185" s="13">
        <f>AVERAGE(tblRestaurant[[#This Row],[Total Bill]],tblRestaurant[[#This Row],[Party Size]])</f>
        <v>23.864999999999998</v>
      </c>
    </row>
    <row r="186" spans="1:20" ht="20.100000000000001" customHeight="1">
      <c r="A186">
        <v>185</v>
      </c>
      <c r="B186" s="2">
        <v>45669</v>
      </c>
      <c r="C186" t="s">
        <v>18</v>
      </c>
      <c r="D186" t="s">
        <v>17</v>
      </c>
      <c r="E186" t="s">
        <v>14</v>
      </c>
      <c r="F186">
        <v>2</v>
      </c>
      <c r="G186" s="3">
        <v>40.61</v>
      </c>
      <c r="H186" s="4">
        <v>0.15</v>
      </c>
      <c r="I186" t="b">
        <v>1</v>
      </c>
      <c r="J186" s="3">
        <f>tblRestaurant[[#This Row],[Total Bill]]*tblRestaurant[[#This Row],[Tip %]]</f>
        <v>6.0914999999999999</v>
      </c>
      <c r="K186" s="7" t="str">
        <f>IF(tblRestaurant[[#This Row],[Cash]]=TRUE,"Cash","Card")</f>
        <v>Cash</v>
      </c>
      <c r="L186" s="7" t="str">
        <f>IF(tblRestaurant[[#This Row],[Total Bill]]&lt;20,"Low",IF(tblRestaurant[[#This Row],[Total Bill]]&lt;50,"Medium","High"))</f>
        <v>Medium</v>
      </c>
      <c r="M186" s="7" t="str">
        <f>IF(tblRestaurant[[#This Row],[Party Size]]&lt;=2,"Small",IF(tblRestaurant[[#This Row],[Party Size]]&lt;=4,"Medium","Large"))</f>
        <v>Small</v>
      </c>
      <c r="N186" t="str">
        <f>TEXT(tblRestaurant[[#This Row],[Date]],"mmmm")</f>
        <v>January</v>
      </c>
      <c r="O186" s="12">
        <f>WEEKNUM(tblRestaurant[[#This Row],[Date]])</f>
        <v>3</v>
      </c>
      <c r="P186" s="7" t="str">
        <f>IF(OR(tblRestaurant[[#This Row],[Day]]="Sat",tblRestaurant[[#This Row],[Day]]="Sun"),"Weekend","Weekday")</f>
        <v>Weekend</v>
      </c>
      <c r="Q186" s="7" t="str">
        <f>IF(OR(tblRestaurant[[#This Row],[Day]]="Fri",tblRestaurant[[#This Row],[Day]]="Thu"),"Weekday","Weekend")</f>
        <v>Weekend</v>
      </c>
      <c r="R186" s="7" t="str">
        <f>IF(tblRestaurant[[#This Row],[Total Bill]]&lt;25,"Bronze",IF(tblRestaurant[[#This Row],[Total Bill]]&lt;50,"Silver",IF(tblRestaurant[[#This Row],[Total Bill]]&lt;75,"Gold","Platinum")))</f>
        <v>Silver</v>
      </c>
      <c r="S186" s="7" cm="1">
        <f t="array" ref="S186">_xlfn.SWITCH(tblRestaurant[[#This Row],[Revenue Tier]],"Bronze",1,"Silver",2,"Gold",3,"Platinum",4)</f>
        <v>2</v>
      </c>
      <c r="T186" s="13">
        <f>AVERAGE(tblRestaurant[[#This Row],[Total Bill]],tblRestaurant[[#This Row],[Party Size]])</f>
        <v>21.305</v>
      </c>
    </row>
    <row r="187" spans="1:20" ht="20.100000000000001" customHeight="1">
      <c r="A187">
        <v>186</v>
      </c>
      <c r="B187" s="2">
        <v>45669</v>
      </c>
      <c r="C187" t="s">
        <v>18</v>
      </c>
      <c r="D187" t="s">
        <v>17</v>
      </c>
      <c r="E187" t="s">
        <v>13</v>
      </c>
      <c r="F187">
        <v>5</v>
      </c>
      <c r="G187" s="3">
        <v>86.69</v>
      </c>
      <c r="H187" s="4">
        <v>0.15</v>
      </c>
      <c r="I187" t="b">
        <v>1</v>
      </c>
      <c r="J187" s="3">
        <f>tblRestaurant[[#This Row],[Total Bill]]*tblRestaurant[[#This Row],[Tip %]]</f>
        <v>13.003499999999999</v>
      </c>
      <c r="K187" s="7" t="str">
        <f>IF(tblRestaurant[[#This Row],[Cash]]=TRUE,"Cash","Card")</f>
        <v>Cash</v>
      </c>
      <c r="L187" s="7" t="str">
        <f>IF(tblRestaurant[[#This Row],[Total Bill]]&lt;20,"Low",IF(tblRestaurant[[#This Row],[Total Bill]]&lt;50,"Medium","High"))</f>
        <v>High</v>
      </c>
      <c r="M187" s="7" t="str">
        <f>IF(tblRestaurant[[#This Row],[Party Size]]&lt;=2,"Small",IF(tblRestaurant[[#This Row],[Party Size]]&lt;=4,"Medium","Large"))</f>
        <v>Large</v>
      </c>
      <c r="N187" t="str">
        <f>TEXT(tblRestaurant[[#This Row],[Date]],"mmmm")</f>
        <v>January</v>
      </c>
      <c r="O187" s="12">
        <f>WEEKNUM(tblRestaurant[[#This Row],[Date]])</f>
        <v>3</v>
      </c>
      <c r="P187" s="7" t="str">
        <f>IF(OR(tblRestaurant[[#This Row],[Day]]="Sat",tblRestaurant[[#This Row],[Day]]="Sun"),"Weekend","Weekday")</f>
        <v>Weekend</v>
      </c>
      <c r="Q187" s="7" t="str">
        <f>IF(OR(tblRestaurant[[#This Row],[Day]]="Fri",tblRestaurant[[#This Row],[Day]]="Thu"),"Weekday","Weekend")</f>
        <v>Weekend</v>
      </c>
      <c r="R187" s="7" t="str">
        <f>IF(tblRestaurant[[#This Row],[Total Bill]]&lt;25,"Bronze",IF(tblRestaurant[[#This Row],[Total Bill]]&lt;50,"Silver",IF(tblRestaurant[[#This Row],[Total Bill]]&lt;75,"Gold","Platinum")))</f>
        <v>Platinum</v>
      </c>
      <c r="S187" s="7" cm="1">
        <f t="array" ref="S187">_xlfn.SWITCH(tblRestaurant[[#This Row],[Revenue Tier]],"Bronze",1,"Silver",2,"Gold",3,"Platinum",4)</f>
        <v>4</v>
      </c>
      <c r="T187" s="13">
        <f>AVERAGE(tblRestaurant[[#This Row],[Total Bill]],tblRestaurant[[#This Row],[Party Size]])</f>
        <v>45.844999999999999</v>
      </c>
    </row>
    <row r="188" spans="1:20" ht="20.100000000000001" customHeight="1">
      <c r="A188">
        <v>187</v>
      </c>
      <c r="B188" s="2">
        <v>45669</v>
      </c>
      <c r="C188" t="s">
        <v>18</v>
      </c>
      <c r="D188" t="s">
        <v>17</v>
      </c>
      <c r="E188" t="s">
        <v>14</v>
      </c>
      <c r="F188">
        <v>3</v>
      </c>
      <c r="G188" s="3">
        <v>48.43</v>
      </c>
      <c r="H188" s="4">
        <v>0.15</v>
      </c>
      <c r="I188" t="b">
        <v>1</v>
      </c>
      <c r="J188" s="3">
        <f>tblRestaurant[[#This Row],[Total Bill]]*tblRestaurant[[#This Row],[Tip %]]</f>
        <v>7.2645</v>
      </c>
      <c r="K188" s="7" t="str">
        <f>IF(tblRestaurant[[#This Row],[Cash]]=TRUE,"Cash","Card")</f>
        <v>Cash</v>
      </c>
      <c r="L188" s="7" t="str">
        <f>IF(tblRestaurant[[#This Row],[Total Bill]]&lt;20,"Low",IF(tblRestaurant[[#This Row],[Total Bill]]&lt;50,"Medium","High"))</f>
        <v>Medium</v>
      </c>
      <c r="M188" s="7" t="str">
        <f>IF(tblRestaurant[[#This Row],[Party Size]]&lt;=2,"Small",IF(tblRestaurant[[#This Row],[Party Size]]&lt;=4,"Medium","Large"))</f>
        <v>Medium</v>
      </c>
      <c r="N188" t="str">
        <f>TEXT(tblRestaurant[[#This Row],[Date]],"mmmm")</f>
        <v>January</v>
      </c>
      <c r="O188" s="12">
        <f>WEEKNUM(tblRestaurant[[#This Row],[Date]])</f>
        <v>3</v>
      </c>
      <c r="P188" s="7" t="str">
        <f>IF(OR(tblRestaurant[[#This Row],[Day]]="Sat",tblRestaurant[[#This Row],[Day]]="Sun"),"Weekend","Weekday")</f>
        <v>Weekend</v>
      </c>
      <c r="Q188" s="7" t="str">
        <f>IF(OR(tblRestaurant[[#This Row],[Day]]="Fri",tblRestaurant[[#This Row],[Day]]="Thu"),"Weekday","Weekend")</f>
        <v>Weekend</v>
      </c>
      <c r="R188" s="7" t="str">
        <f>IF(tblRestaurant[[#This Row],[Total Bill]]&lt;25,"Bronze",IF(tblRestaurant[[#This Row],[Total Bill]]&lt;50,"Silver",IF(tblRestaurant[[#This Row],[Total Bill]]&lt;75,"Gold","Platinum")))</f>
        <v>Silver</v>
      </c>
      <c r="S188" s="7" cm="1">
        <f t="array" ref="S188">_xlfn.SWITCH(tblRestaurant[[#This Row],[Revenue Tier]],"Bronze",1,"Silver",2,"Gold",3,"Platinum",4)</f>
        <v>2</v>
      </c>
      <c r="T188" s="13">
        <f>AVERAGE(tblRestaurant[[#This Row],[Total Bill]],tblRestaurant[[#This Row],[Party Size]])</f>
        <v>25.715</v>
      </c>
    </row>
    <row r="189" spans="1:20" ht="20.100000000000001" customHeight="1">
      <c r="A189">
        <v>188</v>
      </c>
      <c r="B189" s="2">
        <v>45669</v>
      </c>
      <c r="C189" t="s">
        <v>18</v>
      </c>
      <c r="D189" t="s">
        <v>17</v>
      </c>
      <c r="E189" t="s">
        <v>14</v>
      </c>
      <c r="F189">
        <v>5</v>
      </c>
      <c r="G189" s="3">
        <v>72.150000000000006</v>
      </c>
      <c r="H189" s="4">
        <v>0.15</v>
      </c>
      <c r="I189" t="b">
        <v>1</v>
      </c>
      <c r="J189" s="3">
        <f>tblRestaurant[[#This Row],[Total Bill]]*tblRestaurant[[#This Row],[Tip %]]</f>
        <v>10.8225</v>
      </c>
      <c r="K189" s="7" t="str">
        <f>IF(tblRestaurant[[#This Row],[Cash]]=TRUE,"Cash","Card")</f>
        <v>Cash</v>
      </c>
      <c r="L189" s="7" t="str">
        <f>IF(tblRestaurant[[#This Row],[Total Bill]]&lt;20,"Low",IF(tblRestaurant[[#This Row],[Total Bill]]&lt;50,"Medium","High"))</f>
        <v>High</v>
      </c>
      <c r="M189" s="7" t="str">
        <f>IF(tblRestaurant[[#This Row],[Party Size]]&lt;=2,"Small",IF(tblRestaurant[[#This Row],[Party Size]]&lt;=4,"Medium","Large"))</f>
        <v>Large</v>
      </c>
      <c r="N189" t="str">
        <f>TEXT(tblRestaurant[[#This Row],[Date]],"mmmm")</f>
        <v>January</v>
      </c>
      <c r="O189" s="12">
        <f>WEEKNUM(tblRestaurant[[#This Row],[Date]])</f>
        <v>3</v>
      </c>
      <c r="P189" s="7" t="str">
        <f>IF(OR(tblRestaurant[[#This Row],[Day]]="Sat",tblRestaurant[[#This Row],[Day]]="Sun"),"Weekend","Weekday")</f>
        <v>Weekend</v>
      </c>
      <c r="Q189" s="7" t="str">
        <f>IF(OR(tblRestaurant[[#This Row],[Day]]="Fri",tblRestaurant[[#This Row],[Day]]="Thu"),"Weekday","Weekend")</f>
        <v>Weekend</v>
      </c>
      <c r="R189" s="7" t="str">
        <f>IF(tblRestaurant[[#This Row],[Total Bill]]&lt;25,"Bronze",IF(tblRestaurant[[#This Row],[Total Bill]]&lt;50,"Silver",IF(tblRestaurant[[#This Row],[Total Bill]]&lt;75,"Gold","Platinum")))</f>
        <v>Gold</v>
      </c>
      <c r="S189" s="7" cm="1">
        <f t="array" ref="S189">_xlfn.SWITCH(tblRestaurant[[#This Row],[Revenue Tier]],"Bronze",1,"Silver",2,"Gold",3,"Platinum",4)</f>
        <v>3</v>
      </c>
      <c r="T189" s="13">
        <f>AVERAGE(tblRestaurant[[#This Row],[Total Bill]],tblRestaurant[[#This Row],[Party Size]])</f>
        <v>38.575000000000003</v>
      </c>
    </row>
    <row r="190" spans="1:20" ht="20.100000000000001" customHeight="1">
      <c r="A190">
        <v>189</v>
      </c>
      <c r="B190" s="2">
        <v>45669</v>
      </c>
      <c r="C190" t="s">
        <v>18</v>
      </c>
      <c r="D190" t="s">
        <v>17</v>
      </c>
      <c r="E190" t="s">
        <v>12</v>
      </c>
      <c r="F190">
        <v>3</v>
      </c>
      <c r="G190" s="3">
        <v>43.83</v>
      </c>
      <c r="H190" s="4">
        <v>0.2</v>
      </c>
      <c r="I190" t="b">
        <v>0</v>
      </c>
      <c r="J190" s="3">
        <f>tblRestaurant[[#This Row],[Total Bill]]*tblRestaurant[[#This Row],[Tip %]]</f>
        <v>8.766</v>
      </c>
      <c r="K190" s="7" t="str">
        <f>IF(tblRestaurant[[#This Row],[Cash]]=TRUE,"Cash","Card")</f>
        <v>Card</v>
      </c>
      <c r="L190" s="7" t="str">
        <f>IF(tblRestaurant[[#This Row],[Total Bill]]&lt;20,"Low",IF(tblRestaurant[[#This Row],[Total Bill]]&lt;50,"Medium","High"))</f>
        <v>Medium</v>
      </c>
      <c r="M190" s="7" t="str">
        <f>IF(tblRestaurant[[#This Row],[Party Size]]&lt;=2,"Small",IF(tblRestaurant[[#This Row],[Party Size]]&lt;=4,"Medium","Large"))</f>
        <v>Medium</v>
      </c>
      <c r="N190" t="str">
        <f>TEXT(tblRestaurant[[#This Row],[Date]],"mmmm")</f>
        <v>January</v>
      </c>
      <c r="O190" s="12">
        <f>WEEKNUM(tblRestaurant[[#This Row],[Date]])</f>
        <v>3</v>
      </c>
      <c r="P190" s="7" t="str">
        <f>IF(OR(tblRestaurant[[#This Row],[Day]]="Sat",tblRestaurant[[#This Row],[Day]]="Sun"),"Weekend","Weekday")</f>
        <v>Weekend</v>
      </c>
      <c r="Q190" s="7" t="str">
        <f>IF(OR(tblRestaurant[[#This Row],[Day]]="Fri",tblRestaurant[[#This Row],[Day]]="Thu"),"Weekday","Weekend")</f>
        <v>Weekend</v>
      </c>
      <c r="R190" s="7" t="str">
        <f>IF(tblRestaurant[[#This Row],[Total Bill]]&lt;25,"Bronze",IF(tblRestaurant[[#This Row],[Total Bill]]&lt;50,"Silver",IF(tblRestaurant[[#This Row],[Total Bill]]&lt;75,"Gold","Platinum")))</f>
        <v>Silver</v>
      </c>
      <c r="S190" s="7" cm="1">
        <f t="array" ref="S190">_xlfn.SWITCH(tblRestaurant[[#This Row],[Revenue Tier]],"Bronze",1,"Silver",2,"Gold",3,"Platinum",4)</f>
        <v>2</v>
      </c>
      <c r="T190" s="13">
        <f>AVERAGE(tblRestaurant[[#This Row],[Total Bill]],tblRestaurant[[#This Row],[Party Size]])</f>
        <v>23.414999999999999</v>
      </c>
    </row>
    <row r="191" spans="1:20" ht="20.100000000000001" customHeight="1">
      <c r="A191">
        <v>190</v>
      </c>
      <c r="B191" s="2">
        <v>45669</v>
      </c>
      <c r="C191" t="s">
        <v>18</v>
      </c>
      <c r="D191" t="s">
        <v>17</v>
      </c>
      <c r="E191" t="s">
        <v>12</v>
      </c>
      <c r="F191">
        <v>3</v>
      </c>
      <c r="G191" s="3">
        <v>34.54</v>
      </c>
      <c r="H191" s="4">
        <v>0.2</v>
      </c>
      <c r="I191" t="b">
        <v>0</v>
      </c>
      <c r="J191" s="3">
        <f>tblRestaurant[[#This Row],[Total Bill]]*tblRestaurant[[#This Row],[Tip %]]</f>
        <v>6.9080000000000004</v>
      </c>
      <c r="K191" s="7" t="str">
        <f>IF(tblRestaurant[[#This Row],[Cash]]=TRUE,"Cash","Card")</f>
        <v>Card</v>
      </c>
      <c r="L191" s="7" t="str">
        <f>IF(tblRestaurant[[#This Row],[Total Bill]]&lt;20,"Low",IF(tblRestaurant[[#This Row],[Total Bill]]&lt;50,"Medium","High"))</f>
        <v>Medium</v>
      </c>
      <c r="M191" s="7" t="str">
        <f>IF(tblRestaurant[[#This Row],[Party Size]]&lt;=2,"Small",IF(tblRestaurant[[#This Row],[Party Size]]&lt;=4,"Medium","Large"))</f>
        <v>Medium</v>
      </c>
      <c r="N191" t="str">
        <f>TEXT(tblRestaurant[[#This Row],[Date]],"mmmm")</f>
        <v>January</v>
      </c>
      <c r="O191" s="12">
        <f>WEEKNUM(tblRestaurant[[#This Row],[Date]])</f>
        <v>3</v>
      </c>
      <c r="P191" s="7" t="str">
        <f>IF(OR(tblRestaurant[[#This Row],[Day]]="Sat",tblRestaurant[[#This Row],[Day]]="Sun"),"Weekend","Weekday")</f>
        <v>Weekend</v>
      </c>
      <c r="Q191" s="7" t="str">
        <f>IF(OR(tblRestaurant[[#This Row],[Day]]="Fri",tblRestaurant[[#This Row],[Day]]="Thu"),"Weekday","Weekend")</f>
        <v>Weekend</v>
      </c>
      <c r="R191" s="7" t="str">
        <f>IF(tblRestaurant[[#This Row],[Total Bill]]&lt;25,"Bronze",IF(tblRestaurant[[#This Row],[Total Bill]]&lt;50,"Silver",IF(tblRestaurant[[#This Row],[Total Bill]]&lt;75,"Gold","Platinum")))</f>
        <v>Silver</v>
      </c>
      <c r="S191" s="7" cm="1">
        <f t="array" ref="S191">_xlfn.SWITCH(tblRestaurant[[#This Row],[Revenue Tier]],"Bronze",1,"Silver",2,"Gold",3,"Platinum",4)</f>
        <v>2</v>
      </c>
      <c r="T191" s="13">
        <f>AVERAGE(tblRestaurant[[#This Row],[Total Bill]],tblRestaurant[[#This Row],[Party Size]])</f>
        <v>18.77</v>
      </c>
    </row>
    <row r="192" spans="1:20" ht="20.100000000000001" customHeight="1">
      <c r="A192">
        <v>191</v>
      </c>
      <c r="B192" s="2">
        <v>45669</v>
      </c>
      <c r="C192" t="s">
        <v>18</v>
      </c>
      <c r="D192" t="s">
        <v>17</v>
      </c>
      <c r="E192" t="s">
        <v>14</v>
      </c>
      <c r="F192">
        <v>2</v>
      </c>
      <c r="G192" s="3">
        <v>39.950000000000003</v>
      </c>
      <c r="H192" s="4">
        <v>0.18</v>
      </c>
      <c r="I192" t="b">
        <v>0</v>
      </c>
      <c r="J192" s="3">
        <f>tblRestaurant[[#This Row],[Total Bill]]*tblRestaurant[[#This Row],[Tip %]]</f>
        <v>7.1909999999999998</v>
      </c>
      <c r="K192" s="7" t="str">
        <f>IF(tblRestaurant[[#This Row],[Cash]]=TRUE,"Cash","Card")</f>
        <v>Card</v>
      </c>
      <c r="L192" s="7" t="str">
        <f>IF(tblRestaurant[[#This Row],[Total Bill]]&lt;20,"Low",IF(tblRestaurant[[#This Row],[Total Bill]]&lt;50,"Medium","High"))</f>
        <v>Medium</v>
      </c>
      <c r="M192" s="7" t="str">
        <f>IF(tblRestaurant[[#This Row],[Party Size]]&lt;=2,"Small",IF(tblRestaurant[[#This Row],[Party Size]]&lt;=4,"Medium","Large"))</f>
        <v>Small</v>
      </c>
      <c r="N192" t="str">
        <f>TEXT(tblRestaurant[[#This Row],[Date]],"mmmm")</f>
        <v>January</v>
      </c>
      <c r="O192" s="12">
        <f>WEEKNUM(tblRestaurant[[#This Row],[Date]])</f>
        <v>3</v>
      </c>
      <c r="P192" s="7" t="str">
        <f>IF(OR(tblRestaurant[[#This Row],[Day]]="Sat",tblRestaurant[[#This Row],[Day]]="Sun"),"Weekend","Weekday")</f>
        <v>Weekend</v>
      </c>
      <c r="Q192" s="7" t="str">
        <f>IF(OR(tblRestaurant[[#This Row],[Day]]="Fri",tblRestaurant[[#This Row],[Day]]="Thu"),"Weekday","Weekend")</f>
        <v>Weekend</v>
      </c>
      <c r="R192" s="7" t="str">
        <f>IF(tblRestaurant[[#This Row],[Total Bill]]&lt;25,"Bronze",IF(tblRestaurant[[#This Row],[Total Bill]]&lt;50,"Silver",IF(tblRestaurant[[#This Row],[Total Bill]]&lt;75,"Gold","Platinum")))</f>
        <v>Silver</v>
      </c>
      <c r="S192" s="7" cm="1">
        <f t="array" ref="S192">_xlfn.SWITCH(tblRestaurant[[#This Row],[Revenue Tier]],"Bronze",1,"Silver",2,"Gold",3,"Platinum",4)</f>
        <v>2</v>
      </c>
      <c r="T192" s="13">
        <f>AVERAGE(tblRestaurant[[#This Row],[Total Bill]],tblRestaurant[[#This Row],[Party Size]])</f>
        <v>20.975000000000001</v>
      </c>
    </row>
    <row r="193" spans="1:20" ht="20.100000000000001" customHeight="1">
      <c r="A193">
        <v>192</v>
      </c>
      <c r="B193" s="2">
        <v>45673</v>
      </c>
      <c r="C193" t="s">
        <v>9</v>
      </c>
      <c r="D193" t="s">
        <v>10</v>
      </c>
      <c r="E193" t="s">
        <v>11</v>
      </c>
      <c r="F193">
        <v>2</v>
      </c>
      <c r="G193" s="3">
        <v>26.51</v>
      </c>
      <c r="H193" s="4">
        <v>0.2</v>
      </c>
      <c r="I193" t="b">
        <v>0</v>
      </c>
      <c r="J193" s="3">
        <f>tblRestaurant[[#This Row],[Total Bill]]*tblRestaurant[[#This Row],[Tip %]]</f>
        <v>5.3020000000000005</v>
      </c>
      <c r="K193" s="7" t="str">
        <f>IF(tblRestaurant[[#This Row],[Cash]]=TRUE,"Cash","Card")</f>
        <v>Card</v>
      </c>
      <c r="L193" s="7" t="str">
        <f>IF(tblRestaurant[[#This Row],[Total Bill]]&lt;20,"Low",IF(tblRestaurant[[#This Row],[Total Bill]]&lt;50,"Medium","High"))</f>
        <v>Medium</v>
      </c>
      <c r="M193" s="7" t="str">
        <f>IF(tblRestaurant[[#This Row],[Party Size]]&lt;=2,"Small",IF(tblRestaurant[[#This Row],[Party Size]]&lt;=4,"Medium","Large"))</f>
        <v>Small</v>
      </c>
      <c r="N193" t="str">
        <f>TEXT(tblRestaurant[[#This Row],[Date]],"mmmm")</f>
        <v>January</v>
      </c>
      <c r="O193" s="12">
        <f>WEEKNUM(tblRestaurant[[#This Row],[Date]])</f>
        <v>3</v>
      </c>
      <c r="P193" s="7" t="str">
        <f>IF(OR(tblRestaurant[[#This Row],[Day]]="Sat",tblRestaurant[[#This Row],[Day]]="Sun"),"Weekend","Weekday")</f>
        <v>Weekday</v>
      </c>
      <c r="Q193" s="7" t="str">
        <f>IF(OR(tblRestaurant[[#This Row],[Day]]="Fri",tblRestaurant[[#This Row],[Day]]="Thu"),"Weekday","Weekend")</f>
        <v>Weekday</v>
      </c>
      <c r="R193" s="7" t="str">
        <f>IF(tblRestaurant[[#This Row],[Total Bill]]&lt;25,"Bronze",IF(tblRestaurant[[#This Row],[Total Bill]]&lt;50,"Silver",IF(tblRestaurant[[#This Row],[Total Bill]]&lt;75,"Gold","Platinum")))</f>
        <v>Silver</v>
      </c>
      <c r="S193" s="7" cm="1">
        <f t="array" ref="S193">_xlfn.SWITCH(tblRestaurant[[#This Row],[Revenue Tier]],"Bronze",1,"Silver",2,"Gold",3,"Platinum",4)</f>
        <v>2</v>
      </c>
      <c r="T193" s="13">
        <f>AVERAGE(tblRestaurant[[#This Row],[Total Bill]],tblRestaurant[[#This Row],[Party Size]])</f>
        <v>14.255000000000001</v>
      </c>
    </row>
    <row r="194" spans="1:20" ht="20.100000000000001" customHeight="1">
      <c r="A194">
        <v>193</v>
      </c>
      <c r="B194" s="2">
        <v>45673</v>
      </c>
      <c r="C194" t="s">
        <v>9</v>
      </c>
      <c r="D194" t="s">
        <v>10</v>
      </c>
      <c r="E194" t="s">
        <v>14</v>
      </c>
      <c r="F194">
        <v>2</v>
      </c>
      <c r="G194" s="3">
        <v>14.95</v>
      </c>
      <c r="H194" s="4">
        <v>0.2</v>
      </c>
      <c r="I194" t="b">
        <v>1</v>
      </c>
      <c r="J194" s="3">
        <f>tblRestaurant[[#This Row],[Total Bill]]*tblRestaurant[[#This Row],[Tip %]]</f>
        <v>2.99</v>
      </c>
      <c r="K194" s="7" t="str">
        <f>IF(tblRestaurant[[#This Row],[Cash]]=TRUE,"Cash","Card")</f>
        <v>Cash</v>
      </c>
      <c r="L194" s="7" t="str">
        <f>IF(tblRestaurant[[#This Row],[Total Bill]]&lt;20,"Low",IF(tblRestaurant[[#This Row],[Total Bill]]&lt;50,"Medium","High"))</f>
        <v>Low</v>
      </c>
      <c r="M194" s="7" t="str">
        <f>IF(tblRestaurant[[#This Row],[Party Size]]&lt;=2,"Small",IF(tblRestaurant[[#This Row],[Party Size]]&lt;=4,"Medium","Large"))</f>
        <v>Small</v>
      </c>
      <c r="N194" t="str">
        <f>TEXT(tblRestaurant[[#This Row],[Date]],"mmmm")</f>
        <v>January</v>
      </c>
      <c r="O194" s="12">
        <f>WEEKNUM(tblRestaurant[[#This Row],[Date]])</f>
        <v>3</v>
      </c>
      <c r="P194" s="7" t="str">
        <f>IF(OR(tblRestaurant[[#This Row],[Day]]="Sat",tblRestaurant[[#This Row],[Day]]="Sun"),"Weekend","Weekday")</f>
        <v>Weekday</v>
      </c>
      <c r="Q194" s="7" t="str">
        <f>IF(OR(tblRestaurant[[#This Row],[Day]]="Fri",tblRestaurant[[#This Row],[Day]]="Thu"),"Weekday","Weekend")</f>
        <v>Weekday</v>
      </c>
      <c r="R194" s="7" t="str">
        <f>IF(tblRestaurant[[#This Row],[Total Bill]]&lt;25,"Bronze",IF(tblRestaurant[[#This Row],[Total Bill]]&lt;50,"Silver",IF(tblRestaurant[[#This Row],[Total Bill]]&lt;75,"Gold","Platinum")))</f>
        <v>Bronze</v>
      </c>
      <c r="S194" s="7" cm="1">
        <f t="array" ref="S194">_xlfn.SWITCH(tblRestaurant[[#This Row],[Revenue Tier]],"Bronze",1,"Silver",2,"Gold",3,"Platinum",4)</f>
        <v>1</v>
      </c>
      <c r="T194" s="13">
        <f>AVERAGE(tblRestaurant[[#This Row],[Total Bill]],tblRestaurant[[#This Row],[Party Size]])</f>
        <v>8.4749999999999996</v>
      </c>
    </row>
    <row r="195" spans="1:20" ht="20.100000000000001" customHeight="1">
      <c r="A195">
        <v>194</v>
      </c>
      <c r="B195" s="2">
        <v>45673</v>
      </c>
      <c r="C195" t="s">
        <v>9</v>
      </c>
      <c r="D195" t="s">
        <v>10</v>
      </c>
      <c r="E195" t="s">
        <v>12</v>
      </c>
      <c r="F195">
        <v>2</v>
      </c>
      <c r="G195" s="3">
        <v>36.04</v>
      </c>
      <c r="H195" s="4">
        <v>0.18</v>
      </c>
      <c r="I195" t="b">
        <v>0</v>
      </c>
      <c r="J195" s="3">
        <f>tblRestaurant[[#This Row],[Total Bill]]*tblRestaurant[[#This Row],[Tip %]]</f>
        <v>6.4871999999999996</v>
      </c>
      <c r="K195" s="7" t="str">
        <f>IF(tblRestaurant[[#This Row],[Cash]]=TRUE,"Cash","Card")</f>
        <v>Card</v>
      </c>
      <c r="L195" s="7" t="str">
        <f>IF(tblRestaurant[[#This Row],[Total Bill]]&lt;20,"Low",IF(tblRestaurant[[#This Row],[Total Bill]]&lt;50,"Medium","High"))</f>
        <v>Medium</v>
      </c>
      <c r="M195" s="7" t="str">
        <f>IF(tblRestaurant[[#This Row],[Party Size]]&lt;=2,"Small",IF(tblRestaurant[[#This Row],[Party Size]]&lt;=4,"Medium","Large"))</f>
        <v>Small</v>
      </c>
      <c r="N195" t="str">
        <f>TEXT(tblRestaurant[[#This Row],[Date]],"mmmm")</f>
        <v>January</v>
      </c>
      <c r="O195" s="12">
        <f>WEEKNUM(tblRestaurant[[#This Row],[Date]])</f>
        <v>3</v>
      </c>
      <c r="P195" s="7" t="str">
        <f>IF(OR(tblRestaurant[[#This Row],[Day]]="Sat",tblRestaurant[[#This Row],[Day]]="Sun"),"Weekend","Weekday")</f>
        <v>Weekday</v>
      </c>
      <c r="Q195" s="7" t="str">
        <f>IF(OR(tblRestaurant[[#This Row],[Day]]="Fri",tblRestaurant[[#This Row],[Day]]="Thu"),"Weekday","Weekend")</f>
        <v>Weekday</v>
      </c>
      <c r="R195" s="7" t="str">
        <f>IF(tblRestaurant[[#This Row],[Total Bill]]&lt;25,"Bronze",IF(tblRestaurant[[#This Row],[Total Bill]]&lt;50,"Silver",IF(tblRestaurant[[#This Row],[Total Bill]]&lt;75,"Gold","Platinum")))</f>
        <v>Silver</v>
      </c>
      <c r="S195" s="7" cm="1">
        <f t="array" ref="S195">_xlfn.SWITCH(tblRestaurant[[#This Row],[Revenue Tier]],"Bronze",1,"Silver",2,"Gold",3,"Platinum",4)</f>
        <v>2</v>
      </c>
      <c r="T195" s="13">
        <f>AVERAGE(tblRestaurant[[#This Row],[Total Bill]],tblRestaurant[[#This Row],[Party Size]])</f>
        <v>19.02</v>
      </c>
    </row>
    <row r="196" spans="1:20" ht="20.100000000000001" customHeight="1">
      <c r="A196">
        <v>195</v>
      </c>
      <c r="B196" s="2">
        <v>45673</v>
      </c>
      <c r="C196" t="s">
        <v>9</v>
      </c>
      <c r="D196" t="s">
        <v>10</v>
      </c>
      <c r="E196" t="s">
        <v>14</v>
      </c>
      <c r="F196">
        <v>2</v>
      </c>
      <c r="G196" s="3">
        <v>21.25</v>
      </c>
      <c r="H196" s="4">
        <v>0.15</v>
      </c>
      <c r="I196" t="b">
        <v>1</v>
      </c>
      <c r="J196" s="3">
        <f>tblRestaurant[[#This Row],[Total Bill]]*tblRestaurant[[#This Row],[Tip %]]</f>
        <v>3.1875</v>
      </c>
      <c r="K196" s="7" t="str">
        <f>IF(tblRestaurant[[#This Row],[Cash]]=TRUE,"Cash","Card")</f>
        <v>Cash</v>
      </c>
      <c r="L196" s="7" t="str">
        <f>IF(tblRestaurant[[#This Row],[Total Bill]]&lt;20,"Low",IF(tblRestaurant[[#This Row],[Total Bill]]&lt;50,"Medium","High"))</f>
        <v>Medium</v>
      </c>
      <c r="M196" s="7" t="str">
        <f>IF(tblRestaurant[[#This Row],[Party Size]]&lt;=2,"Small",IF(tblRestaurant[[#This Row],[Party Size]]&lt;=4,"Medium","Large"))</f>
        <v>Small</v>
      </c>
      <c r="N196" t="str">
        <f>TEXT(tblRestaurant[[#This Row],[Date]],"mmmm")</f>
        <v>January</v>
      </c>
      <c r="O196" s="12">
        <f>WEEKNUM(tblRestaurant[[#This Row],[Date]])</f>
        <v>3</v>
      </c>
      <c r="P196" s="7" t="str">
        <f>IF(OR(tblRestaurant[[#This Row],[Day]]="Sat",tblRestaurant[[#This Row],[Day]]="Sun"),"Weekend","Weekday")</f>
        <v>Weekday</v>
      </c>
      <c r="Q196" s="7" t="str">
        <f>IF(OR(tblRestaurant[[#This Row],[Day]]="Fri",tblRestaurant[[#This Row],[Day]]="Thu"),"Weekday","Weekend")</f>
        <v>Weekday</v>
      </c>
      <c r="R196" s="7" t="str">
        <f>IF(tblRestaurant[[#This Row],[Total Bill]]&lt;25,"Bronze",IF(tblRestaurant[[#This Row],[Total Bill]]&lt;50,"Silver",IF(tblRestaurant[[#This Row],[Total Bill]]&lt;75,"Gold","Platinum")))</f>
        <v>Bronze</v>
      </c>
      <c r="S196" s="7" cm="1">
        <f t="array" ref="S196">_xlfn.SWITCH(tblRestaurant[[#This Row],[Revenue Tier]],"Bronze",1,"Silver",2,"Gold",3,"Platinum",4)</f>
        <v>1</v>
      </c>
      <c r="T196" s="13">
        <f>AVERAGE(tblRestaurant[[#This Row],[Total Bill]],tblRestaurant[[#This Row],[Party Size]])</f>
        <v>11.625</v>
      </c>
    </row>
    <row r="197" spans="1:20" ht="20.100000000000001" customHeight="1">
      <c r="A197">
        <v>196</v>
      </c>
      <c r="B197" s="2">
        <v>45673</v>
      </c>
      <c r="C197" t="s">
        <v>9</v>
      </c>
      <c r="D197" t="s">
        <v>10</v>
      </c>
      <c r="E197" t="s">
        <v>12</v>
      </c>
      <c r="F197">
        <v>2</v>
      </c>
      <c r="G197" s="3">
        <v>23.3</v>
      </c>
      <c r="H197" s="4">
        <v>0.2</v>
      </c>
      <c r="I197" t="b">
        <v>0</v>
      </c>
      <c r="J197" s="3">
        <f>tblRestaurant[[#This Row],[Total Bill]]*tblRestaurant[[#This Row],[Tip %]]</f>
        <v>4.66</v>
      </c>
      <c r="K197" s="7" t="str">
        <f>IF(tblRestaurant[[#This Row],[Cash]]=TRUE,"Cash","Card")</f>
        <v>Card</v>
      </c>
      <c r="L197" s="7" t="str">
        <f>IF(tblRestaurant[[#This Row],[Total Bill]]&lt;20,"Low",IF(tblRestaurant[[#This Row],[Total Bill]]&lt;50,"Medium","High"))</f>
        <v>Medium</v>
      </c>
      <c r="M197" s="7" t="str">
        <f>IF(tblRestaurant[[#This Row],[Party Size]]&lt;=2,"Small",IF(tblRestaurant[[#This Row],[Party Size]]&lt;=4,"Medium","Large"))</f>
        <v>Small</v>
      </c>
      <c r="N197" t="str">
        <f>TEXT(tblRestaurant[[#This Row],[Date]],"mmmm")</f>
        <v>January</v>
      </c>
      <c r="O197" s="12">
        <f>WEEKNUM(tblRestaurant[[#This Row],[Date]])</f>
        <v>3</v>
      </c>
      <c r="P197" s="7" t="str">
        <f>IF(OR(tblRestaurant[[#This Row],[Day]]="Sat",tblRestaurant[[#This Row],[Day]]="Sun"),"Weekend","Weekday")</f>
        <v>Weekday</v>
      </c>
      <c r="Q197" s="7" t="str">
        <f>IF(OR(tblRestaurant[[#This Row],[Day]]="Fri",tblRestaurant[[#This Row],[Day]]="Thu"),"Weekday","Weekend")</f>
        <v>Weekday</v>
      </c>
      <c r="R197" s="7" t="str">
        <f>IF(tblRestaurant[[#This Row],[Total Bill]]&lt;25,"Bronze",IF(tblRestaurant[[#This Row],[Total Bill]]&lt;50,"Silver",IF(tblRestaurant[[#This Row],[Total Bill]]&lt;75,"Gold","Platinum")))</f>
        <v>Bronze</v>
      </c>
      <c r="S197" s="7" cm="1">
        <f t="array" ref="S197">_xlfn.SWITCH(tblRestaurant[[#This Row],[Revenue Tier]],"Bronze",1,"Silver",2,"Gold",3,"Platinum",4)</f>
        <v>1</v>
      </c>
      <c r="T197" s="13">
        <f>AVERAGE(tblRestaurant[[#This Row],[Total Bill]],tblRestaurant[[#This Row],[Party Size]])</f>
        <v>12.65</v>
      </c>
    </row>
    <row r="198" spans="1:20" ht="20.100000000000001" customHeight="1">
      <c r="A198">
        <v>197</v>
      </c>
      <c r="B198" s="2">
        <v>45673</v>
      </c>
      <c r="C198" t="s">
        <v>9</v>
      </c>
      <c r="D198" t="s">
        <v>10</v>
      </c>
      <c r="E198" t="s">
        <v>13</v>
      </c>
      <c r="F198">
        <v>2</v>
      </c>
      <c r="G198" s="3">
        <v>21.57</v>
      </c>
      <c r="H198" s="4">
        <v>0.18</v>
      </c>
      <c r="I198" t="b">
        <v>0</v>
      </c>
      <c r="J198" s="3">
        <f>tblRestaurant[[#This Row],[Total Bill]]*tblRestaurant[[#This Row],[Tip %]]</f>
        <v>3.8826000000000001</v>
      </c>
      <c r="K198" s="7" t="str">
        <f>IF(tblRestaurant[[#This Row],[Cash]]=TRUE,"Cash","Card")</f>
        <v>Card</v>
      </c>
      <c r="L198" s="7" t="str">
        <f>IF(tblRestaurant[[#This Row],[Total Bill]]&lt;20,"Low",IF(tblRestaurant[[#This Row],[Total Bill]]&lt;50,"Medium","High"))</f>
        <v>Medium</v>
      </c>
      <c r="M198" s="7" t="str">
        <f>IF(tblRestaurant[[#This Row],[Party Size]]&lt;=2,"Small",IF(tblRestaurant[[#This Row],[Party Size]]&lt;=4,"Medium","Large"))</f>
        <v>Small</v>
      </c>
      <c r="N198" t="str">
        <f>TEXT(tblRestaurant[[#This Row],[Date]],"mmmm")</f>
        <v>January</v>
      </c>
      <c r="O198" s="12">
        <f>WEEKNUM(tblRestaurant[[#This Row],[Date]])</f>
        <v>3</v>
      </c>
      <c r="P198" s="7" t="str">
        <f>IF(OR(tblRestaurant[[#This Row],[Day]]="Sat",tblRestaurant[[#This Row],[Day]]="Sun"),"Weekend","Weekday")</f>
        <v>Weekday</v>
      </c>
      <c r="Q198" s="7" t="str">
        <f>IF(OR(tblRestaurant[[#This Row],[Day]]="Fri",tblRestaurant[[#This Row],[Day]]="Thu"),"Weekday","Weekend")</f>
        <v>Weekday</v>
      </c>
      <c r="R198" s="7" t="str">
        <f>IF(tblRestaurant[[#This Row],[Total Bill]]&lt;25,"Bronze",IF(tblRestaurant[[#This Row],[Total Bill]]&lt;50,"Silver",IF(tblRestaurant[[#This Row],[Total Bill]]&lt;75,"Gold","Platinum")))</f>
        <v>Bronze</v>
      </c>
      <c r="S198" s="7" cm="1">
        <f t="array" ref="S198">_xlfn.SWITCH(tblRestaurant[[#This Row],[Revenue Tier]],"Bronze",1,"Silver",2,"Gold",3,"Platinum",4)</f>
        <v>1</v>
      </c>
      <c r="T198" s="13">
        <f>AVERAGE(tblRestaurant[[#This Row],[Total Bill]],tblRestaurant[[#This Row],[Party Size]])</f>
        <v>11.785</v>
      </c>
    </row>
    <row r="199" spans="1:20" ht="20.100000000000001" customHeight="1">
      <c r="A199">
        <v>198</v>
      </c>
      <c r="B199" s="2">
        <v>45673</v>
      </c>
      <c r="C199" t="s">
        <v>9</v>
      </c>
      <c r="D199" t="s">
        <v>10</v>
      </c>
      <c r="E199" t="s">
        <v>12</v>
      </c>
      <c r="F199">
        <v>4</v>
      </c>
      <c r="G199" s="3">
        <v>32.75</v>
      </c>
      <c r="H199" s="4">
        <v>0.2</v>
      </c>
      <c r="I199" t="b">
        <v>0</v>
      </c>
      <c r="J199" s="3">
        <f>tblRestaurant[[#This Row],[Total Bill]]*tblRestaurant[[#This Row],[Tip %]]</f>
        <v>6.5500000000000007</v>
      </c>
      <c r="K199" s="7" t="str">
        <f>IF(tblRestaurant[[#This Row],[Cash]]=TRUE,"Cash","Card")</f>
        <v>Card</v>
      </c>
      <c r="L199" s="7" t="str">
        <f>IF(tblRestaurant[[#This Row],[Total Bill]]&lt;20,"Low",IF(tblRestaurant[[#This Row],[Total Bill]]&lt;50,"Medium","High"))</f>
        <v>Medium</v>
      </c>
      <c r="M199" s="7" t="str">
        <f>IF(tblRestaurant[[#This Row],[Party Size]]&lt;=2,"Small",IF(tblRestaurant[[#This Row],[Party Size]]&lt;=4,"Medium","Large"))</f>
        <v>Medium</v>
      </c>
      <c r="N199" t="str">
        <f>TEXT(tblRestaurant[[#This Row],[Date]],"mmmm")</f>
        <v>January</v>
      </c>
      <c r="O199" s="12">
        <f>WEEKNUM(tblRestaurant[[#This Row],[Date]])</f>
        <v>3</v>
      </c>
      <c r="P199" s="7" t="str">
        <f>IF(OR(tblRestaurant[[#This Row],[Day]]="Sat",tblRestaurant[[#This Row],[Day]]="Sun"),"Weekend","Weekday")</f>
        <v>Weekday</v>
      </c>
      <c r="Q199" s="7" t="str">
        <f>IF(OR(tblRestaurant[[#This Row],[Day]]="Fri",tblRestaurant[[#This Row],[Day]]="Thu"),"Weekday","Weekend")</f>
        <v>Weekday</v>
      </c>
      <c r="R199" s="7" t="str">
        <f>IF(tblRestaurant[[#This Row],[Total Bill]]&lt;25,"Bronze",IF(tblRestaurant[[#This Row],[Total Bill]]&lt;50,"Silver",IF(tblRestaurant[[#This Row],[Total Bill]]&lt;75,"Gold","Platinum")))</f>
        <v>Silver</v>
      </c>
      <c r="S199" s="7" cm="1">
        <f t="array" ref="S199">_xlfn.SWITCH(tblRestaurant[[#This Row],[Revenue Tier]],"Bronze",1,"Silver",2,"Gold",3,"Platinum",4)</f>
        <v>2</v>
      </c>
      <c r="T199" s="13">
        <f>AVERAGE(tblRestaurant[[#This Row],[Total Bill]],tblRestaurant[[#This Row],[Party Size]])</f>
        <v>18.375</v>
      </c>
    </row>
    <row r="200" spans="1:20" ht="20.100000000000001" customHeight="1">
      <c r="A200">
        <v>199</v>
      </c>
      <c r="B200" s="2">
        <v>45673</v>
      </c>
      <c r="C200" t="s">
        <v>9</v>
      </c>
      <c r="D200" t="s">
        <v>10</v>
      </c>
      <c r="E200" t="s">
        <v>14</v>
      </c>
      <c r="F200">
        <v>2</v>
      </c>
      <c r="G200" s="3">
        <v>24.98</v>
      </c>
      <c r="H200" s="4">
        <v>0.2</v>
      </c>
      <c r="I200" t="b">
        <v>0</v>
      </c>
      <c r="J200" s="3">
        <f>tblRestaurant[[#This Row],[Total Bill]]*tblRestaurant[[#This Row],[Tip %]]</f>
        <v>4.9960000000000004</v>
      </c>
      <c r="K200" s="7" t="str">
        <f>IF(tblRestaurant[[#This Row],[Cash]]=TRUE,"Cash","Card")</f>
        <v>Card</v>
      </c>
      <c r="L200" s="7" t="str">
        <f>IF(tblRestaurant[[#This Row],[Total Bill]]&lt;20,"Low",IF(tblRestaurant[[#This Row],[Total Bill]]&lt;50,"Medium","High"))</f>
        <v>Medium</v>
      </c>
      <c r="M200" s="7" t="str">
        <f>IF(tblRestaurant[[#This Row],[Party Size]]&lt;=2,"Small",IF(tblRestaurant[[#This Row],[Party Size]]&lt;=4,"Medium","Large"))</f>
        <v>Small</v>
      </c>
      <c r="N200" t="str">
        <f>TEXT(tblRestaurant[[#This Row],[Date]],"mmmm")</f>
        <v>January</v>
      </c>
      <c r="O200" s="12">
        <f>WEEKNUM(tblRestaurant[[#This Row],[Date]])</f>
        <v>3</v>
      </c>
      <c r="P200" s="7" t="str">
        <f>IF(OR(tblRestaurant[[#This Row],[Day]]="Sat",tblRestaurant[[#This Row],[Day]]="Sun"),"Weekend","Weekday")</f>
        <v>Weekday</v>
      </c>
      <c r="Q200" s="7" t="str">
        <f>IF(OR(tblRestaurant[[#This Row],[Day]]="Fri",tblRestaurant[[#This Row],[Day]]="Thu"),"Weekday","Weekend")</f>
        <v>Weekday</v>
      </c>
      <c r="R200" s="7" t="str">
        <f>IF(tblRestaurant[[#This Row],[Total Bill]]&lt;25,"Bronze",IF(tblRestaurant[[#This Row],[Total Bill]]&lt;50,"Silver",IF(tblRestaurant[[#This Row],[Total Bill]]&lt;75,"Gold","Platinum")))</f>
        <v>Bronze</v>
      </c>
      <c r="S200" s="7" cm="1">
        <f t="array" ref="S200">_xlfn.SWITCH(tblRestaurant[[#This Row],[Revenue Tier]],"Bronze",1,"Silver",2,"Gold",3,"Platinum",4)</f>
        <v>1</v>
      </c>
      <c r="T200" s="13">
        <f>AVERAGE(tblRestaurant[[#This Row],[Total Bill]],tblRestaurant[[#This Row],[Party Size]])</f>
        <v>13.49</v>
      </c>
    </row>
    <row r="201" spans="1:20" ht="20.100000000000001" customHeight="1">
      <c r="A201">
        <v>200</v>
      </c>
      <c r="B201" s="2">
        <v>45673</v>
      </c>
      <c r="C201" t="s">
        <v>9</v>
      </c>
      <c r="D201" t="s">
        <v>10</v>
      </c>
      <c r="E201" t="s">
        <v>14</v>
      </c>
      <c r="F201">
        <v>2</v>
      </c>
      <c r="G201" s="3">
        <v>13.62</v>
      </c>
      <c r="H201" s="4">
        <v>0.15</v>
      </c>
      <c r="I201" t="b">
        <v>0</v>
      </c>
      <c r="J201" s="3">
        <f>tblRestaurant[[#This Row],[Total Bill]]*tblRestaurant[[#This Row],[Tip %]]</f>
        <v>2.0429999999999997</v>
      </c>
      <c r="K201" s="7" t="str">
        <f>IF(tblRestaurant[[#This Row],[Cash]]=TRUE,"Cash","Card")</f>
        <v>Card</v>
      </c>
      <c r="L201" s="7" t="str">
        <f>IF(tblRestaurant[[#This Row],[Total Bill]]&lt;20,"Low",IF(tblRestaurant[[#This Row],[Total Bill]]&lt;50,"Medium","High"))</f>
        <v>Low</v>
      </c>
      <c r="M201" s="7" t="str">
        <f>IF(tblRestaurant[[#This Row],[Party Size]]&lt;=2,"Small",IF(tblRestaurant[[#This Row],[Party Size]]&lt;=4,"Medium","Large"))</f>
        <v>Small</v>
      </c>
      <c r="N201" t="str">
        <f>TEXT(tblRestaurant[[#This Row],[Date]],"mmmm")</f>
        <v>January</v>
      </c>
      <c r="O201" s="12">
        <f>WEEKNUM(tblRestaurant[[#This Row],[Date]])</f>
        <v>3</v>
      </c>
      <c r="P201" s="7" t="str">
        <f>IF(OR(tblRestaurant[[#This Row],[Day]]="Sat",tblRestaurant[[#This Row],[Day]]="Sun"),"Weekend","Weekday")</f>
        <v>Weekday</v>
      </c>
      <c r="Q201" s="7" t="str">
        <f>IF(OR(tblRestaurant[[#This Row],[Day]]="Fri",tblRestaurant[[#This Row],[Day]]="Thu"),"Weekday","Weekend")</f>
        <v>Weekday</v>
      </c>
      <c r="R201" s="7" t="str">
        <f>IF(tblRestaurant[[#This Row],[Total Bill]]&lt;25,"Bronze",IF(tblRestaurant[[#This Row],[Total Bill]]&lt;50,"Silver",IF(tblRestaurant[[#This Row],[Total Bill]]&lt;75,"Gold","Platinum")))</f>
        <v>Bronze</v>
      </c>
      <c r="S201" s="7" cm="1">
        <f t="array" ref="S201">_xlfn.SWITCH(tblRestaurant[[#This Row],[Revenue Tier]],"Bronze",1,"Silver",2,"Gold",3,"Platinum",4)</f>
        <v>1</v>
      </c>
      <c r="T201" s="13">
        <f>AVERAGE(tblRestaurant[[#This Row],[Total Bill]],tblRestaurant[[#This Row],[Party Size]])</f>
        <v>7.81</v>
      </c>
    </row>
    <row r="202" spans="1:20" ht="20.100000000000001" customHeight="1">
      <c r="A202">
        <v>201</v>
      </c>
      <c r="B202" s="2">
        <v>45673</v>
      </c>
      <c r="C202" t="s">
        <v>9</v>
      </c>
      <c r="D202" t="s">
        <v>10</v>
      </c>
      <c r="E202" t="s">
        <v>11</v>
      </c>
      <c r="F202">
        <v>3</v>
      </c>
      <c r="G202" s="3">
        <v>43.84</v>
      </c>
      <c r="H202" s="4">
        <v>0.2</v>
      </c>
      <c r="I202" t="b">
        <v>0</v>
      </c>
      <c r="J202" s="3">
        <f>tblRestaurant[[#This Row],[Total Bill]]*tblRestaurant[[#This Row],[Tip %]]</f>
        <v>8.7680000000000007</v>
      </c>
      <c r="K202" s="7" t="str">
        <f>IF(tblRestaurant[[#This Row],[Cash]]=TRUE,"Cash","Card")</f>
        <v>Card</v>
      </c>
      <c r="L202" s="7" t="str">
        <f>IF(tblRestaurant[[#This Row],[Total Bill]]&lt;20,"Low",IF(tblRestaurant[[#This Row],[Total Bill]]&lt;50,"Medium","High"))</f>
        <v>Medium</v>
      </c>
      <c r="M202" s="7" t="str">
        <f>IF(tblRestaurant[[#This Row],[Party Size]]&lt;=2,"Small",IF(tblRestaurant[[#This Row],[Party Size]]&lt;=4,"Medium","Large"))</f>
        <v>Medium</v>
      </c>
      <c r="N202" t="str">
        <f>TEXT(tblRestaurant[[#This Row],[Date]],"mmmm")</f>
        <v>January</v>
      </c>
      <c r="O202" s="12">
        <f>WEEKNUM(tblRestaurant[[#This Row],[Date]])</f>
        <v>3</v>
      </c>
      <c r="P202" s="7" t="str">
        <f>IF(OR(tblRestaurant[[#This Row],[Day]]="Sat",tblRestaurant[[#This Row],[Day]]="Sun"),"Weekend","Weekday")</f>
        <v>Weekday</v>
      </c>
      <c r="Q202" s="7" t="str">
        <f>IF(OR(tblRestaurant[[#This Row],[Day]]="Fri",tblRestaurant[[#This Row],[Day]]="Thu"),"Weekday","Weekend")</f>
        <v>Weekday</v>
      </c>
      <c r="R202" s="7" t="str">
        <f>IF(tblRestaurant[[#This Row],[Total Bill]]&lt;25,"Bronze",IF(tblRestaurant[[#This Row],[Total Bill]]&lt;50,"Silver",IF(tblRestaurant[[#This Row],[Total Bill]]&lt;75,"Gold","Platinum")))</f>
        <v>Silver</v>
      </c>
      <c r="S202" s="7" cm="1">
        <f t="array" ref="S202">_xlfn.SWITCH(tblRestaurant[[#This Row],[Revenue Tier]],"Bronze",1,"Silver",2,"Gold",3,"Platinum",4)</f>
        <v>2</v>
      </c>
      <c r="T202" s="13">
        <f>AVERAGE(tblRestaurant[[#This Row],[Total Bill]],tblRestaurant[[#This Row],[Party Size]])</f>
        <v>23.42</v>
      </c>
    </row>
    <row r="203" spans="1:20" ht="20.100000000000001" customHeight="1">
      <c r="A203">
        <v>202</v>
      </c>
      <c r="B203" s="2">
        <v>45673</v>
      </c>
      <c r="C203" t="s">
        <v>9</v>
      </c>
      <c r="D203" t="s">
        <v>10</v>
      </c>
      <c r="E203" t="s">
        <v>12</v>
      </c>
      <c r="F203">
        <v>2</v>
      </c>
      <c r="G203" s="3">
        <v>14.37</v>
      </c>
      <c r="H203" s="4">
        <v>0.18</v>
      </c>
      <c r="I203" t="b">
        <v>0</v>
      </c>
      <c r="J203" s="3">
        <f>tblRestaurant[[#This Row],[Total Bill]]*tblRestaurant[[#This Row],[Tip %]]</f>
        <v>2.5865999999999998</v>
      </c>
      <c r="K203" s="7" t="str">
        <f>IF(tblRestaurant[[#This Row],[Cash]]=TRUE,"Cash","Card")</f>
        <v>Card</v>
      </c>
      <c r="L203" s="7" t="str">
        <f>IF(tblRestaurant[[#This Row],[Total Bill]]&lt;20,"Low",IF(tblRestaurant[[#This Row],[Total Bill]]&lt;50,"Medium","High"))</f>
        <v>Low</v>
      </c>
      <c r="M203" s="7" t="str">
        <f>IF(tblRestaurant[[#This Row],[Party Size]]&lt;=2,"Small",IF(tblRestaurant[[#This Row],[Party Size]]&lt;=4,"Medium","Large"))</f>
        <v>Small</v>
      </c>
      <c r="N203" t="str">
        <f>TEXT(tblRestaurant[[#This Row],[Date]],"mmmm")</f>
        <v>January</v>
      </c>
      <c r="O203" s="12">
        <f>WEEKNUM(tblRestaurant[[#This Row],[Date]])</f>
        <v>3</v>
      </c>
      <c r="P203" s="7" t="str">
        <f>IF(OR(tblRestaurant[[#This Row],[Day]]="Sat",tblRestaurant[[#This Row],[Day]]="Sun"),"Weekend","Weekday")</f>
        <v>Weekday</v>
      </c>
      <c r="Q203" s="7" t="str">
        <f>IF(OR(tblRestaurant[[#This Row],[Day]]="Fri",tblRestaurant[[#This Row],[Day]]="Thu"),"Weekday","Weekend")</f>
        <v>Weekday</v>
      </c>
      <c r="R203" s="7" t="str">
        <f>IF(tblRestaurant[[#This Row],[Total Bill]]&lt;25,"Bronze",IF(tblRestaurant[[#This Row],[Total Bill]]&lt;50,"Silver",IF(tblRestaurant[[#This Row],[Total Bill]]&lt;75,"Gold","Platinum")))</f>
        <v>Bronze</v>
      </c>
      <c r="S203" s="7" cm="1">
        <f t="array" ref="S203">_xlfn.SWITCH(tblRestaurant[[#This Row],[Revenue Tier]],"Bronze",1,"Silver",2,"Gold",3,"Platinum",4)</f>
        <v>1</v>
      </c>
      <c r="T203" s="13">
        <f>AVERAGE(tblRestaurant[[#This Row],[Total Bill]],tblRestaurant[[#This Row],[Party Size]])</f>
        <v>8.1849999999999987</v>
      </c>
    </row>
    <row r="204" spans="1:20" ht="20.100000000000001" customHeight="1">
      <c r="A204">
        <v>203</v>
      </c>
      <c r="B204" s="2">
        <v>45673</v>
      </c>
      <c r="C204" t="s">
        <v>9</v>
      </c>
      <c r="D204" t="s">
        <v>10</v>
      </c>
      <c r="E204" t="s">
        <v>14</v>
      </c>
      <c r="F204">
        <v>2</v>
      </c>
      <c r="G204" s="3">
        <v>11</v>
      </c>
      <c r="H204" s="4">
        <v>0.15</v>
      </c>
      <c r="I204" t="b">
        <v>0</v>
      </c>
      <c r="J204" s="3">
        <f>tblRestaurant[[#This Row],[Total Bill]]*tblRestaurant[[#This Row],[Tip %]]</f>
        <v>1.65</v>
      </c>
      <c r="K204" s="7" t="str">
        <f>IF(tblRestaurant[[#This Row],[Cash]]=TRUE,"Cash","Card")</f>
        <v>Card</v>
      </c>
      <c r="L204" s="7" t="str">
        <f>IF(tblRestaurant[[#This Row],[Total Bill]]&lt;20,"Low",IF(tblRestaurant[[#This Row],[Total Bill]]&lt;50,"Medium","High"))</f>
        <v>Low</v>
      </c>
      <c r="M204" s="7" t="str">
        <f>IF(tblRestaurant[[#This Row],[Party Size]]&lt;=2,"Small",IF(tblRestaurant[[#This Row],[Party Size]]&lt;=4,"Medium","Large"))</f>
        <v>Small</v>
      </c>
      <c r="N204" t="str">
        <f>TEXT(tblRestaurant[[#This Row],[Date]],"mmmm")</f>
        <v>January</v>
      </c>
      <c r="O204" s="12">
        <f>WEEKNUM(tblRestaurant[[#This Row],[Date]])</f>
        <v>3</v>
      </c>
      <c r="P204" s="7" t="str">
        <f>IF(OR(tblRestaurant[[#This Row],[Day]]="Sat",tblRestaurant[[#This Row],[Day]]="Sun"),"Weekend","Weekday")</f>
        <v>Weekday</v>
      </c>
      <c r="Q204" s="7" t="str">
        <f>IF(OR(tblRestaurant[[#This Row],[Day]]="Fri",tblRestaurant[[#This Row],[Day]]="Thu"),"Weekday","Weekend")</f>
        <v>Weekday</v>
      </c>
      <c r="R204" s="7" t="str">
        <f>IF(tblRestaurant[[#This Row],[Total Bill]]&lt;25,"Bronze",IF(tblRestaurant[[#This Row],[Total Bill]]&lt;50,"Silver",IF(tblRestaurant[[#This Row],[Total Bill]]&lt;75,"Gold","Platinum")))</f>
        <v>Bronze</v>
      </c>
      <c r="S204" s="7" cm="1">
        <f t="array" ref="S204">_xlfn.SWITCH(tblRestaurant[[#This Row],[Revenue Tier]],"Bronze",1,"Silver",2,"Gold",3,"Platinum",4)</f>
        <v>1</v>
      </c>
      <c r="T204" s="13">
        <f>AVERAGE(tblRestaurant[[#This Row],[Total Bill]],tblRestaurant[[#This Row],[Party Size]])</f>
        <v>6.5</v>
      </c>
    </row>
    <row r="205" spans="1:20" ht="20.100000000000001" customHeight="1">
      <c r="A205">
        <v>204</v>
      </c>
      <c r="B205" s="2">
        <v>45673</v>
      </c>
      <c r="C205" t="s">
        <v>9</v>
      </c>
      <c r="D205" t="s">
        <v>10</v>
      </c>
      <c r="E205" t="s">
        <v>14</v>
      </c>
      <c r="F205">
        <v>2</v>
      </c>
      <c r="G205" s="3">
        <v>28.04</v>
      </c>
      <c r="H205" s="4">
        <v>0.18</v>
      </c>
      <c r="I205" t="b">
        <v>0</v>
      </c>
      <c r="J205" s="3">
        <f>tblRestaurant[[#This Row],[Total Bill]]*tblRestaurant[[#This Row],[Tip %]]</f>
        <v>5.0471999999999992</v>
      </c>
      <c r="K205" s="7" t="str">
        <f>IF(tblRestaurant[[#This Row],[Cash]]=TRUE,"Cash","Card")</f>
        <v>Card</v>
      </c>
      <c r="L205" s="7" t="str">
        <f>IF(tblRestaurant[[#This Row],[Total Bill]]&lt;20,"Low",IF(tblRestaurant[[#This Row],[Total Bill]]&lt;50,"Medium","High"))</f>
        <v>Medium</v>
      </c>
      <c r="M205" s="7" t="str">
        <f>IF(tblRestaurant[[#This Row],[Party Size]]&lt;=2,"Small",IF(tblRestaurant[[#This Row],[Party Size]]&lt;=4,"Medium","Large"))</f>
        <v>Small</v>
      </c>
      <c r="N205" t="str">
        <f>TEXT(tblRestaurant[[#This Row],[Date]],"mmmm")</f>
        <v>January</v>
      </c>
      <c r="O205" s="12">
        <f>WEEKNUM(tblRestaurant[[#This Row],[Date]])</f>
        <v>3</v>
      </c>
      <c r="P205" s="7" t="str">
        <f>IF(OR(tblRestaurant[[#This Row],[Day]]="Sat",tblRestaurant[[#This Row],[Day]]="Sun"),"Weekend","Weekday")</f>
        <v>Weekday</v>
      </c>
      <c r="Q205" s="7" t="str">
        <f>IF(OR(tblRestaurant[[#This Row],[Day]]="Fri",tblRestaurant[[#This Row],[Day]]="Thu"),"Weekday","Weekend")</f>
        <v>Weekday</v>
      </c>
      <c r="R205" s="7" t="str">
        <f>IF(tblRestaurant[[#This Row],[Total Bill]]&lt;25,"Bronze",IF(tblRestaurant[[#This Row],[Total Bill]]&lt;50,"Silver",IF(tblRestaurant[[#This Row],[Total Bill]]&lt;75,"Gold","Platinum")))</f>
        <v>Silver</v>
      </c>
      <c r="S205" s="7" cm="1">
        <f t="array" ref="S205">_xlfn.SWITCH(tblRestaurant[[#This Row],[Revenue Tier]],"Bronze",1,"Silver",2,"Gold",3,"Platinum",4)</f>
        <v>2</v>
      </c>
      <c r="T205" s="13">
        <f>AVERAGE(tblRestaurant[[#This Row],[Total Bill]],tblRestaurant[[#This Row],[Party Size]])</f>
        <v>15.02</v>
      </c>
    </row>
    <row r="206" spans="1:20" ht="20.100000000000001" customHeight="1">
      <c r="A206">
        <v>205</v>
      </c>
      <c r="B206" s="2">
        <v>45673</v>
      </c>
      <c r="C206" t="s">
        <v>9</v>
      </c>
      <c r="D206" t="s">
        <v>10</v>
      </c>
      <c r="E206" t="s">
        <v>13</v>
      </c>
      <c r="F206">
        <v>4</v>
      </c>
      <c r="G206" s="3">
        <v>76.37</v>
      </c>
      <c r="H206" s="4">
        <v>0.18</v>
      </c>
      <c r="I206" t="b">
        <v>1</v>
      </c>
      <c r="J206" s="3">
        <f>tblRestaurant[[#This Row],[Total Bill]]*tblRestaurant[[#This Row],[Tip %]]</f>
        <v>13.746600000000001</v>
      </c>
      <c r="K206" s="7" t="str">
        <f>IF(tblRestaurant[[#This Row],[Cash]]=TRUE,"Cash","Card")</f>
        <v>Cash</v>
      </c>
      <c r="L206" s="7" t="str">
        <f>IF(tblRestaurant[[#This Row],[Total Bill]]&lt;20,"Low",IF(tblRestaurant[[#This Row],[Total Bill]]&lt;50,"Medium","High"))</f>
        <v>High</v>
      </c>
      <c r="M206" s="7" t="str">
        <f>IF(tblRestaurant[[#This Row],[Party Size]]&lt;=2,"Small",IF(tblRestaurant[[#This Row],[Party Size]]&lt;=4,"Medium","Large"))</f>
        <v>Medium</v>
      </c>
      <c r="N206" t="str">
        <f>TEXT(tblRestaurant[[#This Row],[Date]],"mmmm")</f>
        <v>January</v>
      </c>
      <c r="O206" s="12">
        <f>WEEKNUM(tblRestaurant[[#This Row],[Date]])</f>
        <v>3</v>
      </c>
      <c r="P206" s="7" t="str">
        <f>IF(OR(tblRestaurant[[#This Row],[Day]]="Sat",tblRestaurant[[#This Row],[Day]]="Sun"),"Weekend","Weekday")</f>
        <v>Weekday</v>
      </c>
      <c r="Q206" s="7" t="str">
        <f>IF(OR(tblRestaurant[[#This Row],[Day]]="Fri",tblRestaurant[[#This Row],[Day]]="Thu"),"Weekday","Weekend")</f>
        <v>Weekday</v>
      </c>
      <c r="R206" s="7" t="str">
        <f>IF(tblRestaurant[[#This Row],[Total Bill]]&lt;25,"Bronze",IF(tblRestaurant[[#This Row],[Total Bill]]&lt;50,"Silver",IF(tblRestaurant[[#This Row],[Total Bill]]&lt;75,"Gold","Platinum")))</f>
        <v>Platinum</v>
      </c>
      <c r="S206" s="7" cm="1">
        <f t="array" ref="S206">_xlfn.SWITCH(tblRestaurant[[#This Row],[Revenue Tier]],"Bronze",1,"Silver",2,"Gold",3,"Platinum",4)</f>
        <v>4</v>
      </c>
      <c r="T206" s="13">
        <f>AVERAGE(tblRestaurant[[#This Row],[Total Bill]],tblRestaurant[[#This Row],[Party Size]])</f>
        <v>40.185000000000002</v>
      </c>
    </row>
    <row r="207" spans="1:20" ht="20.100000000000001" customHeight="1">
      <c r="A207">
        <v>206</v>
      </c>
      <c r="B207" s="2">
        <v>45673</v>
      </c>
      <c r="C207" t="s">
        <v>9</v>
      </c>
      <c r="D207" t="s">
        <v>10</v>
      </c>
      <c r="E207" t="s">
        <v>12</v>
      </c>
      <c r="F207">
        <v>3</v>
      </c>
      <c r="G207" s="3">
        <v>29</v>
      </c>
      <c r="H207" s="4">
        <v>0.25</v>
      </c>
      <c r="I207" t="b">
        <v>0</v>
      </c>
      <c r="J207" s="3">
        <f>tblRestaurant[[#This Row],[Total Bill]]*tblRestaurant[[#This Row],[Tip %]]</f>
        <v>7.25</v>
      </c>
      <c r="K207" s="7" t="str">
        <f>IF(tblRestaurant[[#This Row],[Cash]]=TRUE,"Cash","Card")</f>
        <v>Card</v>
      </c>
      <c r="L207" s="7" t="str">
        <f>IF(tblRestaurant[[#This Row],[Total Bill]]&lt;20,"Low",IF(tblRestaurant[[#This Row],[Total Bill]]&lt;50,"Medium","High"))</f>
        <v>Medium</v>
      </c>
      <c r="M207" s="7" t="str">
        <f>IF(tblRestaurant[[#This Row],[Party Size]]&lt;=2,"Small",IF(tblRestaurant[[#This Row],[Party Size]]&lt;=4,"Medium","Large"))</f>
        <v>Medium</v>
      </c>
      <c r="N207" t="str">
        <f>TEXT(tblRestaurant[[#This Row],[Date]],"mmmm")</f>
        <v>January</v>
      </c>
      <c r="O207" s="12">
        <f>WEEKNUM(tblRestaurant[[#This Row],[Date]])</f>
        <v>3</v>
      </c>
      <c r="P207" s="7" t="str">
        <f>IF(OR(tblRestaurant[[#This Row],[Day]]="Sat",tblRestaurant[[#This Row],[Day]]="Sun"),"Weekend","Weekday")</f>
        <v>Weekday</v>
      </c>
      <c r="Q207" s="7" t="str">
        <f>IF(OR(tblRestaurant[[#This Row],[Day]]="Fri",tblRestaurant[[#This Row],[Day]]="Thu"),"Weekday","Weekend")</f>
        <v>Weekday</v>
      </c>
      <c r="R207" s="7" t="str">
        <f>IF(tblRestaurant[[#This Row],[Total Bill]]&lt;25,"Bronze",IF(tblRestaurant[[#This Row],[Total Bill]]&lt;50,"Silver",IF(tblRestaurant[[#This Row],[Total Bill]]&lt;75,"Gold","Platinum")))</f>
        <v>Silver</v>
      </c>
      <c r="S207" s="7" cm="1">
        <f t="array" ref="S207">_xlfn.SWITCH(tblRestaurant[[#This Row],[Revenue Tier]],"Bronze",1,"Silver",2,"Gold",3,"Platinum",4)</f>
        <v>2</v>
      </c>
      <c r="T207" s="13">
        <f>AVERAGE(tblRestaurant[[#This Row],[Total Bill]],tblRestaurant[[#This Row],[Party Size]])</f>
        <v>16</v>
      </c>
    </row>
    <row r="208" spans="1:20" ht="20.100000000000001" customHeight="1">
      <c r="A208">
        <v>207</v>
      </c>
      <c r="B208" s="2">
        <v>45674</v>
      </c>
      <c r="C208" t="s">
        <v>15</v>
      </c>
      <c r="D208" t="s">
        <v>10</v>
      </c>
      <c r="E208" t="s">
        <v>14</v>
      </c>
      <c r="F208">
        <v>3</v>
      </c>
      <c r="G208" s="3">
        <v>50.15</v>
      </c>
      <c r="H208" s="4">
        <v>0.18</v>
      </c>
      <c r="I208" t="b">
        <v>0</v>
      </c>
      <c r="J208" s="3">
        <f>tblRestaurant[[#This Row],[Total Bill]]*tblRestaurant[[#This Row],[Tip %]]</f>
        <v>9.0269999999999992</v>
      </c>
      <c r="K208" s="7" t="str">
        <f>IF(tblRestaurant[[#This Row],[Cash]]=TRUE,"Cash","Card")</f>
        <v>Card</v>
      </c>
      <c r="L208" s="7" t="str">
        <f>IF(tblRestaurant[[#This Row],[Total Bill]]&lt;20,"Low",IF(tblRestaurant[[#This Row],[Total Bill]]&lt;50,"Medium","High"))</f>
        <v>High</v>
      </c>
      <c r="M208" s="7" t="str">
        <f>IF(tblRestaurant[[#This Row],[Party Size]]&lt;=2,"Small",IF(tblRestaurant[[#This Row],[Party Size]]&lt;=4,"Medium","Large"))</f>
        <v>Medium</v>
      </c>
      <c r="N208" t="str">
        <f>TEXT(tblRestaurant[[#This Row],[Date]],"mmmm")</f>
        <v>January</v>
      </c>
      <c r="O208" s="12">
        <f>WEEKNUM(tblRestaurant[[#This Row],[Date]])</f>
        <v>3</v>
      </c>
      <c r="P208" s="7" t="str">
        <f>IF(OR(tblRestaurant[[#This Row],[Day]]="Sat",tblRestaurant[[#This Row],[Day]]="Sun"),"Weekend","Weekday")</f>
        <v>Weekday</v>
      </c>
      <c r="Q208" s="7" t="str">
        <f>IF(OR(tblRestaurant[[#This Row],[Day]]="Fri",tblRestaurant[[#This Row],[Day]]="Thu"),"Weekday","Weekend")</f>
        <v>Weekday</v>
      </c>
      <c r="R208" s="7" t="str">
        <f>IF(tblRestaurant[[#This Row],[Total Bill]]&lt;25,"Bronze",IF(tblRestaurant[[#This Row],[Total Bill]]&lt;50,"Silver",IF(tblRestaurant[[#This Row],[Total Bill]]&lt;75,"Gold","Platinum")))</f>
        <v>Gold</v>
      </c>
      <c r="S208" s="7" cm="1">
        <f t="array" ref="S208">_xlfn.SWITCH(tblRestaurant[[#This Row],[Revenue Tier]],"Bronze",1,"Silver",2,"Gold",3,"Platinum",4)</f>
        <v>3</v>
      </c>
      <c r="T208" s="13">
        <f>AVERAGE(tblRestaurant[[#This Row],[Total Bill]],tblRestaurant[[#This Row],[Party Size]])</f>
        <v>26.574999999999999</v>
      </c>
    </row>
    <row r="209" spans="1:20" ht="20.100000000000001" customHeight="1">
      <c r="A209">
        <v>208</v>
      </c>
      <c r="B209" s="2">
        <v>45674</v>
      </c>
      <c r="C209" t="s">
        <v>15</v>
      </c>
      <c r="D209" t="s">
        <v>10</v>
      </c>
      <c r="E209" t="s">
        <v>12</v>
      </c>
      <c r="F209">
        <v>4</v>
      </c>
      <c r="G209" s="3">
        <v>32.380000000000003</v>
      </c>
      <c r="H209" s="4">
        <v>0.15</v>
      </c>
      <c r="I209" t="b">
        <v>1</v>
      </c>
      <c r="J209" s="3">
        <f>tblRestaurant[[#This Row],[Total Bill]]*tblRestaurant[[#This Row],[Tip %]]</f>
        <v>4.8570000000000002</v>
      </c>
      <c r="K209" s="7" t="str">
        <f>IF(tblRestaurant[[#This Row],[Cash]]=TRUE,"Cash","Card")</f>
        <v>Cash</v>
      </c>
      <c r="L209" s="7" t="str">
        <f>IF(tblRestaurant[[#This Row],[Total Bill]]&lt;20,"Low",IF(tblRestaurant[[#This Row],[Total Bill]]&lt;50,"Medium","High"))</f>
        <v>Medium</v>
      </c>
      <c r="M209" s="7" t="str">
        <f>IF(tblRestaurant[[#This Row],[Party Size]]&lt;=2,"Small",IF(tblRestaurant[[#This Row],[Party Size]]&lt;=4,"Medium","Large"))</f>
        <v>Medium</v>
      </c>
      <c r="N209" t="str">
        <f>TEXT(tblRestaurant[[#This Row],[Date]],"mmmm")</f>
        <v>January</v>
      </c>
      <c r="O209" s="12">
        <f>WEEKNUM(tblRestaurant[[#This Row],[Date]])</f>
        <v>3</v>
      </c>
      <c r="P209" s="7" t="str">
        <f>IF(OR(tblRestaurant[[#This Row],[Day]]="Sat",tblRestaurant[[#This Row],[Day]]="Sun"),"Weekend","Weekday")</f>
        <v>Weekday</v>
      </c>
      <c r="Q209" s="7" t="str">
        <f>IF(OR(tblRestaurant[[#This Row],[Day]]="Fri",tblRestaurant[[#This Row],[Day]]="Thu"),"Weekday","Weekend")</f>
        <v>Weekday</v>
      </c>
      <c r="R209" s="7" t="str">
        <f>IF(tblRestaurant[[#This Row],[Total Bill]]&lt;25,"Bronze",IF(tblRestaurant[[#This Row],[Total Bill]]&lt;50,"Silver",IF(tblRestaurant[[#This Row],[Total Bill]]&lt;75,"Gold","Platinum")))</f>
        <v>Silver</v>
      </c>
      <c r="S209" s="7" cm="1">
        <f t="array" ref="S209">_xlfn.SWITCH(tblRestaurant[[#This Row],[Revenue Tier]],"Bronze",1,"Silver",2,"Gold",3,"Platinum",4)</f>
        <v>2</v>
      </c>
      <c r="T209" s="13">
        <f>AVERAGE(tblRestaurant[[#This Row],[Total Bill]],tblRestaurant[[#This Row],[Party Size]])</f>
        <v>18.190000000000001</v>
      </c>
    </row>
    <row r="210" spans="1:20" ht="20.100000000000001" customHeight="1">
      <c r="A210">
        <v>209</v>
      </c>
      <c r="B210" s="2">
        <v>45674</v>
      </c>
      <c r="C210" t="s">
        <v>15</v>
      </c>
      <c r="D210" t="s">
        <v>10</v>
      </c>
      <c r="E210" t="s">
        <v>14</v>
      </c>
      <c r="F210">
        <v>2</v>
      </c>
      <c r="G210" s="3">
        <v>39.950000000000003</v>
      </c>
      <c r="H210" s="4">
        <v>0.15</v>
      </c>
      <c r="I210" t="b">
        <v>0</v>
      </c>
      <c r="J210" s="3">
        <f>tblRestaurant[[#This Row],[Total Bill]]*tblRestaurant[[#This Row],[Tip %]]</f>
        <v>5.9925000000000006</v>
      </c>
      <c r="K210" s="7" t="str">
        <f>IF(tblRestaurant[[#This Row],[Cash]]=TRUE,"Cash","Card")</f>
        <v>Card</v>
      </c>
      <c r="L210" s="7" t="str">
        <f>IF(tblRestaurant[[#This Row],[Total Bill]]&lt;20,"Low",IF(tblRestaurant[[#This Row],[Total Bill]]&lt;50,"Medium","High"))</f>
        <v>Medium</v>
      </c>
      <c r="M210" s="7" t="str">
        <f>IF(tblRestaurant[[#This Row],[Party Size]]&lt;=2,"Small",IF(tblRestaurant[[#This Row],[Party Size]]&lt;=4,"Medium","Large"))</f>
        <v>Small</v>
      </c>
      <c r="N210" t="str">
        <f>TEXT(tblRestaurant[[#This Row],[Date]],"mmmm")</f>
        <v>January</v>
      </c>
      <c r="O210" s="12">
        <f>WEEKNUM(tblRestaurant[[#This Row],[Date]])</f>
        <v>3</v>
      </c>
      <c r="P210" s="7" t="str">
        <f>IF(OR(tblRestaurant[[#This Row],[Day]]="Sat",tblRestaurant[[#This Row],[Day]]="Sun"),"Weekend","Weekday")</f>
        <v>Weekday</v>
      </c>
      <c r="Q210" s="7" t="str">
        <f>IF(OR(tblRestaurant[[#This Row],[Day]]="Fri",tblRestaurant[[#This Row],[Day]]="Thu"),"Weekday","Weekend")</f>
        <v>Weekday</v>
      </c>
      <c r="R210" s="7" t="str">
        <f>IF(tblRestaurant[[#This Row],[Total Bill]]&lt;25,"Bronze",IF(tblRestaurant[[#This Row],[Total Bill]]&lt;50,"Silver",IF(tblRestaurant[[#This Row],[Total Bill]]&lt;75,"Gold","Platinum")))</f>
        <v>Silver</v>
      </c>
      <c r="S210" s="7" cm="1">
        <f t="array" ref="S210">_xlfn.SWITCH(tblRestaurant[[#This Row],[Revenue Tier]],"Bronze",1,"Silver",2,"Gold",3,"Platinum",4)</f>
        <v>2</v>
      </c>
      <c r="T210" s="13">
        <f>AVERAGE(tblRestaurant[[#This Row],[Total Bill]],tblRestaurant[[#This Row],[Party Size]])</f>
        <v>20.975000000000001</v>
      </c>
    </row>
    <row r="211" spans="1:20" ht="20.100000000000001" customHeight="1">
      <c r="A211">
        <v>210</v>
      </c>
      <c r="B211" s="2">
        <v>45674</v>
      </c>
      <c r="C211" t="s">
        <v>15</v>
      </c>
      <c r="D211" t="s">
        <v>10</v>
      </c>
      <c r="E211" t="s">
        <v>13</v>
      </c>
      <c r="F211">
        <v>2</v>
      </c>
      <c r="G211" s="3">
        <v>38.33</v>
      </c>
      <c r="H211" s="4">
        <v>0.2</v>
      </c>
      <c r="I211" t="b">
        <v>0</v>
      </c>
      <c r="J211" s="3">
        <f>tblRestaurant[[#This Row],[Total Bill]]*tblRestaurant[[#This Row],[Tip %]]</f>
        <v>7.6660000000000004</v>
      </c>
      <c r="K211" s="7" t="str">
        <f>IF(tblRestaurant[[#This Row],[Cash]]=TRUE,"Cash","Card")</f>
        <v>Card</v>
      </c>
      <c r="L211" s="7" t="str">
        <f>IF(tblRestaurant[[#This Row],[Total Bill]]&lt;20,"Low",IF(tblRestaurant[[#This Row],[Total Bill]]&lt;50,"Medium","High"))</f>
        <v>Medium</v>
      </c>
      <c r="M211" s="7" t="str">
        <f>IF(tblRestaurant[[#This Row],[Party Size]]&lt;=2,"Small",IF(tblRestaurant[[#This Row],[Party Size]]&lt;=4,"Medium","Large"))</f>
        <v>Small</v>
      </c>
      <c r="N211" t="str">
        <f>TEXT(tblRestaurant[[#This Row],[Date]],"mmmm")</f>
        <v>January</v>
      </c>
      <c r="O211" s="12">
        <f>WEEKNUM(tblRestaurant[[#This Row],[Date]])</f>
        <v>3</v>
      </c>
      <c r="P211" s="7" t="str">
        <f>IF(OR(tblRestaurant[[#This Row],[Day]]="Sat",tblRestaurant[[#This Row],[Day]]="Sun"),"Weekend","Weekday")</f>
        <v>Weekday</v>
      </c>
      <c r="Q211" s="7" t="str">
        <f>IF(OR(tblRestaurant[[#This Row],[Day]]="Fri",tblRestaurant[[#This Row],[Day]]="Thu"),"Weekday","Weekend")</f>
        <v>Weekday</v>
      </c>
      <c r="R211" s="7" t="str">
        <f>IF(tblRestaurant[[#This Row],[Total Bill]]&lt;25,"Bronze",IF(tblRestaurant[[#This Row],[Total Bill]]&lt;50,"Silver",IF(tblRestaurant[[#This Row],[Total Bill]]&lt;75,"Gold","Platinum")))</f>
        <v>Silver</v>
      </c>
      <c r="S211" s="7" cm="1">
        <f t="array" ref="S211">_xlfn.SWITCH(tblRestaurant[[#This Row],[Revenue Tier]],"Bronze",1,"Silver",2,"Gold",3,"Platinum",4)</f>
        <v>2</v>
      </c>
      <c r="T211" s="13">
        <f>AVERAGE(tblRestaurant[[#This Row],[Total Bill]],tblRestaurant[[#This Row],[Party Size]])</f>
        <v>20.164999999999999</v>
      </c>
    </row>
    <row r="212" spans="1:20" ht="20.100000000000001" customHeight="1">
      <c r="A212">
        <v>211</v>
      </c>
      <c r="B212" s="2">
        <v>45674</v>
      </c>
      <c r="C212" t="s">
        <v>15</v>
      </c>
      <c r="D212" t="s">
        <v>10</v>
      </c>
      <c r="E212" t="s">
        <v>11</v>
      </c>
      <c r="F212">
        <v>3</v>
      </c>
      <c r="G212" s="3">
        <v>55.08</v>
      </c>
      <c r="H212" s="4">
        <v>0.2</v>
      </c>
      <c r="I212" t="b">
        <v>1</v>
      </c>
      <c r="J212" s="3">
        <f>tblRestaurant[[#This Row],[Total Bill]]*tblRestaurant[[#This Row],[Tip %]]</f>
        <v>11.016</v>
      </c>
      <c r="K212" s="7" t="str">
        <f>IF(tblRestaurant[[#This Row],[Cash]]=TRUE,"Cash","Card")</f>
        <v>Cash</v>
      </c>
      <c r="L212" s="7" t="str">
        <f>IF(tblRestaurant[[#This Row],[Total Bill]]&lt;20,"Low",IF(tblRestaurant[[#This Row],[Total Bill]]&lt;50,"Medium","High"))</f>
        <v>High</v>
      </c>
      <c r="M212" s="7" t="str">
        <f>IF(tblRestaurant[[#This Row],[Party Size]]&lt;=2,"Small",IF(tblRestaurant[[#This Row],[Party Size]]&lt;=4,"Medium","Large"))</f>
        <v>Medium</v>
      </c>
      <c r="N212" t="str">
        <f>TEXT(tblRestaurant[[#This Row],[Date]],"mmmm")</f>
        <v>January</v>
      </c>
      <c r="O212" s="12">
        <f>WEEKNUM(tblRestaurant[[#This Row],[Date]])</f>
        <v>3</v>
      </c>
      <c r="P212" s="7" t="str">
        <f>IF(OR(tblRestaurant[[#This Row],[Day]]="Sat",tblRestaurant[[#This Row],[Day]]="Sun"),"Weekend","Weekday")</f>
        <v>Weekday</v>
      </c>
      <c r="Q212" s="7" t="str">
        <f>IF(OR(tblRestaurant[[#This Row],[Day]]="Fri",tblRestaurant[[#This Row],[Day]]="Thu"),"Weekday","Weekend")</f>
        <v>Weekday</v>
      </c>
      <c r="R212" s="7" t="str">
        <f>IF(tblRestaurant[[#This Row],[Total Bill]]&lt;25,"Bronze",IF(tblRestaurant[[#This Row],[Total Bill]]&lt;50,"Silver",IF(tblRestaurant[[#This Row],[Total Bill]]&lt;75,"Gold","Platinum")))</f>
        <v>Gold</v>
      </c>
      <c r="S212" s="7" cm="1">
        <f t="array" ref="S212">_xlfn.SWITCH(tblRestaurant[[#This Row],[Revenue Tier]],"Bronze",1,"Silver",2,"Gold",3,"Platinum",4)</f>
        <v>3</v>
      </c>
      <c r="T212" s="13">
        <f>AVERAGE(tblRestaurant[[#This Row],[Total Bill]],tblRestaurant[[#This Row],[Party Size]])</f>
        <v>29.04</v>
      </c>
    </row>
    <row r="213" spans="1:20" ht="20.100000000000001" customHeight="1">
      <c r="A213">
        <v>212</v>
      </c>
      <c r="B213" s="2">
        <v>45674</v>
      </c>
      <c r="C213" t="s">
        <v>15</v>
      </c>
      <c r="D213" t="s">
        <v>10</v>
      </c>
      <c r="E213" t="s">
        <v>12</v>
      </c>
      <c r="F213">
        <v>4</v>
      </c>
      <c r="G213" s="3">
        <v>31.84</v>
      </c>
      <c r="H213" s="4">
        <v>0.2</v>
      </c>
      <c r="I213" t="b">
        <v>0</v>
      </c>
      <c r="J213" s="3">
        <f>tblRestaurant[[#This Row],[Total Bill]]*tblRestaurant[[#This Row],[Tip %]]</f>
        <v>6.3680000000000003</v>
      </c>
      <c r="K213" s="7" t="str">
        <f>IF(tblRestaurant[[#This Row],[Cash]]=TRUE,"Cash","Card")</f>
        <v>Card</v>
      </c>
      <c r="L213" s="7" t="str">
        <f>IF(tblRestaurant[[#This Row],[Total Bill]]&lt;20,"Low",IF(tblRestaurant[[#This Row],[Total Bill]]&lt;50,"Medium","High"))</f>
        <v>Medium</v>
      </c>
      <c r="M213" s="7" t="str">
        <f>IF(tblRestaurant[[#This Row],[Party Size]]&lt;=2,"Small",IF(tblRestaurant[[#This Row],[Party Size]]&lt;=4,"Medium","Large"))</f>
        <v>Medium</v>
      </c>
      <c r="N213" t="str">
        <f>TEXT(tblRestaurant[[#This Row],[Date]],"mmmm")</f>
        <v>January</v>
      </c>
      <c r="O213" s="12">
        <f>WEEKNUM(tblRestaurant[[#This Row],[Date]])</f>
        <v>3</v>
      </c>
      <c r="P213" s="7" t="str">
        <f>IF(OR(tblRestaurant[[#This Row],[Day]]="Sat",tblRestaurant[[#This Row],[Day]]="Sun"),"Weekend","Weekday")</f>
        <v>Weekday</v>
      </c>
      <c r="Q213" s="7" t="str">
        <f>IF(OR(tblRestaurant[[#This Row],[Day]]="Fri",tblRestaurant[[#This Row],[Day]]="Thu"),"Weekday","Weekend")</f>
        <v>Weekday</v>
      </c>
      <c r="R213" s="7" t="str">
        <f>IF(tblRestaurant[[#This Row],[Total Bill]]&lt;25,"Bronze",IF(tblRestaurant[[#This Row],[Total Bill]]&lt;50,"Silver",IF(tblRestaurant[[#This Row],[Total Bill]]&lt;75,"Gold","Platinum")))</f>
        <v>Silver</v>
      </c>
      <c r="S213" s="7" cm="1">
        <f t="array" ref="S213">_xlfn.SWITCH(tblRestaurant[[#This Row],[Revenue Tier]],"Bronze",1,"Silver",2,"Gold",3,"Platinum",4)</f>
        <v>2</v>
      </c>
      <c r="T213" s="13">
        <f>AVERAGE(tblRestaurant[[#This Row],[Total Bill]],tblRestaurant[[#This Row],[Party Size]])</f>
        <v>17.920000000000002</v>
      </c>
    </row>
    <row r="214" spans="1:20" ht="20.100000000000001" customHeight="1">
      <c r="A214">
        <v>213</v>
      </c>
      <c r="B214" s="2">
        <v>45674</v>
      </c>
      <c r="C214" t="s">
        <v>15</v>
      </c>
      <c r="D214" t="s">
        <v>10</v>
      </c>
      <c r="E214" t="s">
        <v>13</v>
      </c>
      <c r="F214">
        <v>4</v>
      </c>
      <c r="G214" s="3">
        <v>34.64</v>
      </c>
      <c r="H214" s="4">
        <v>0.18</v>
      </c>
      <c r="I214" t="b">
        <v>0</v>
      </c>
      <c r="J214" s="3">
        <f>tblRestaurant[[#This Row],[Total Bill]]*tblRestaurant[[#This Row],[Tip %]]</f>
        <v>6.2351999999999999</v>
      </c>
      <c r="K214" s="7" t="str">
        <f>IF(tblRestaurant[[#This Row],[Cash]]=TRUE,"Cash","Card")</f>
        <v>Card</v>
      </c>
      <c r="L214" s="7" t="str">
        <f>IF(tblRestaurant[[#This Row],[Total Bill]]&lt;20,"Low",IF(tblRestaurant[[#This Row],[Total Bill]]&lt;50,"Medium","High"))</f>
        <v>Medium</v>
      </c>
      <c r="M214" s="7" t="str">
        <f>IF(tblRestaurant[[#This Row],[Party Size]]&lt;=2,"Small",IF(tblRestaurant[[#This Row],[Party Size]]&lt;=4,"Medium","Large"))</f>
        <v>Medium</v>
      </c>
      <c r="N214" t="str">
        <f>TEXT(tblRestaurant[[#This Row],[Date]],"mmmm")</f>
        <v>January</v>
      </c>
      <c r="O214" s="12">
        <f>WEEKNUM(tblRestaurant[[#This Row],[Date]])</f>
        <v>3</v>
      </c>
      <c r="P214" s="7" t="str">
        <f>IF(OR(tblRestaurant[[#This Row],[Day]]="Sat",tblRestaurant[[#This Row],[Day]]="Sun"),"Weekend","Weekday")</f>
        <v>Weekday</v>
      </c>
      <c r="Q214" s="7" t="str">
        <f>IF(OR(tblRestaurant[[#This Row],[Day]]="Fri",tblRestaurant[[#This Row],[Day]]="Thu"),"Weekday","Weekend")</f>
        <v>Weekday</v>
      </c>
      <c r="R214" s="7" t="str">
        <f>IF(tblRestaurant[[#This Row],[Total Bill]]&lt;25,"Bronze",IF(tblRestaurant[[#This Row],[Total Bill]]&lt;50,"Silver",IF(tblRestaurant[[#This Row],[Total Bill]]&lt;75,"Gold","Platinum")))</f>
        <v>Silver</v>
      </c>
      <c r="S214" s="7" cm="1">
        <f t="array" ref="S214">_xlfn.SWITCH(tblRestaurant[[#This Row],[Revenue Tier]],"Bronze",1,"Silver",2,"Gold",3,"Platinum",4)</f>
        <v>2</v>
      </c>
      <c r="T214" s="13">
        <f>AVERAGE(tblRestaurant[[#This Row],[Total Bill]],tblRestaurant[[#This Row],[Party Size]])</f>
        <v>19.32</v>
      </c>
    </row>
    <row r="215" spans="1:20" ht="20.100000000000001" customHeight="1">
      <c r="A215">
        <v>214</v>
      </c>
      <c r="B215" s="2">
        <v>45674</v>
      </c>
      <c r="C215" t="s">
        <v>15</v>
      </c>
      <c r="D215" t="s">
        <v>10</v>
      </c>
      <c r="E215" t="s">
        <v>13</v>
      </c>
      <c r="F215">
        <v>2</v>
      </c>
      <c r="G215" s="3">
        <v>22.85</v>
      </c>
      <c r="H215" s="4">
        <v>0.2</v>
      </c>
      <c r="I215" t="b">
        <v>0</v>
      </c>
      <c r="J215" s="3">
        <f>tblRestaurant[[#This Row],[Total Bill]]*tblRestaurant[[#This Row],[Tip %]]</f>
        <v>4.57</v>
      </c>
      <c r="K215" s="7" t="str">
        <f>IF(tblRestaurant[[#This Row],[Cash]]=TRUE,"Cash","Card")</f>
        <v>Card</v>
      </c>
      <c r="L215" s="7" t="str">
        <f>IF(tblRestaurant[[#This Row],[Total Bill]]&lt;20,"Low",IF(tblRestaurant[[#This Row],[Total Bill]]&lt;50,"Medium","High"))</f>
        <v>Medium</v>
      </c>
      <c r="M215" s="7" t="str">
        <f>IF(tblRestaurant[[#This Row],[Party Size]]&lt;=2,"Small",IF(tblRestaurant[[#This Row],[Party Size]]&lt;=4,"Medium","Large"))</f>
        <v>Small</v>
      </c>
      <c r="N215" t="str">
        <f>TEXT(tblRestaurant[[#This Row],[Date]],"mmmm")</f>
        <v>January</v>
      </c>
      <c r="O215" s="12">
        <f>WEEKNUM(tblRestaurant[[#This Row],[Date]])</f>
        <v>3</v>
      </c>
      <c r="P215" s="7" t="str">
        <f>IF(OR(tblRestaurant[[#This Row],[Day]]="Sat",tblRestaurant[[#This Row],[Day]]="Sun"),"Weekend","Weekday")</f>
        <v>Weekday</v>
      </c>
      <c r="Q215" s="7" t="str">
        <f>IF(OR(tblRestaurant[[#This Row],[Day]]="Fri",tblRestaurant[[#This Row],[Day]]="Thu"),"Weekday","Weekend")</f>
        <v>Weekday</v>
      </c>
      <c r="R215" s="7" t="str">
        <f>IF(tblRestaurant[[#This Row],[Total Bill]]&lt;25,"Bronze",IF(tblRestaurant[[#This Row],[Total Bill]]&lt;50,"Silver",IF(tblRestaurant[[#This Row],[Total Bill]]&lt;75,"Gold","Platinum")))</f>
        <v>Bronze</v>
      </c>
      <c r="S215" s="7" cm="1">
        <f t="array" ref="S215">_xlfn.SWITCH(tblRestaurant[[#This Row],[Revenue Tier]],"Bronze",1,"Silver",2,"Gold",3,"Platinum",4)</f>
        <v>1</v>
      </c>
      <c r="T215" s="13">
        <f>AVERAGE(tblRestaurant[[#This Row],[Total Bill]],tblRestaurant[[#This Row],[Party Size]])</f>
        <v>12.425000000000001</v>
      </c>
    </row>
    <row r="216" spans="1:20" ht="20.100000000000001" customHeight="1">
      <c r="A216">
        <v>215</v>
      </c>
      <c r="B216" s="2">
        <v>45674</v>
      </c>
      <c r="C216" t="s">
        <v>15</v>
      </c>
      <c r="D216" t="s">
        <v>10</v>
      </c>
      <c r="E216" t="s">
        <v>12</v>
      </c>
      <c r="F216">
        <v>3</v>
      </c>
      <c r="G216" s="3">
        <v>19.34</v>
      </c>
      <c r="H216" s="4">
        <v>0.15</v>
      </c>
      <c r="I216" t="b">
        <v>0</v>
      </c>
      <c r="J216" s="3">
        <f>tblRestaurant[[#This Row],[Total Bill]]*tblRestaurant[[#This Row],[Tip %]]</f>
        <v>2.9009999999999998</v>
      </c>
      <c r="K216" s="7" t="str">
        <f>IF(tblRestaurant[[#This Row],[Cash]]=TRUE,"Cash","Card")</f>
        <v>Card</v>
      </c>
      <c r="L216" s="7" t="str">
        <f>IF(tblRestaurant[[#This Row],[Total Bill]]&lt;20,"Low",IF(tblRestaurant[[#This Row],[Total Bill]]&lt;50,"Medium","High"))</f>
        <v>Low</v>
      </c>
      <c r="M216" s="7" t="str">
        <f>IF(tblRestaurant[[#This Row],[Party Size]]&lt;=2,"Small",IF(tblRestaurant[[#This Row],[Party Size]]&lt;=4,"Medium","Large"))</f>
        <v>Medium</v>
      </c>
      <c r="N216" t="str">
        <f>TEXT(tblRestaurant[[#This Row],[Date]],"mmmm")</f>
        <v>January</v>
      </c>
      <c r="O216" s="12">
        <f>WEEKNUM(tblRestaurant[[#This Row],[Date]])</f>
        <v>3</v>
      </c>
      <c r="P216" s="7" t="str">
        <f>IF(OR(tblRestaurant[[#This Row],[Day]]="Sat",tblRestaurant[[#This Row],[Day]]="Sun"),"Weekend","Weekday")</f>
        <v>Weekday</v>
      </c>
      <c r="Q216" s="7" t="str">
        <f>IF(OR(tblRestaurant[[#This Row],[Day]]="Fri",tblRestaurant[[#This Row],[Day]]="Thu"),"Weekday","Weekend")</f>
        <v>Weekday</v>
      </c>
      <c r="R216" s="7" t="str">
        <f>IF(tblRestaurant[[#This Row],[Total Bill]]&lt;25,"Bronze",IF(tblRestaurant[[#This Row],[Total Bill]]&lt;50,"Silver",IF(tblRestaurant[[#This Row],[Total Bill]]&lt;75,"Gold","Platinum")))</f>
        <v>Bronze</v>
      </c>
      <c r="S216" s="7" cm="1">
        <f t="array" ref="S216">_xlfn.SWITCH(tblRestaurant[[#This Row],[Revenue Tier]],"Bronze",1,"Silver",2,"Gold",3,"Platinum",4)</f>
        <v>1</v>
      </c>
      <c r="T216" s="13">
        <f>AVERAGE(tblRestaurant[[#This Row],[Total Bill]],tblRestaurant[[#This Row],[Party Size]])</f>
        <v>11.17</v>
      </c>
    </row>
    <row r="217" spans="1:20" ht="20.100000000000001" customHeight="1">
      <c r="A217">
        <v>216</v>
      </c>
      <c r="B217" s="2">
        <v>45674</v>
      </c>
      <c r="C217" t="s">
        <v>15</v>
      </c>
      <c r="D217" t="s">
        <v>10</v>
      </c>
      <c r="E217" t="s">
        <v>11</v>
      </c>
      <c r="F217">
        <v>2</v>
      </c>
      <c r="G217" s="3">
        <v>29.04</v>
      </c>
      <c r="H217" s="4">
        <v>0.18</v>
      </c>
      <c r="I217" t="b">
        <v>0</v>
      </c>
      <c r="J217" s="3">
        <f>tblRestaurant[[#This Row],[Total Bill]]*tblRestaurant[[#This Row],[Tip %]]</f>
        <v>5.2271999999999998</v>
      </c>
      <c r="K217" s="7" t="str">
        <f>IF(tblRestaurant[[#This Row],[Cash]]=TRUE,"Cash","Card")</f>
        <v>Card</v>
      </c>
      <c r="L217" s="7" t="str">
        <f>IF(tblRestaurant[[#This Row],[Total Bill]]&lt;20,"Low",IF(tblRestaurant[[#This Row],[Total Bill]]&lt;50,"Medium","High"))</f>
        <v>Medium</v>
      </c>
      <c r="M217" s="7" t="str">
        <f>IF(tblRestaurant[[#This Row],[Party Size]]&lt;=2,"Small",IF(tblRestaurant[[#This Row],[Party Size]]&lt;=4,"Medium","Large"))</f>
        <v>Small</v>
      </c>
      <c r="N217" t="str">
        <f>TEXT(tblRestaurant[[#This Row],[Date]],"mmmm")</f>
        <v>January</v>
      </c>
      <c r="O217" s="12">
        <f>WEEKNUM(tblRestaurant[[#This Row],[Date]])</f>
        <v>3</v>
      </c>
      <c r="P217" s="7" t="str">
        <f>IF(OR(tblRestaurant[[#This Row],[Day]]="Sat",tblRestaurant[[#This Row],[Day]]="Sun"),"Weekend","Weekday")</f>
        <v>Weekday</v>
      </c>
      <c r="Q217" s="7" t="str">
        <f>IF(OR(tblRestaurant[[#This Row],[Day]]="Fri",tblRestaurant[[#This Row],[Day]]="Thu"),"Weekday","Weekend")</f>
        <v>Weekday</v>
      </c>
      <c r="R217" s="7" t="str">
        <f>IF(tblRestaurant[[#This Row],[Total Bill]]&lt;25,"Bronze",IF(tblRestaurant[[#This Row],[Total Bill]]&lt;50,"Silver",IF(tblRestaurant[[#This Row],[Total Bill]]&lt;75,"Gold","Platinum")))</f>
        <v>Silver</v>
      </c>
      <c r="S217" s="7" cm="1">
        <f t="array" ref="S217">_xlfn.SWITCH(tblRestaurant[[#This Row],[Revenue Tier]],"Bronze",1,"Silver",2,"Gold",3,"Platinum",4)</f>
        <v>2</v>
      </c>
      <c r="T217" s="13">
        <f>AVERAGE(tblRestaurant[[#This Row],[Total Bill]],tblRestaurant[[#This Row],[Party Size]])</f>
        <v>15.52</v>
      </c>
    </row>
    <row r="218" spans="1:20" ht="20.100000000000001" customHeight="1">
      <c r="A218">
        <v>217</v>
      </c>
      <c r="B218" s="2">
        <v>45674</v>
      </c>
      <c r="C218" t="s">
        <v>15</v>
      </c>
      <c r="D218" t="s">
        <v>10</v>
      </c>
      <c r="E218" t="s">
        <v>12</v>
      </c>
      <c r="F218">
        <v>5</v>
      </c>
      <c r="G218" s="3">
        <v>80.3</v>
      </c>
      <c r="H218" s="4">
        <v>0.2</v>
      </c>
      <c r="I218" t="b">
        <v>0</v>
      </c>
      <c r="J218" s="3">
        <f>tblRestaurant[[#This Row],[Total Bill]]*tblRestaurant[[#This Row],[Tip %]]</f>
        <v>16.059999999999999</v>
      </c>
      <c r="K218" s="7" t="str">
        <f>IF(tblRestaurant[[#This Row],[Cash]]=TRUE,"Cash","Card")</f>
        <v>Card</v>
      </c>
      <c r="L218" s="7" t="str">
        <f>IF(tblRestaurant[[#This Row],[Total Bill]]&lt;20,"Low",IF(tblRestaurant[[#This Row],[Total Bill]]&lt;50,"Medium","High"))</f>
        <v>High</v>
      </c>
      <c r="M218" s="7" t="str">
        <f>IF(tblRestaurant[[#This Row],[Party Size]]&lt;=2,"Small",IF(tblRestaurant[[#This Row],[Party Size]]&lt;=4,"Medium","Large"))</f>
        <v>Large</v>
      </c>
      <c r="N218" t="str">
        <f>TEXT(tblRestaurant[[#This Row],[Date]],"mmmm")</f>
        <v>January</v>
      </c>
      <c r="O218" s="12">
        <f>WEEKNUM(tblRestaurant[[#This Row],[Date]])</f>
        <v>3</v>
      </c>
      <c r="P218" s="7" t="str">
        <f>IF(OR(tblRestaurant[[#This Row],[Day]]="Sat",tblRestaurant[[#This Row],[Day]]="Sun"),"Weekend","Weekday")</f>
        <v>Weekday</v>
      </c>
      <c r="Q218" s="7" t="str">
        <f>IF(OR(tblRestaurant[[#This Row],[Day]]="Fri",tblRestaurant[[#This Row],[Day]]="Thu"),"Weekday","Weekend")</f>
        <v>Weekday</v>
      </c>
      <c r="R218" s="7" t="str">
        <f>IF(tblRestaurant[[#This Row],[Total Bill]]&lt;25,"Bronze",IF(tblRestaurant[[#This Row],[Total Bill]]&lt;50,"Silver",IF(tblRestaurant[[#This Row],[Total Bill]]&lt;75,"Gold","Platinum")))</f>
        <v>Platinum</v>
      </c>
      <c r="S218" s="7" cm="1">
        <f t="array" ref="S218">_xlfn.SWITCH(tblRestaurant[[#This Row],[Revenue Tier]],"Bronze",1,"Silver",2,"Gold",3,"Platinum",4)</f>
        <v>4</v>
      </c>
      <c r="T218" s="13">
        <f>AVERAGE(tblRestaurant[[#This Row],[Total Bill]],tblRestaurant[[#This Row],[Party Size]])</f>
        <v>42.65</v>
      </c>
    </row>
    <row r="219" spans="1:20" ht="20.100000000000001" customHeight="1">
      <c r="A219">
        <v>218</v>
      </c>
      <c r="B219" s="2">
        <v>45674</v>
      </c>
      <c r="C219" t="s">
        <v>15</v>
      </c>
      <c r="D219" t="s">
        <v>10</v>
      </c>
      <c r="E219" t="s">
        <v>14</v>
      </c>
      <c r="F219">
        <v>2</v>
      </c>
      <c r="G219" s="3">
        <v>21.64</v>
      </c>
      <c r="H219" s="4">
        <v>0.25</v>
      </c>
      <c r="I219" t="b">
        <v>1</v>
      </c>
      <c r="J219" s="3">
        <f>tblRestaurant[[#This Row],[Total Bill]]*tblRestaurant[[#This Row],[Tip %]]</f>
        <v>5.41</v>
      </c>
      <c r="K219" s="7" t="str">
        <f>IF(tblRestaurant[[#This Row],[Cash]]=TRUE,"Cash","Card")</f>
        <v>Cash</v>
      </c>
      <c r="L219" s="7" t="str">
        <f>IF(tblRestaurant[[#This Row],[Total Bill]]&lt;20,"Low",IF(tblRestaurant[[#This Row],[Total Bill]]&lt;50,"Medium","High"))</f>
        <v>Medium</v>
      </c>
      <c r="M219" s="7" t="str">
        <f>IF(tblRestaurant[[#This Row],[Party Size]]&lt;=2,"Small",IF(tblRestaurant[[#This Row],[Party Size]]&lt;=4,"Medium","Large"))</f>
        <v>Small</v>
      </c>
      <c r="N219" t="str">
        <f>TEXT(tblRestaurant[[#This Row],[Date]],"mmmm")</f>
        <v>January</v>
      </c>
      <c r="O219" s="12">
        <f>WEEKNUM(tblRestaurant[[#This Row],[Date]])</f>
        <v>3</v>
      </c>
      <c r="P219" s="7" t="str">
        <f>IF(OR(tblRestaurant[[#This Row],[Day]]="Sat",tblRestaurant[[#This Row],[Day]]="Sun"),"Weekend","Weekday")</f>
        <v>Weekday</v>
      </c>
      <c r="Q219" s="7" t="str">
        <f>IF(OR(tblRestaurant[[#This Row],[Day]]="Fri",tblRestaurant[[#This Row],[Day]]="Thu"),"Weekday","Weekend")</f>
        <v>Weekday</v>
      </c>
      <c r="R219" s="7" t="str">
        <f>IF(tblRestaurant[[#This Row],[Total Bill]]&lt;25,"Bronze",IF(tblRestaurant[[#This Row],[Total Bill]]&lt;50,"Silver",IF(tblRestaurant[[#This Row],[Total Bill]]&lt;75,"Gold","Platinum")))</f>
        <v>Bronze</v>
      </c>
      <c r="S219" s="7" cm="1">
        <f t="array" ref="S219">_xlfn.SWITCH(tblRestaurant[[#This Row],[Revenue Tier]],"Bronze",1,"Silver",2,"Gold",3,"Platinum",4)</f>
        <v>1</v>
      </c>
      <c r="T219" s="13">
        <f>AVERAGE(tblRestaurant[[#This Row],[Total Bill]],tblRestaurant[[#This Row],[Party Size]])</f>
        <v>11.82</v>
      </c>
    </row>
    <row r="220" spans="1:20" ht="20.100000000000001" customHeight="1">
      <c r="A220">
        <v>219</v>
      </c>
      <c r="B220" s="2">
        <v>45674</v>
      </c>
      <c r="C220" t="s">
        <v>15</v>
      </c>
      <c r="D220" t="s">
        <v>10</v>
      </c>
      <c r="E220" t="s">
        <v>12</v>
      </c>
      <c r="F220">
        <v>2</v>
      </c>
      <c r="G220" s="3">
        <v>27.55</v>
      </c>
      <c r="H220" s="4">
        <v>0.25</v>
      </c>
      <c r="I220" t="b">
        <v>0</v>
      </c>
      <c r="J220" s="3">
        <f>tblRestaurant[[#This Row],[Total Bill]]*tblRestaurant[[#This Row],[Tip %]]</f>
        <v>6.8875000000000002</v>
      </c>
      <c r="K220" s="7" t="str">
        <f>IF(tblRestaurant[[#This Row],[Cash]]=TRUE,"Cash","Card")</f>
        <v>Card</v>
      </c>
      <c r="L220" s="7" t="str">
        <f>IF(tblRestaurant[[#This Row],[Total Bill]]&lt;20,"Low",IF(tblRestaurant[[#This Row],[Total Bill]]&lt;50,"Medium","High"))</f>
        <v>Medium</v>
      </c>
      <c r="M220" s="7" t="str">
        <f>IF(tblRestaurant[[#This Row],[Party Size]]&lt;=2,"Small",IF(tblRestaurant[[#This Row],[Party Size]]&lt;=4,"Medium","Large"))</f>
        <v>Small</v>
      </c>
      <c r="N220" t="str">
        <f>TEXT(tblRestaurant[[#This Row],[Date]],"mmmm")</f>
        <v>January</v>
      </c>
      <c r="O220" s="12">
        <f>WEEKNUM(tblRestaurant[[#This Row],[Date]])</f>
        <v>3</v>
      </c>
      <c r="P220" s="7" t="str">
        <f>IF(OR(tblRestaurant[[#This Row],[Day]]="Sat",tblRestaurant[[#This Row],[Day]]="Sun"),"Weekend","Weekday")</f>
        <v>Weekday</v>
      </c>
      <c r="Q220" s="7" t="str">
        <f>IF(OR(tblRestaurant[[#This Row],[Day]]="Fri",tblRestaurant[[#This Row],[Day]]="Thu"),"Weekday","Weekend")</f>
        <v>Weekday</v>
      </c>
      <c r="R220" s="7" t="str">
        <f>IF(tblRestaurant[[#This Row],[Total Bill]]&lt;25,"Bronze",IF(tblRestaurant[[#This Row],[Total Bill]]&lt;50,"Silver",IF(tblRestaurant[[#This Row],[Total Bill]]&lt;75,"Gold","Platinum")))</f>
        <v>Silver</v>
      </c>
      <c r="S220" s="7" cm="1">
        <f t="array" ref="S220">_xlfn.SWITCH(tblRestaurant[[#This Row],[Revenue Tier]],"Bronze",1,"Silver",2,"Gold",3,"Platinum",4)</f>
        <v>2</v>
      </c>
      <c r="T220" s="13">
        <f>AVERAGE(tblRestaurant[[#This Row],[Total Bill]],tblRestaurant[[#This Row],[Party Size]])</f>
        <v>14.775</v>
      </c>
    </row>
    <row r="221" spans="1:20" ht="20.100000000000001" customHeight="1">
      <c r="A221">
        <v>220</v>
      </c>
      <c r="B221" s="2">
        <v>45674</v>
      </c>
      <c r="C221" t="s">
        <v>15</v>
      </c>
      <c r="D221" t="s">
        <v>10</v>
      </c>
      <c r="E221" t="s">
        <v>13</v>
      </c>
      <c r="F221">
        <v>4</v>
      </c>
      <c r="G221" s="3">
        <v>55.25</v>
      </c>
      <c r="H221" s="4">
        <v>0.25</v>
      </c>
      <c r="I221" t="b">
        <v>1</v>
      </c>
      <c r="J221" s="3">
        <f>tblRestaurant[[#This Row],[Total Bill]]*tblRestaurant[[#This Row],[Tip %]]</f>
        <v>13.8125</v>
      </c>
      <c r="K221" s="7" t="str">
        <f>IF(tblRestaurant[[#This Row],[Cash]]=TRUE,"Cash","Card")</f>
        <v>Cash</v>
      </c>
      <c r="L221" s="7" t="str">
        <f>IF(tblRestaurant[[#This Row],[Total Bill]]&lt;20,"Low",IF(tblRestaurant[[#This Row],[Total Bill]]&lt;50,"Medium","High"))</f>
        <v>High</v>
      </c>
      <c r="M221" s="7" t="str">
        <f>IF(tblRestaurant[[#This Row],[Party Size]]&lt;=2,"Small",IF(tblRestaurant[[#This Row],[Party Size]]&lt;=4,"Medium","Large"))</f>
        <v>Medium</v>
      </c>
      <c r="N221" t="str">
        <f>TEXT(tblRestaurant[[#This Row],[Date]],"mmmm")</f>
        <v>January</v>
      </c>
      <c r="O221" s="12">
        <f>WEEKNUM(tblRestaurant[[#This Row],[Date]])</f>
        <v>3</v>
      </c>
      <c r="P221" s="7" t="str">
        <f>IF(OR(tblRestaurant[[#This Row],[Day]]="Sat",tblRestaurant[[#This Row],[Day]]="Sun"),"Weekend","Weekday")</f>
        <v>Weekday</v>
      </c>
      <c r="Q221" s="7" t="str">
        <f>IF(OR(tblRestaurant[[#This Row],[Day]]="Fri",tblRestaurant[[#This Row],[Day]]="Thu"),"Weekday","Weekend")</f>
        <v>Weekday</v>
      </c>
      <c r="R221" s="7" t="str">
        <f>IF(tblRestaurant[[#This Row],[Total Bill]]&lt;25,"Bronze",IF(tblRestaurant[[#This Row],[Total Bill]]&lt;50,"Silver",IF(tblRestaurant[[#This Row],[Total Bill]]&lt;75,"Gold","Platinum")))</f>
        <v>Gold</v>
      </c>
      <c r="S221" s="7" cm="1">
        <f t="array" ref="S221">_xlfn.SWITCH(tblRestaurant[[#This Row],[Revenue Tier]],"Bronze",1,"Silver",2,"Gold",3,"Platinum",4)</f>
        <v>3</v>
      </c>
      <c r="T221" s="13">
        <f>AVERAGE(tblRestaurant[[#This Row],[Total Bill]],tblRestaurant[[#This Row],[Party Size]])</f>
        <v>29.625</v>
      </c>
    </row>
    <row r="222" spans="1:20" ht="20.100000000000001" customHeight="1">
      <c r="A222">
        <v>221</v>
      </c>
      <c r="B222" s="2">
        <v>45675</v>
      </c>
      <c r="C222" t="s">
        <v>16</v>
      </c>
      <c r="D222" t="s">
        <v>10</v>
      </c>
      <c r="E222" t="s">
        <v>14</v>
      </c>
      <c r="F222">
        <v>2</v>
      </c>
      <c r="G222" s="3">
        <v>39.21</v>
      </c>
      <c r="H222" s="4">
        <v>0.25</v>
      </c>
      <c r="I222" t="b">
        <v>0</v>
      </c>
      <c r="J222" s="3">
        <f>tblRestaurant[[#This Row],[Total Bill]]*tblRestaurant[[#This Row],[Tip %]]</f>
        <v>9.8025000000000002</v>
      </c>
      <c r="K222" s="7" t="str">
        <f>IF(tblRestaurant[[#This Row],[Cash]]=TRUE,"Cash","Card")</f>
        <v>Card</v>
      </c>
      <c r="L222" s="7" t="str">
        <f>IF(tblRestaurant[[#This Row],[Total Bill]]&lt;20,"Low",IF(tblRestaurant[[#This Row],[Total Bill]]&lt;50,"Medium","High"))</f>
        <v>Medium</v>
      </c>
      <c r="M222" s="7" t="str">
        <f>IF(tblRestaurant[[#This Row],[Party Size]]&lt;=2,"Small",IF(tblRestaurant[[#This Row],[Party Size]]&lt;=4,"Medium","Large"))</f>
        <v>Small</v>
      </c>
      <c r="N222" t="str">
        <f>TEXT(tblRestaurant[[#This Row],[Date]],"mmmm")</f>
        <v>January</v>
      </c>
      <c r="O222" s="12">
        <f>WEEKNUM(tblRestaurant[[#This Row],[Date]])</f>
        <v>3</v>
      </c>
      <c r="P222" s="7" t="str">
        <f>IF(OR(tblRestaurant[[#This Row],[Day]]="Sat",tblRestaurant[[#This Row],[Day]]="Sun"),"Weekend","Weekday")</f>
        <v>Weekend</v>
      </c>
      <c r="Q222" s="7" t="str">
        <f>IF(OR(tblRestaurant[[#This Row],[Day]]="Fri",tblRestaurant[[#This Row],[Day]]="Thu"),"Weekday","Weekend")</f>
        <v>Weekend</v>
      </c>
      <c r="R222" s="7" t="str">
        <f>IF(tblRestaurant[[#This Row],[Total Bill]]&lt;25,"Bronze",IF(tblRestaurant[[#This Row],[Total Bill]]&lt;50,"Silver",IF(tblRestaurant[[#This Row],[Total Bill]]&lt;75,"Gold","Platinum")))</f>
        <v>Silver</v>
      </c>
      <c r="S222" s="7" cm="1">
        <f t="array" ref="S222">_xlfn.SWITCH(tblRestaurant[[#This Row],[Revenue Tier]],"Bronze",1,"Silver",2,"Gold",3,"Platinum",4)</f>
        <v>2</v>
      </c>
      <c r="T222" s="13">
        <f>AVERAGE(tblRestaurant[[#This Row],[Total Bill]],tblRestaurant[[#This Row],[Party Size]])</f>
        <v>20.605</v>
      </c>
    </row>
    <row r="223" spans="1:20" ht="20.100000000000001" customHeight="1">
      <c r="A223">
        <v>222</v>
      </c>
      <c r="B223" s="2">
        <v>45675</v>
      </c>
      <c r="C223" t="s">
        <v>16</v>
      </c>
      <c r="D223" t="s">
        <v>10</v>
      </c>
      <c r="E223" t="s">
        <v>14</v>
      </c>
      <c r="F223">
        <v>2</v>
      </c>
      <c r="G223" s="3">
        <v>41.82</v>
      </c>
      <c r="H223" s="4">
        <v>0.2</v>
      </c>
      <c r="I223" t="b">
        <v>1</v>
      </c>
      <c r="J223" s="3">
        <f>tblRestaurant[[#This Row],[Total Bill]]*tblRestaurant[[#This Row],[Tip %]]</f>
        <v>8.3640000000000008</v>
      </c>
      <c r="K223" s="7" t="str">
        <f>IF(tblRestaurant[[#This Row],[Cash]]=TRUE,"Cash","Card")</f>
        <v>Cash</v>
      </c>
      <c r="L223" s="7" t="str">
        <f>IF(tblRestaurant[[#This Row],[Total Bill]]&lt;20,"Low",IF(tblRestaurant[[#This Row],[Total Bill]]&lt;50,"Medium","High"))</f>
        <v>Medium</v>
      </c>
      <c r="M223" s="7" t="str">
        <f>IF(tblRestaurant[[#This Row],[Party Size]]&lt;=2,"Small",IF(tblRestaurant[[#This Row],[Party Size]]&lt;=4,"Medium","Large"))</f>
        <v>Small</v>
      </c>
      <c r="N223" t="str">
        <f>TEXT(tblRestaurant[[#This Row],[Date]],"mmmm")</f>
        <v>January</v>
      </c>
      <c r="O223" s="12">
        <f>WEEKNUM(tblRestaurant[[#This Row],[Date]])</f>
        <v>3</v>
      </c>
      <c r="P223" s="7" t="str">
        <f>IF(OR(tblRestaurant[[#This Row],[Day]]="Sat",tblRestaurant[[#This Row],[Day]]="Sun"),"Weekend","Weekday")</f>
        <v>Weekend</v>
      </c>
      <c r="Q223" s="7" t="str">
        <f>IF(OR(tblRestaurant[[#This Row],[Day]]="Fri",tblRestaurant[[#This Row],[Day]]="Thu"),"Weekday","Weekend")</f>
        <v>Weekend</v>
      </c>
      <c r="R223" s="7" t="str">
        <f>IF(tblRestaurant[[#This Row],[Total Bill]]&lt;25,"Bronze",IF(tblRestaurant[[#This Row],[Total Bill]]&lt;50,"Silver",IF(tblRestaurant[[#This Row],[Total Bill]]&lt;75,"Gold","Platinum")))</f>
        <v>Silver</v>
      </c>
      <c r="S223" s="7" cm="1">
        <f t="array" ref="S223">_xlfn.SWITCH(tblRestaurant[[#This Row],[Revenue Tier]],"Bronze",1,"Silver",2,"Gold",3,"Platinum",4)</f>
        <v>2</v>
      </c>
      <c r="T223" s="13">
        <f>AVERAGE(tblRestaurant[[#This Row],[Total Bill]],tblRestaurant[[#This Row],[Party Size]])</f>
        <v>21.91</v>
      </c>
    </row>
    <row r="224" spans="1:20" ht="20.100000000000001" customHeight="1">
      <c r="A224">
        <v>223</v>
      </c>
      <c r="B224" s="2">
        <v>45675</v>
      </c>
      <c r="C224" t="s">
        <v>16</v>
      </c>
      <c r="D224" t="s">
        <v>10</v>
      </c>
      <c r="E224" t="s">
        <v>13</v>
      </c>
      <c r="F224">
        <v>1</v>
      </c>
      <c r="G224" s="3">
        <v>12.33</v>
      </c>
      <c r="H224" s="4">
        <v>0.2</v>
      </c>
      <c r="I224" t="b">
        <v>0</v>
      </c>
      <c r="J224" s="3">
        <f>tblRestaurant[[#This Row],[Total Bill]]*tblRestaurant[[#This Row],[Tip %]]</f>
        <v>2.4660000000000002</v>
      </c>
      <c r="K224" s="7" t="str">
        <f>IF(tblRestaurant[[#This Row],[Cash]]=TRUE,"Cash","Card")</f>
        <v>Card</v>
      </c>
      <c r="L224" s="7" t="str">
        <f>IF(tblRestaurant[[#This Row],[Total Bill]]&lt;20,"Low",IF(tblRestaurant[[#This Row],[Total Bill]]&lt;50,"Medium","High"))</f>
        <v>Low</v>
      </c>
      <c r="M224" s="7" t="str">
        <f>IF(tblRestaurant[[#This Row],[Party Size]]&lt;=2,"Small",IF(tblRestaurant[[#This Row],[Party Size]]&lt;=4,"Medium","Large"))</f>
        <v>Small</v>
      </c>
      <c r="N224" t="str">
        <f>TEXT(tblRestaurant[[#This Row],[Date]],"mmmm")</f>
        <v>January</v>
      </c>
      <c r="O224" s="12">
        <f>WEEKNUM(tblRestaurant[[#This Row],[Date]])</f>
        <v>3</v>
      </c>
      <c r="P224" s="7" t="str">
        <f>IF(OR(tblRestaurant[[#This Row],[Day]]="Sat",tblRestaurant[[#This Row],[Day]]="Sun"),"Weekend","Weekday")</f>
        <v>Weekend</v>
      </c>
      <c r="Q224" s="7" t="str">
        <f>IF(OR(tblRestaurant[[#This Row],[Day]]="Fri",tblRestaurant[[#This Row],[Day]]="Thu"),"Weekday","Weekend")</f>
        <v>Weekend</v>
      </c>
      <c r="R224" s="7" t="str">
        <f>IF(tblRestaurant[[#This Row],[Total Bill]]&lt;25,"Bronze",IF(tblRestaurant[[#This Row],[Total Bill]]&lt;50,"Silver",IF(tblRestaurant[[#This Row],[Total Bill]]&lt;75,"Gold","Platinum")))</f>
        <v>Bronze</v>
      </c>
      <c r="S224" s="7" cm="1">
        <f t="array" ref="S224">_xlfn.SWITCH(tblRestaurant[[#This Row],[Revenue Tier]],"Bronze",1,"Silver",2,"Gold",3,"Platinum",4)</f>
        <v>1</v>
      </c>
      <c r="T224" s="13">
        <f>AVERAGE(tblRestaurant[[#This Row],[Total Bill]],tblRestaurant[[#This Row],[Party Size]])</f>
        <v>6.665</v>
      </c>
    </row>
    <row r="225" spans="1:20" ht="20.100000000000001" customHeight="1">
      <c r="A225">
        <v>224</v>
      </c>
      <c r="B225" s="2">
        <v>45675</v>
      </c>
      <c r="C225" t="s">
        <v>16</v>
      </c>
      <c r="D225" t="s">
        <v>10</v>
      </c>
      <c r="E225" t="s">
        <v>14</v>
      </c>
      <c r="F225">
        <v>3</v>
      </c>
      <c r="G225" s="3">
        <v>31.11</v>
      </c>
      <c r="H225" s="4">
        <v>0.2</v>
      </c>
      <c r="I225" t="b">
        <v>1</v>
      </c>
      <c r="J225" s="3">
        <f>tblRestaurant[[#This Row],[Total Bill]]*tblRestaurant[[#This Row],[Tip %]]</f>
        <v>6.2220000000000004</v>
      </c>
      <c r="K225" s="7" t="str">
        <f>IF(tblRestaurant[[#This Row],[Cash]]=TRUE,"Cash","Card")</f>
        <v>Cash</v>
      </c>
      <c r="L225" s="7" t="str">
        <f>IF(tblRestaurant[[#This Row],[Total Bill]]&lt;20,"Low",IF(tblRestaurant[[#This Row],[Total Bill]]&lt;50,"Medium","High"))</f>
        <v>Medium</v>
      </c>
      <c r="M225" s="7" t="str">
        <f>IF(tblRestaurant[[#This Row],[Party Size]]&lt;=2,"Small",IF(tblRestaurant[[#This Row],[Party Size]]&lt;=4,"Medium","Large"))</f>
        <v>Medium</v>
      </c>
      <c r="N225" t="str">
        <f>TEXT(tblRestaurant[[#This Row],[Date]],"mmmm")</f>
        <v>January</v>
      </c>
      <c r="O225" s="12">
        <f>WEEKNUM(tblRestaurant[[#This Row],[Date]])</f>
        <v>3</v>
      </c>
      <c r="P225" s="7" t="str">
        <f>IF(OR(tblRestaurant[[#This Row],[Day]]="Sat",tblRestaurant[[#This Row],[Day]]="Sun"),"Weekend","Weekday")</f>
        <v>Weekend</v>
      </c>
      <c r="Q225" s="7" t="str">
        <f>IF(OR(tblRestaurant[[#This Row],[Day]]="Fri",tblRestaurant[[#This Row],[Day]]="Thu"),"Weekday","Weekend")</f>
        <v>Weekend</v>
      </c>
      <c r="R225" s="7" t="str">
        <f>IF(tblRestaurant[[#This Row],[Total Bill]]&lt;25,"Bronze",IF(tblRestaurant[[#This Row],[Total Bill]]&lt;50,"Silver",IF(tblRestaurant[[#This Row],[Total Bill]]&lt;75,"Gold","Platinum")))</f>
        <v>Silver</v>
      </c>
      <c r="S225" s="7" cm="1">
        <f t="array" ref="S225">_xlfn.SWITCH(tblRestaurant[[#This Row],[Revenue Tier]],"Bronze",1,"Silver",2,"Gold",3,"Platinum",4)</f>
        <v>2</v>
      </c>
      <c r="T225" s="13">
        <f>AVERAGE(tblRestaurant[[#This Row],[Total Bill]],tblRestaurant[[#This Row],[Party Size]])</f>
        <v>17.055</v>
      </c>
    </row>
    <row r="226" spans="1:20" ht="20.100000000000001" customHeight="1">
      <c r="A226">
        <v>225</v>
      </c>
      <c r="B226" s="2">
        <v>45675</v>
      </c>
      <c r="C226" t="s">
        <v>16</v>
      </c>
      <c r="D226" t="s">
        <v>10</v>
      </c>
      <c r="E226" t="s">
        <v>11</v>
      </c>
      <c r="F226">
        <v>2</v>
      </c>
      <c r="G226" s="3">
        <v>16.28</v>
      </c>
      <c r="H226" s="4">
        <v>0.1</v>
      </c>
      <c r="I226" t="b">
        <v>0</v>
      </c>
      <c r="J226" s="3">
        <f>tblRestaurant[[#This Row],[Total Bill]]*tblRestaurant[[#This Row],[Tip %]]</f>
        <v>1.6280000000000001</v>
      </c>
      <c r="K226" s="7" t="str">
        <f>IF(tblRestaurant[[#This Row],[Cash]]=TRUE,"Cash","Card")</f>
        <v>Card</v>
      </c>
      <c r="L226" s="7" t="str">
        <f>IF(tblRestaurant[[#This Row],[Total Bill]]&lt;20,"Low",IF(tblRestaurant[[#This Row],[Total Bill]]&lt;50,"Medium","High"))</f>
        <v>Low</v>
      </c>
      <c r="M226" s="7" t="str">
        <f>IF(tblRestaurant[[#This Row],[Party Size]]&lt;=2,"Small",IF(tblRestaurant[[#This Row],[Party Size]]&lt;=4,"Medium","Large"))</f>
        <v>Small</v>
      </c>
      <c r="N226" t="str">
        <f>TEXT(tblRestaurant[[#This Row],[Date]],"mmmm")</f>
        <v>January</v>
      </c>
      <c r="O226" s="12">
        <f>WEEKNUM(tblRestaurant[[#This Row],[Date]])</f>
        <v>3</v>
      </c>
      <c r="P226" s="7" t="str">
        <f>IF(OR(tblRestaurant[[#This Row],[Day]]="Sat",tblRestaurant[[#This Row],[Day]]="Sun"),"Weekend","Weekday")</f>
        <v>Weekend</v>
      </c>
      <c r="Q226" s="7" t="str">
        <f>IF(OR(tblRestaurant[[#This Row],[Day]]="Fri",tblRestaurant[[#This Row],[Day]]="Thu"),"Weekday","Weekend")</f>
        <v>Weekend</v>
      </c>
      <c r="R226" s="7" t="str">
        <f>IF(tblRestaurant[[#This Row],[Total Bill]]&lt;25,"Bronze",IF(tblRestaurant[[#This Row],[Total Bill]]&lt;50,"Silver",IF(tblRestaurant[[#This Row],[Total Bill]]&lt;75,"Gold","Platinum")))</f>
        <v>Bronze</v>
      </c>
      <c r="S226" s="7" cm="1">
        <f t="array" ref="S226">_xlfn.SWITCH(tblRestaurant[[#This Row],[Revenue Tier]],"Bronze",1,"Silver",2,"Gold",3,"Platinum",4)</f>
        <v>1</v>
      </c>
      <c r="T226" s="13">
        <f>AVERAGE(tblRestaurant[[#This Row],[Total Bill]],tblRestaurant[[#This Row],[Party Size]])</f>
        <v>9.14</v>
      </c>
    </row>
    <row r="227" spans="1:20" ht="20.100000000000001" customHeight="1">
      <c r="A227">
        <v>226</v>
      </c>
      <c r="B227" s="2">
        <v>45675</v>
      </c>
      <c r="C227" t="s">
        <v>16</v>
      </c>
      <c r="D227" t="s">
        <v>10</v>
      </c>
      <c r="E227" t="s">
        <v>13</v>
      </c>
      <c r="F227">
        <v>2</v>
      </c>
      <c r="G227" s="3">
        <v>34.06</v>
      </c>
      <c r="H227" s="4">
        <v>0.18</v>
      </c>
      <c r="I227" t="b">
        <v>0</v>
      </c>
      <c r="J227" s="3">
        <f>tblRestaurant[[#This Row],[Total Bill]]*tblRestaurant[[#This Row],[Tip %]]</f>
        <v>6.1307999999999998</v>
      </c>
      <c r="K227" s="7" t="str">
        <f>IF(tblRestaurant[[#This Row],[Cash]]=TRUE,"Cash","Card")</f>
        <v>Card</v>
      </c>
      <c r="L227" s="7" t="str">
        <f>IF(tblRestaurant[[#This Row],[Total Bill]]&lt;20,"Low",IF(tblRestaurant[[#This Row],[Total Bill]]&lt;50,"Medium","High"))</f>
        <v>Medium</v>
      </c>
      <c r="M227" s="7" t="str">
        <f>IF(tblRestaurant[[#This Row],[Party Size]]&lt;=2,"Small",IF(tblRestaurant[[#This Row],[Party Size]]&lt;=4,"Medium","Large"))</f>
        <v>Small</v>
      </c>
      <c r="N227" t="str">
        <f>TEXT(tblRestaurant[[#This Row],[Date]],"mmmm")</f>
        <v>January</v>
      </c>
      <c r="O227" s="12">
        <f>WEEKNUM(tblRestaurant[[#This Row],[Date]])</f>
        <v>3</v>
      </c>
      <c r="P227" s="7" t="str">
        <f>IF(OR(tblRestaurant[[#This Row],[Day]]="Sat",tblRestaurant[[#This Row],[Day]]="Sun"),"Weekend","Weekday")</f>
        <v>Weekend</v>
      </c>
      <c r="Q227" s="7" t="str">
        <f>IF(OR(tblRestaurant[[#This Row],[Day]]="Fri",tblRestaurant[[#This Row],[Day]]="Thu"),"Weekday","Weekend")</f>
        <v>Weekend</v>
      </c>
      <c r="R227" s="7" t="str">
        <f>IF(tblRestaurant[[#This Row],[Total Bill]]&lt;25,"Bronze",IF(tblRestaurant[[#This Row],[Total Bill]]&lt;50,"Silver",IF(tblRestaurant[[#This Row],[Total Bill]]&lt;75,"Gold","Platinum")))</f>
        <v>Silver</v>
      </c>
      <c r="S227" s="7" cm="1">
        <f t="array" ref="S227">_xlfn.SWITCH(tblRestaurant[[#This Row],[Revenue Tier]],"Bronze",1,"Silver",2,"Gold",3,"Platinum",4)</f>
        <v>2</v>
      </c>
      <c r="T227" s="13">
        <f>AVERAGE(tblRestaurant[[#This Row],[Total Bill]],tblRestaurant[[#This Row],[Party Size]])</f>
        <v>18.03</v>
      </c>
    </row>
    <row r="228" spans="1:20" ht="20.100000000000001" customHeight="1">
      <c r="A228">
        <v>227</v>
      </c>
      <c r="B228" s="2">
        <v>45675</v>
      </c>
      <c r="C228" t="s">
        <v>16</v>
      </c>
      <c r="D228" t="s">
        <v>10</v>
      </c>
      <c r="E228" t="s">
        <v>11</v>
      </c>
      <c r="F228">
        <v>2</v>
      </c>
      <c r="G228" s="3">
        <v>35.64</v>
      </c>
      <c r="H228" s="4">
        <v>0.1</v>
      </c>
      <c r="I228" t="b">
        <v>1</v>
      </c>
      <c r="J228" s="3">
        <f>tblRestaurant[[#This Row],[Total Bill]]*tblRestaurant[[#This Row],[Tip %]]</f>
        <v>3.5640000000000001</v>
      </c>
      <c r="K228" s="7" t="str">
        <f>IF(tblRestaurant[[#This Row],[Cash]]=TRUE,"Cash","Card")</f>
        <v>Cash</v>
      </c>
      <c r="L228" s="7" t="str">
        <f>IF(tblRestaurant[[#This Row],[Total Bill]]&lt;20,"Low",IF(tblRestaurant[[#This Row],[Total Bill]]&lt;50,"Medium","High"))</f>
        <v>Medium</v>
      </c>
      <c r="M228" s="7" t="str">
        <f>IF(tblRestaurant[[#This Row],[Party Size]]&lt;=2,"Small",IF(tblRestaurant[[#This Row],[Party Size]]&lt;=4,"Medium","Large"))</f>
        <v>Small</v>
      </c>
      <c r="N228" t="str">
        <f>TEXT(tblRestaurant[[#This Row],[Date]],"mmmm")</f>
        <v>January</v>
      </c>
      <c r="O228" s="12">
        <f>WEEKNUM(tblRestaurant[[#This Row],[Date]])</f>
        <v>3</v>
      </c>
      <c r="P228" s="7" t="str">
        <f>IF(OR(tblRestaurant[[#This Row],[Day]]="Sat",tblRestaurant[[#This Row],[Day]]="Sun"),"Weekend","Weekday")</f>
        <v>Weekend</v>
      </c>
      <c r="Q228" s="7" t="str">
        <f>IF(OR(tblRestaurant[[#This Row],[Day]]="Fri",tblRestaurant[[#This Row],[Day]]="Thu"),"Weekday","Weekend")</f>
        <v>Weekend</v>
      </c>
      <c r="R228" s="7" t="str">
        <f>IF(tblRestaurant[[#This Row],[Total Bill]]&lt;25,"Bronze",IF(tblRestaurant[[#This Row],[Total Bill]]&lt;50,"Silver",IF(tblRestaurant[[#This Row],[Total Bill]]&lt;75,"Gold","Platinum")))</f>
        <v>Silver</v>
      </c>
      <c r="S228" s="7" cm="1">
        <f t="array" ref="S228">_xlfn.SWITCH(tblRestaurant[[#This Row],[Revenue Tier]],"Bronze",1,"Silver",2,"Gold",3,"Platinum",4)</f>
        <v>2</v>
      </c>
      <c r="T228" s="13">
        <f>AVERAGE(tblRestaurant[[#This Row],[Total Bill]],tblRestaurant[[#This Row],[Party Size]])</f>
        <v>18.82</v>
      </c>
    </row>
    <row r="229" spans="1:20" ht="20.100000000000001" customHeight="1">
      <c r="A229">
        <v>228</v>
      </c>
      <c r="B229" s="2">
        <v>45675</v>
      </c>
      <c r="C229" t="s">
        <v>16</v>
      </c>
      <c r="D229" t="s">
        <v>17</v>
      </c>
      <c r="E229" t="s">
        <v>11</v>
      </c>
      <c r="F229">
        <v>4</v>
      </c>
      <c r="G229" s="3">
        <v>63.99</v>
      </c>
      <c r="H229" s="4">
        <v>0.18</v>
      </c>
      <c r="I229" t="b">
        <v>0</v>
      </c>
      <c r="J229" s="3">
        <f>tblRestaurant[[#This Row],[Total Bill]]*tblRestaurant[[#This Row],[Tip %]]</f>
        <v>11.5182</v>
      </c>
      <c r="K229" s="7" t="str">
        <f>IF(tblRestaurant[[#This Row],[Cash]]=TRUE,"Cash","Card")</f>
        <v>Card</v>
      </c>
      <c r="L229" s="7" t="str">
        <f>IF(tblRestaurant[[#This Row],[Total Bill]]&lt;20,"Low",IF(tblRestaurant[[#This Row],[Total Bill]]&lt;50,"Medium","High"))</f>
        <v>High</v>
      </c>
      <c r="M229" s="7" t="str">
        <f>IF(tblRestaurant[[#This Row],[Party Size]]&lt;=2,"Small",IF(tblRestaurant[[#This Row],[Party Size]]&lt;=4,"Medium","Large"))</f>
        <v>Medium</v>
      </c>
      <c r="N229" t="str">
        <f>TEXT(tblRestaurant[[#This Row],[Date]],"mmmm")</f>
        <v>January</v>
      </c>
      <c r="O229" s="12">
        <f>WEEKNUM(tblRestaurant[[#This Row],[Date]])</f>
        <v>3</v>
      </c>
      <c r="P229" s="7" t="str">
        <f>IF(OR(tblRestaurant[[#This Row],[Day]]="Sat",tblRestaurant[[#This Row],[Day]]="Sun"),"Weekend","Weekday")</f>
        <v>Weekend</v>
      </c>
      <c r="Q229" s="7" t="str">
        <f>IF(OR(tblRestaurant[[#This Row],[Day]]="Fri",tblRestaurant[[#This Row],[Day]]="Thu"),"Weekday","Weekend")</f>
        <v>Weekend</v>
      </c>
      <c r="R229" s="7" t="str">
        <f>IF(tblRestaurant[[#This Row],[Total Bill]]&lt;25,"Bronze",IF(tblRestaurant[[#This Row],[Total Bill]]&lt;50,"Silver",IF(tblRestaurant[[#This Row],[Total Bill]]&lt;75,"Gold","Platinum")))</f>
        <v>Gold</v>
      </c>
      <c r="S229" s="7" cm="1">
        <f t="array" ref="S229">_xlfn.SWITCH(tblRestaurant[[#This Row],[Revenue Tier]],"Bronze",1,"Silver",2,"Gold",3,"Platinum",4)</f>
        <v>3</v>
      </c>
      <c r="T229" s="13">
        <f>AVERAGE(tblRestaurant[[#This Row],[Total Bill]],tblRestaurant[[#This Row],[Party Size]])</f>
        <v>33.995000000000005</v>
      </c>
    </row>
    <row r="230" spans="1:20" ht="20.100000000000001" customHeight="1">
      <c r="A230">
        <v>229</v>
      </c>
      <c r="B230" s="2">
        <v>45675</v>
      </c>
      <c r="C230" t="s">
        <v>16</v>
      </c>
      <c r="D230" t="s">
        <v>17</v>
      </c>
      <c r="E230" t="s">
        <v>14</v>
      </c>
      <c r="F230">
        <v>2</v>
      </c>
      <c r="G230" s="3">
        <v>30.48</v>
      </c>
      <c r="H230" s="4">
        <v>0.2</v>
      </c>
      <c r="I230" t="b">
        <v>0</v>
      </c>
      <c r="J230" s="3">
        <f>tblRestaurant[[#This Row],[Total Bill]]*tblRestaurant[[#This Row],[Tip %]]</f>
        <v>6.0960000000000001</v>
      </c>
      <c r="K230" s="7" t="str">
        <f>IF(tblRestaurant[[#This Row],[Cash]]=TRUE,"Cash","Card")</f>
        <v>Card</v>
      </c>
      <c r="L230" s="7" t="str">
        <f>IF(tblRestaurant[[#This Row],[Total Bill]]&lt;20,"Low",IF(tblRestaurant[[#This Row],[Total Bill]]&lt;50,"Medium","High"))</f>
        <v>Medium</v>
      </c>
      <c r="M230" s="7" t="str">
        <f>IF(tblRestaurant[[#This Row],[Party Size]]&lt;=2,"Small",IF(tblRestaurant[[#This Row],[Party Size]]&lt;=4,"Medium","Large"))</f>
        <v>Small</v>
      </c>
      <c r="N230" t="str">
        <f>TEXT(tblRestaurant[[#This Row],[Date]],"mmmm")</f>
        <v>January</v>
      </c>
      <c r="O230" s="12">
        <f>WEEKNUM(tblRestaurant[[#This Row],[Date]])</f>
        <v>3</v>
      </c>
      <c r="P230" s="7" t="str">
        <f>IF(OR(tblRestaurant[[#This Row],[Day]]="Sat",tblRestaurant[[#This Row],[Day]]="Sun"),"Weekend","Weekday")</f>
        <v>Weekend</v>
      </c>
      <c r="Q230" s="7" t="str">
        <f>IF(OR(tblRestaurant[[#This Row],[Day]]="Fri",tblRestaurant[[#This Row],[Day]]="Thu"),"Weekday","Weekend")</f>
        <v>Weekend</v>
      </c>
      <c r="R230" s="7" t="str">
        <f>IF(tblRestaurant[[#This Row],[Total Bill]]&lt;25,"Bronze",IF(tblRestaurant[[#This Row],[Total Bill]]&lt;50,"Silver",IF(tblRestaurant[[#This Row],[Total Bill]]&lt;75,"Gold","Platinum")))</f>
        <v>Silver</v>
      </c>
      <c r="S230" s="7" cm="1">
        <f t="array" ref="S230">_xlfn.SWITCH(tblRestaurant[[#This Row],[Revenue Tier]],"Bronze",1,"Silver",2,"Gold",3,"Platinum",4)</f>
        <v>2</v>
      </c>
      <c r="T230" s="13">
        <f>AVERAGE(tblRestaurant[[#This Row],[Total Bill]],tblRestaurant[[#This Row],[Party Size]])</f>
        <v>16.240000000000002</v>
      </c>
    </row>
    <row r="231" spans="1:20" ht="20.100000000000001" customHeight="1">
      <c r="A231">
        <v>230</v>
      </c>
      <c r="B231" s="2">
        <v>45675</v>
      </c>
      <c r="C231" t="s">
        <v>16</v>
      </c>
      <c r="D231" t="s">
        <v>17</v>
      </c>
      <c r="E231" t="s">
        <v>11</v>
      </c>
      <c r="F231">
        <v>2</v>
      </c>
      <c r="G231" s="3">
        <v>21.58</v>
      </c>
      <c r="H231" s="4">
        <v>0.1</v>
      </c>
      <c r="I231" t="b">
        <v>0</v>
      </c>
      <c r="J231" s="3">
        <f>tblRestaurant[[#This Row],[Total Bill]]*tblRestaurant[[#This Row],[Tip %]]</f>
        <v>2.1579999999999999</v>
      </c>
      <c r="K231" s="7" t="str">
        <f>IF(tblRestaurant[[#This Row],[Cash]]=TRUE,"Cash","Card")</f>
        <v>Card</v>
      </c>
      <c r="L231" s="7" t="str">
        <f>IF(tblRestaurant[[#This Row],[Total Bill]]&lt;20,"Low",IF(tblRestaurant[[#This Row],[Total Bill]]&lt;50,"Medium","High"))</f>
        <v>Medium</v>
      </c>
      <c r="M231" s="7" t="str">
        <f>IF(tblRestaurant[[#This Row],[Party Size]]&lt;=2,"Small",IF(tblRestaurant[[#This Row],[Party Size]]&lt;=4,"Medium","Large"))</f>
        <v>Small</v>
      </c>
      <c r="N231" t="str">
        <f>TEXT(tblRestaurant[[#This Row],[Date]],"mmmm")</f>
        <v>January</v>
      </c>
      <c r="O231" s="12">
        <f>WEEKNUM(tblRestaurant[[#This Row],[Date]])</f>
        <v>3</v>
      </c>
      <c r="P231" s="7" t="str">
        <f>IF(OR(tblRestaurant[[#This Row],[Day]]="Sat",tblRestaurant[[#This Row],[Day]]="Sun"),"Weekend","Weekday")</f>
        <v>Weekend</v>
      </c>
      <c r="Q231" s="7" t="str">
        <f>IF(OR(tblRestaurant[[#This Row],[Day]]="Fri",tblRestaurant[[#This Row],[Day]]="Thu"),"Weekday","Weekend")</f>
        <v>Weekend</v>
      </c>
      <c r="R231" s="7" t="str">
        <f>IF(tblRestaurant[[#This Row],[Total Bill]]&lt;25,"Bronze",IF(tblRestaurant[[#This Row],[Total Bill]]&lt;50,"Silver",IF(tblRestaurant[[#This Row],[Total Bill]]&lt;75,"Gold","Platinum")))</f>
        <v>Bronze</v>
      </c>
      <c r="S231" s="7" cm="1">
        <f t="array" ref="S231">_xlfn.SWITCH(tblRestaurant[[#This Row],[Revenue Tier]],"Bronze",1,"Silver",2,"Gold",3,"Platinum",4)</f>
        <v>1</v>
      </c>
      <c r="T231" s="13">
        <f>AVERAGE(tblRestaurant[[#This Row],[Total Bill]],tblRestaurant[[#This Row],[Party Size]])</f>
        <v>11.79</v>
      </c>
    </row>
    <row r="232" spans="1:20" ht="20.100000000000001" customHeight="1">
      <c r="A232">
        <v>231</v>
      </c>
      <c r="B232" s="2">
        <v>45675</v>
      </c>
      <c r="C232" t="s">
        <v>16</v>
      </c>
      <c r="D232" t="s">
        <v>17</v>
      </c>
      <c r="E232" t="s">
        <v>14</v>
      </c>
      <c r="F232">
        <v>4</v>
      </c>
      <c r="G232" s="3">
        <v>46.93</v>
      </c>
      <c r="H232" s="4">
        <v>0.15</v>
      </c>
      <c r="I232" t="b">
        <v>0</v>
      </c>
      <c r="J232" s="3">
        <f>tblRestaurant[[#This Row],[Total Bill]]*tblRestaurant[[#This Row],[Tip %]]</f>
        <v>7.0394999999999994</v>
      </c>
      <c r="K232" s="7" t="str">
        <f>IF(tblRestaurant[[#This Row],[Cash]]=TRUE,"Cash","Card")</f>
        <v>Card</v>
      </c>
      <c r="L232" s="7" t="str">
        <f>IF(tblRestaurant[[#This Row],[Total Bill]]&lt;20,"Low",IF(tblRestaurant[[#This Row],[Total Bill]]&lt;50,"Medium","High"))</f>
        <v>Medium</v>
      </c>
      <c r="M232" s="7" t="str">
        <f>IF(tblRestaurant[[#This Row],[Party Size]]&lt;=2,"Small",IF(tblRestaurant[[#This Row],[Party Size]]&lt;=4,"Medium","Large"))</f>
        <v>Medium</v>
      </c>
      <c r="N232" t="str">
        <f>TEXT(tblRestaurant[[#This Row],[Date]],"mmmm")</f>
        <v>January</v>
      </c>
      <c r="O232" s="12">
        <f>WEEKNUM(tblRestaurant[[#This Row],[Date]])</f>
        <v>3</v>
      </c>
      <c r="P232" s="7" t="str">
        <f>IF(OR(tblRestaurant[[#This Row],[Day]]="Sat",tblRestaurant[[#This Row],[Day]]="Sun"),"Weekend","Weekday")</f>
        <v>Weekend</v>
      </c>
      <c r="Q232" s="7" t="str">
        <f>IF(OR(tblRestaurant[[#This Row],[Day]]="Fri",tblRestaurant[[#This Row],[Day]]="Thu"),"Weekday","Weekend")</f>
        <v>Weekend</v>
      </c>
      <c r="R232" s="7" t="str">
        <f>IF(tblRestaurant[[#This Row],[Total Bill]]&lt;25,"Bronze",IF(tblRestaurant[[#This Row],[Total Bill]]&lt;50,"Silver",IF(tblRestaurant[[#This Row],[Total Bill]]&lt;75,"Gold","Platinum")))</f>
        <v>Silver</v>
      </c>
      <c r="S232" s="7" cm="1">
        <f t="array" ref="S232">_xlfn.SWITCH(tblRestaurant[[#This Row],[Revenue Tier]],"Bronze",1,"Silver",2,"Gold",3,"Platinum",4)</f>
        <v>2</v>
      </c>
      <c r="T232" s="13">
        <f>AVERAGE(tblRestaurant[[#This Row],[Total Bill]],tblRestaurant[[#This Row],[Party Size]])</f>
        <v>25.465</v>
      </c>
    </row>
    <row r="233" spans="1:20" ht="20.100000000000001" customHeight="1">
      <c r="A233">
        <v>232</v>
      </c>
      <c r="B233" s="2">
        <v>45675</v>
      </c>
      <c r="C233" t="s">
        <v>16</v>
      </c>
      <c r="D233" t="s">
        <v>17</v>
      </c>
      <c r="E233" t="s">
        <v>12</v>
      </c>
      <c r="F233">
        <v>3</v>
      </c>
      <c r="G233" s="3">
        <v>21.52</v>
      </c>
      <c r="H233" s="4">
        <v>0.18</v>
      </c>
      <c r="I233" t="b">
        <v>1</v>
      </c>
      <c r="J233" s="3">
        <f>tblRestaurant[[#This Row],[Total Bill]]*tblRestaurant[[#This Row],[Tip %]]</f>
        <v>3.8735999999999997</v>
      </c>
      <c r="K233" s="7" t="str">
        <f>IF(tblRestaurant[[#This Row],[Cash]]=TRUE,"Cash","Card")</f>
        <v>Cash</v>
      </c>
      <c r="L233" s="7" t="str">
        <f>IF(tblRestaurant[[#This Row],[Total Bill]]&lt;20,"Low",IF(tblRestaurant[[#This Row],[Total Bill]]&lt;50,"Medium","High"))</f>
        <v>Medium</v>
      </c>
      <c r="M233" s="7" t="str">
        <f>IF(tblRestaurant[[#This Row],[Party Size]]&lt;=2,"Small",IF(tblRestaurant[[#This Row],[Party Size]]&lt;=4,"Medium","Large"))</f>
        <v>Medium</v>
      </c>
      <c r="N233" t="str">
        <f>TEXT(tblRestaurant[[#This Row],[Date]],"mmmm")</f>
        <v>January</v>
      </c>
      <c r="O233" s="12">
        <f>WEEKNUM(tblRestaurant[[#This Row],[Date]])</f>
        <v>3</v>
      </c>
      <c r="P233" s="7" t="str">
        <f>IF(OR(tblRestaurant[[#This Row],[Day]]="Sat",tblRestaurant[[#This Row],[Day]]="Sun"),"Weekend","Weekday")</f>
        <v>Weekend</v>
      </c>
      <c r="Q233" s="7" t="str">
        <f>IF(OR(tblRestaurant[[#This Row],[Day]]="Fri",tblRestaurant[[#This Row],[Day]]="Thu"),"Weekday","Weekend")</f>
        <v>Weekend</v>
      </c>
      <c r="R233" s="7" t="str">
        <f>IF(tblRestaurant[[#This Row],[Total Bill]]&lt;25,"Bronze",IF(tblRestaurant[[#This Row],[Total Bill]]&lt;50,"Silver",IF(tblRestaurant[[#This Row],[Total Bill]]&lt;75,"Gold","Platinum")))</f>
        <v>Bronze</v>
      </c>
      <c r="S233" s="7" cm="1">
        <f t="array" ref="S233">_xlfn.SWITCH(tblRestaurant[[#This Row],[Revenue Tier]],"Bronze",1,"Silver",2,"Gold",3,"Platinum",4)</f>
        <v>1</v>
      </c>
      <c r="T233" s="13">
        <f>AVERAGE(tblRestaurant[[#This Row],[Total Bill]],tblRestaurant[[#This Row],[Party Size]])</f>
        <v>12.26</v>
      </c>
    </row>
    <row r="234" spans="1:20" ht="20.100000000000001" customHeight="1">
      <c r="A234">
        <v>233</v>
      </c>
      <c r="B234" s="2">
        <v>45675</v>
      </c>
      <c r="C234" t="s">
        <v>16</v>
      </c>
      <c r="D234" t="s">
        <v>17</v>
      </c>
      <c r="E234" t="s">
        <v>14</v>
      </c>
      <c r="F234">
        <v>2</v>
      </c>
      <c r="G234" s="3">
        <v>22.45</v>
      </c>
      <c r="H234" s="4">
        <v>0.25</v>
      </c>
      <c r="I234" t="b">
        <v>0</v>
      </c>
      <c r="J234" s="3">
        <f>tblRestaurant[[#This Row],[Total Bill]]*tblRestaurant[[#This Row],[Tip %]]</f>
        <v>5.6124999999999998</v>
      </c>
      <c r="K234" s="7" t="str">
        <f>IF(tblRestaurant[[#This Row],[Cash]]=TRUE,"Cash","Card")</f>
        <v>Card</v>
      </c>
      <c r="L234" s="7" t="str">
        <f>IF(tblRestaurant[[#This Row],[Total Bill]]&lt;20,"Low",IF(tblRestaurant[[#This Row],[Total Bill]]&lt;50,"Medium","High"))</f>
        <v>Medium</v>
      </c>
      <c r="M234" s="7" t="str">
        <f>IF(tblRestaurant[[#This Row],[Party Size]]&lt;=2,"Small",IF(tblRestaurant[[#This Row],[Party Size]]&lt;=4,"Medium","Large"))</f>
        <v>Small</v>
      </c>
      <c r="N234" t="str">
        <f>TEXT(tblRestaurant[[#This Row],[Date]],"mmmm")</f>
        <v>January</v>
      </c>
      <c r="O234" s="12">
        <f>WEEKNUM(tblRestaurant[[#This Row],[Date]])</f>
        <v>3</v>
      </c>
      <c r="P234" s="7" t="str">
        <f>IF(OR(tblRestaurant[[#This Row],[Day]]="Sat",tblRestaurant[[#This Row],[Day]]="Sun"),"Weekend","Weekday")</f>
        <v>Weekend</v>
      </c>
      <c r="Q234" s="7" t="str">
        <f>IF(OR(tblRestaurant[[#This Row],[Day]]="Fri",tblRestaurant[[#This Row],[Day]]="Thu"),"Weekday","Weekend")</f>
        <v>Weekend</v>
      </c>
      <c r="R234" s="7" t="str">
        <f>IF(tblRestaurant[[#This Row],[Total Bill]]&lt;25,"Bronze",IF(tblRestaurant[[#This Row],[Total Bill]]&lt;50,"Silver",IF(tblRestaurant[[#This Row],[Total Bill]]&lt;75,"Gold","Platinum")))</f>
        <v>Bronze</v>
      </c>
      <c r="S234" s="7" cm="1">
        <f t="array" ref="S234">_xlfn.SWITCH(tblRestaurant[[#This Row],[Revenue Tier]],"Bronze",1,"Silver",2,"Gold",3,"Platinum",4)</f>
        <v>1</v>
      </c>
      <c r="T234" s="13">
        <f>AVERAGE(tblRestaurant[[#This Row],[Total Bill]],tblRestaurant[[#This Row],[Party Size]])</f>
        <v>12.225</v>
      </c>
    </row>
    <row r="235" spans="1:20" ht="20.100000000000001" customHeight="1">
      <c r="A235">
        <v>234</v>
      </c>
      <c r="B235" s="2">
        <v>45675</v>
      </c>
      <c r="C235" t="s">
        <v>16</v>
      </c>
      <c r="D235" t="s">
        <v>17</v>
      </c>
      <c r="E235" t="s">
        <v>13</v>
      </c>
      <c r="F235">
        <v>2</v>
      </c>
      <c r="G235" s="3">
        <v>10.97</v>
      </c>
      <c r="H235" s="4">
        <v>0.18</v>
      </c>
      <c r="I235" t="b">
        <v>0</v>
      </c>
      <c r="J235" s="3">
        <f>tblRestaurant[[#This Row],[Total Bill]]*tblRestaurant[[#This Row],[Tip %]]</f>
        <v>1.9746000000000001</v>
      </c>
      <c r="K235" s="7" t="str">
        <f>IF(tblRestaurant[[#This Row],[Cash]]=TRUE,"Cash","Card")</f>
        <v>Card</v>
      </c>
      <c r="L235" s="7" t="str">
        <f>IF(tblRestaurant[[#This Row],[Total Bill]]&lt;20,"Low",IF(tblRestaurant[[#This Row],[Total Bill]]&lt;50,"Medium","High"))</f>
        <v>Low</v>
      </c>
      <c r="M235" s="7" t="str">
        <f>IF(tblRestaurant[[#This Row],[Party Size]]&lt;=2,"Small",IF(tblRestaurant[[#This Row],[Party Size]]&lt;=4,"Medium","Large"))</f>
        <v>Small</v>
      </c>
      <c r="N235" t="str">
        <f>TEXT(tblRestaurant[[#This Row],[Date]],"mmmm")</f>
        <v>January</v>
      </c>
      <c r="O235" s="12">
        <f>WEEKNUM(tblRestaurant[[#This Row],[Date]])</f>
        <v>3</v>
      </c>
      <c r="P235" s="7" t="str">
        <f>IF(OR(tblRestaurant[[#This Row],[Day]]="Sat",tblRestaurant[[#This Row],[Day]]="Sun"),"Weekend","Weekday")</f>
        <v>Weekend</v>
      </c>
      <c r="Q235" s="7" t="str">
        <f>IF(OR(tblRestaurant[[#This Row],[Day]]="Fri",tblRestaurant[[#This Row],[Day]]="Thu"),"Weekday","Weekend")</f>
        <v>Weekend</v>
      </c>
      <c r="R235" s="7" t="str">
        <f>IF(tblRestaurant[[#This Row],[Total Bill]]&lt;25,"Bronze",IF(tblRestaurant[[#This Row],[Total Bill]]&lt;50,"Silver",IF(tblRestaurant[[#This Row],[Total Bill]]&lt;75,"Gold","Platinum")))</f>
        <v>Bronze</v>
      </c>
      <c r="S235" s="7" cm="1">
        <f t="array" ref="S235">_xlfn.SWITCH(tblRestaurant[[#This Row],[Revenue Tier]],"Bronze",1,"Silver",2,"Gold",3,"Platinum",4)</f>
        <v>1</v>
      </c>
      <c r="T235" s="13">
        <f>AVERAGE(tblRestaurant[[#This Row],[Total Bill]],tblRestaurant[[#This Row],[Party Size]])</f>
        <v>6.4850000000000003</v>
      </c>
    </row>
    <row r="236" spans="1:20" ht="20.100000000000001" customHeight="1">
      <c r="A236">
        <v>235</v>
      </c>
      <c r="B236" s="2">
        <v>45675</v>
      </c>
      <c r="C236" t="s">
        <v>16</v>
      </c>
      <c r="D236" t="s">
        <v>17</v>
      </c>
      <c r="E236" t="s">
        <v>13</v>
      </c>
      <c r="F236">
        <v>2</v>
      </c>
      <c r="G236" s="3">
        <v>25.04</v>
      </c>
      <c r="H236" s="4">
        <v>0.2</v>
      </c>
      <c r="I236" t="b">
        <v>0</v>
      </c>
      <c r="J236" s="3">
        <f>tblRestaurant[[#This Row],[Total Bill]]*tblRestaurant[[#This Row],[Tip %]]</f>
        <v>5.008</v>
      </c>
      <c r="K236" s="7" t="str">
        <f>IF(tblRestaurant[[#This Row],[Cash]]=TRUE,"Cash","Card")</f>
        <v>Card</v>
      </c>
      <c r="L236" s="7" t="str">
        <f>IF(tblRestaurant[[#This Row],[Total Bill]]&lt;20,"Low",IF(tblRestaurant[[#This Row],[Total Bill]]&lt;50,"Medium","High"))</f>
        <v>Medium</v>
      </c>
      <c r="M236" s="7" t="str">
        <f>IF(tblRestaurant[[#This Row],[Party Size]]&lt;=2,"Small",IF(tblRestaurant[[#This Row],[Party Size]]&lt;=4,"Medium","Large"))</f>
        <v>Small</v>
      </c>
      <c r="N236" t="str">
        <f>TEXT(tblRestaurant[[#This Row],[Date]],"mmmm")</f>
        <v>January</v>
      </c>
      <c r="O236" s="12">
        <f>WEEKNUM(tblRestaurant[[#This Row],[Date]])</f>
        <v>3</v>
      </c>
      <c r="P236" s="7" t="str">
        <f>IF(OR(tblRestaurant[[#This Row],[Day]]="Sat",tblRestaurant[[#This Row],[Day]]="Sun"),"Weekend","Weekday")</f>
        <v>Weekend</v>
      </c>
      <c r="Q236" s="7" t="str">
        <f>IF(OR(tblRestaurant[[#This Row],[Day]]="Fri",tblRestaurant[[#This Row],[Day]]="Thu"),"Weekday","Weekend")</f>
        <v>Weekend</v>
      </c>
      <c r="R236" s="7" t="str">
        <f>IF(tblRestaurant[[#This Row],[Total Bill]]&lt;25,"Bronze",IF(tblRestaurant[[#This Row],[Total Bill]]&lt;50,"Silver",IF(tblRestaurant[[#This Row],[Total Bill]]&lt;75,"Gold","Platinum")))</f>
        <v>Silver</v>
      </c>
      <c r="S236" s="7" cm="1">
        <f t="array" ref="S236">_xlfn.SWITCH(tblRestaurant[[#This Row],[Revenue Tier]],"Bronze",1,"Silver",2,"Gold",3,"Platinum",4)</f>
        <v>2</v>
      </c>
      <c r="T236" s="13">
        <f>AVERAGE(tblRestaurant[[#This Row],[Total Bill]],tblRestaurant[[#This Row],[Party Size]])</f>
        <v>13.52</v>
      </c>
    </row>
    <row r="237" spans="1:20" ht="20.100000000000001" customHeight="1">
      <c r="A237">
        <v>236</v>
      </c>
      <c r="B237" s="2">
        <v>45675</v>
      </c>
      <c r="C237" t="s">
        <v>16</v>
      </c>
      <c r="D237" t="s">
        <v>17</v>
      </c>
      <c r="E237" t="s">
        <v>13</v>
      </c>
      <c r="F237">
        <v>2</v>
      </c>
      <c r="G237" s="3">
        <v>42.34</v>
      </c>
      <c r="H237" s="4">
        <v>0.2</v>
      </c>
      <c r="I237" t="b">
        <v>1</v>
      </c>
      <c r="J237" s="3">
        <f>tblRestaurant[[#This Row],[Total Bill]]*tblRestaurant[[#This Row],[Tip %]]</f>
        <v>8.4680000000000017</v>
      </c>
      <c r="K237" s="7" t="str">
        <f>IF(tblRestaurant[[#This Row],[Cash]]=TRUE,"Cash","Card")</f>
        <v>Cash</v>
      </c>
      <c r="L237" s="7" t="str">
        <f>IF(tblRestaurant[[#This Row],[Total Bill]]&lt;20,"Low",IF(tblRestaurant[[#This Row],[Total Bill]]&lt;50,"Medium","High"))</f>
        <v>Medium</v>
      </c>
      <c r="M237" s="7" t="str">
        <f>IF(tblRestaurant[[#This Row],[Party Size]]&lt;=2,"Small",IF(tblRestaurant[[#This Row],[Party Size]]&lt;=4,"Medium","Large"))</f>
        <v>Small</v>
      </c>
      <c r="N237" t="str">
        <f>TEXT(tblRestaurant[[#This Row],[Date]],"mmmm")</f>
        <v>January</v>
      </c>
      <c r="O237" s="12">
        <f>WEEKNUM(tblRestaurant[[#This Row],[Date]])</f>
        <v>3</v>
      </c>
      <c r="P237" s="7" t="str">
        <f>IF(OR(tblRestaurant[[#This Row],[Day]]="Sat",tblRestaurant[[#This Row],[Day]]="Sun"),"Weekend","Weekday")</f>
        <v>Weekend</v>
      </c>
      <c r="Q237" s="7" t="str">
        <f>IF(OR(tblRestaurant[[#This Row],[Day]]="Fri",tblRestaurant[[#This Row],[Day]]="Thu"),"Weekday","Weekend")</f>
        <v>Weekend</v>
      </c>
      <c r="R237" s="7" t="str">
        <f>IF(tblRestaurant[[#This Row],[Total Bill]]&lt;25,"Bronze",IF(tblRestaurant[[#This Row],[Total Bill]]&lt;50,"Silver",IF(tblRestaurant[[#This Row],[Total Bill]]&lt;75,"Gold","Platinum")))</f>
        <v>Silver</v>
      </c>
      <c r="S237" s="7" cm="1">
        <f t="array" ref="S237">_xlfn.SWITCH(tblRestaurant[[#This Row],[Revenue Tier]],"Bronze",1,"Silver",2,"Gold",3,"Platinum",4)</f>
        <v>2</v>
      </c>
      <c r="T237" s="13">
        <f>AVERAGE(tblRestaurant[[#This Row],[Total Bill]],tblRestaurant[[#This Row],[Party Size]])</f>
        <v>22.17</v>
      </c>
    </row>
    <row r="238" spans="1:20" ht="20.100000000000001" customHeight="1">
      <c r="A238">
        <v>237</v>
      </c>
      <c r="B238" s="2">
        <v>45675</v>
      </c>
      <c r="C238" t="s">
        <v>16</v>
      </c>
      <c r="D238" t="s">
        <v>17</v>
      </c>
      <c r="E238" t="s">
        <v>13</v>
      </c>
      <c r="F238">
        <v>2</v>
      </c>
      <c r="G238" s="3">
        <v>15.45</v>
      </c>
      <c r="H238" s="4">
        <v>0.2</v>
      </c>
      <c r="I238" t="b">
        <v>0</v>
      </c>
      <c r="J238" s="3">
        <f>tblRestaurant[[#This Row],[Total Bill]]*tblRestaurant[[#This Row],[Tip %]]</f>
        <v>3.09</v>
      </c>
      <c r="K238" s="7" t="str">
        <f>IF(tblRestaurant[[#This Row],[Cash]]=TRUE,"Cash","Card")</f>
        <v>Card</v>
      </c>
      <c r="L238" s="7" t="str">
        <f>IF(tblRestaurant[[#This Row],[Total Bill]]&lt;20,"Low",IF(tblRestaurant[[#This Row],[Total Bill]]&lt;50,"Medium","High"))</f>
        <v>Low</v>
      </c>
      <c r="M238" s="7" t="str">
        <f>IF(tblRestaurant[[#This Row],[Party Size]]&lt;=2,"Small",IF(tblRestaurant[[#This Row],[Party Size]]&lt;=4,"Medium","Large"))</f>
        <v>Small</v>
      </c>
      <c r="N238" t="str">
        <f>TEXT(tblRestaurant[[#This Row],[Date]],"mmmm")</f>
        <v>January</v>
      </c>
      <c r="O238" s="12">
        <f>WEEKNUM(tblRestaurant[[#This Row],[Date]])</f>
        <v>3</v>
      </c>
      <c r="P238" s="7" t="str">
        <f>IF(OR(tblRestaurant[[#This Row],[Day]]="Sat",tblRestaurant[[#This Row],[Day]]="Sun"),"Weekend","Weekday")</f>
        <v>Weekend</v>
      </c>
      <c r="Q238" s="7" t="str">
        <f>IF(OR(tblRestaurant[[#This Row],[Day]]="Fri",tblRestaurant[[#This Row],[Day]]="Thu"),"Weekday","Weekend")</f>
        <v>Weekend</v>
      </c>
      <c r="R238" s="7" t="str">
        <f>IF(tblRestaurant[[#This Row],[Total Bill]]&lt;25,"Bronze",IF(tblRestaurant[[#This Row],[Total Bill]]&lt;50,"Silver",IF(tblRestaurant[[#This Row],[Total Bill]]&lt;75,"Gold","Platinum")))</f>
        <v>Bronze</v>
      </c>
      <c r="S238" s="7" cm="1">
        <f t="array" ref="S238">_xlfn.SWITCH(tblRestaurant[[#This Row],[Revenue Tier]],"Bronze",1,"Silver",2,"Gold",3,"Platinum",4)</f>
        <v>1</v>
      </c>
      <c r="T238" s="13">
        <f>AVERAGE(tblRestaurant[[#This Row],[Total Bill]],tblRestaurant[[#This Row],[Party Size]])</f>
        <v>8.7249999999999996</v>
      </c>
    </row>
    <row r="239" spans="1:20" ht="20.100000000000001" customHeight="1">
      <c r="A239">
        <v>238</v>
      </c>
      <c r="B239" s="2">
        <v>45675</v>
      </c>
      <c r="C239" t="s">
        <v>16</v>
      </c>
      <c r="D239" t="s">
        <v>17</v>
      </c>
      <c r="E239" t="s">
        <v>11</v>
      </c>
      <c r="F239">
        <v>2</v>
      </c>
      <c r="G239" s="3">
        <v>6</v>
      </c>
      <c r="H239" s="4">
        <v>0.1</v>
      </c>
      <c r="I239" t="b">
        <v>0</v>
      </c>
      <c r="J239" s="3">
        <f>tblRestaurant[[#This Row],[Total Bill]]*tblRestaurant[[#This Row],[Tip %]]</f>
        <v>0.60000000000000009</v>
      </c>
      <c r="K239" s="7" t="str">
        <f>IF(tblRestaurant[[#This Row],[Cash]]=TRUE,"Cash","Card")</f>
        <v>Card</v>
      </c>
      <c r="L239" s="7" t="str">
        <f>IF(tblRestaurant[[#This Row],[Total Bill]]&lt;20,"Low",IF(tblRestaurant[[#This Row],[Total Bill]]&lt;50,"Medium","High"))</f>
        <v>Low</v>
      </c>
      <c r="M239" s="7" t="str">
        <f>IF(tblRestaurant[[#This Row],[Party Size]]&lt;=2,"Small",IF(tblRestaurant[[#This Row],[Party Size]]&lt;=4,"Medium","Large"))</f>
        <v>Small</v>
      </c>
      <c r="N239" t="str">
        <f>TEXT(tblRestaurant[[#This Row],[Date]],"mmmm")</f>
        <v>January</v>
      </c>
      <c r="O239" s="12">
        <f>WEEKNUM(tblRestaurant[[#This Row],[Date]])</f>
        <v>3</v>
      </c>
      <c r="P239" s="7" t="str">
        <f>IF(OR(tblRestaurant[[#This Row],[Day]]="Sat",tblRestaurant[[#This Row],[Day]]="Sun"),"Weekend","Weekday")</f>
        <v>Weekend</v>
      </c>
      <c r="Q239" s="7" t="str">
        <f>IF(OR(tblRestaurant[[#This Row],[Day]]="Fri",tblRestaurant[[#This Row],[Day]]="Thu"),"Weekday","Weekend")</f>
        <v>Weekend</v>
      </c>
      <c r="R239" s="7" t="str">
        <f>IF(tblRestaurant[[#This Row],[Total Bill]]&lt;25,"Bronze",IF(tblRestaurant[[#This Row],[Total Bill]]&lt;50,"Silver",IF(tblRestaurant[[#This Row],[Total Bill]]&lt;75,"Gold","Platinum")))</f>
        <v>Bronze</v>
      </c>
      <c r="S239" s="7" cm="1">
        <f t="array" ref="S239">_xlfn.SWITCH(tblRestaurant[[#This Row],[Revenue Tier]],"Bronze",1,"Silver",2,"Gold",3,"Platinum",4)</f>
        <v>1</v>
      </c>
      <c r="T239" s="13">
        <f>AVERAGE(tblRestaurant[[#This Row],[Total Bill]],tblRestaurant[[#This Row],[Party Size]])</f>
        <v>4</v>
      </c>
    </row>
    <row r="240" spans="1:20" ht="20.100000000000001" customHeight="1">
      <c r="A240">
        <v>239</v>
      </c>
      <c r="B240" s="2">
        <v>45675</v>
      </c>
      <c r="C240" t="s">
        <v>16</v>
      </c>
      <c r="D240" t="s">
        <v>17</v>
      </c>
      <c r="E240" t="s">
        <v>12</v>
      </c>
      <c r="F240">
        <v>3</v>
      </c>
      <c r="G240" s="3">
        <v>51.23</v>
      </c>
      <c r="H240" s="4">
        <v>0.15</v>
      </c>
      <c r="I240" t="b">
        <v>0</v>
      </c>
      <c r="J240" s="3">
        <f>tblRestaurant[[#This Row],[Total Bill]]*tblRestaurant[[#This Row],[Tip %]]</f>
        <v>7.684499999999999</v>
      </c>
      <c r="K240" s="7" t="str">
        <f>IF(tblRestaurant[[#This Row],[Cash]]=TRUE,"Cash","Card")</f>
        <v>Card</v>
      </c>
      <c r="L240" s="7" t="str">
        <f>IF(tblRestaurant[[#This Row],[Total Bill]]&lt;20,"Low",IF(tblRestaurant[[#This Row],[Total Bill]]&lt;50,"Medium","High"))</f>
        <v>High</v>
      </c>
      <c r="M240" s="7" t="str">
        <f>IF(tblRestaurant[[#This Row],[Party Size]]&lt;=2,"Small",IF(tblRestaurant[[#This Row],[Party Size]]&lt;=4,"Medium","Large"))</f>
        <v>Medium</v>
      </c>
      <c r="N240" t="str">
        <f>TEXT(tblRestaurant[[#This Row],[Date]],"mmmm")</f>
        <v>January</v>
      </c>
      <c r="O240" s="12">
        <f>WEEKNUM(tblRestaurant[[#This Row],[Date]])</f>
        <v>3</v>
      </c>
      <c r="P240" s="7" t="str">
        <f>IF(OR(tblRestaurant[[#This Row],[Day]]="Sat",tblRestaurant[[#This Row],[Day]]="Sun"),"Weekend","Weekday")</f>
        <v>Weekend</v>
      </c>
      <c r="Q240" s="7" t="str">
        <f>IF(OR(tblRestaurant[[#This Row],[Day]]="Fri",tblRestaurant[[#This Row],[Day]]="Thu"),"Weekday","Weekend")</f>
        <v>Weekend</v>
      </c>
      <c r="R240" s="7" t="str">
        <f>IF(tblRestaurant[[#This Row],[Total Bill]]&lt;25,"Bronze",IF(tblRestaurant[[#This Row],[Total Bill]]&lt;50,"Silver",IF(tblRestaurant[[#This Row],[Total Bill]]&lt;75,"Gold","Platinum")))</f>
        <v>Gold</v>
      </c>
      <c r="S240" s="7" cm="1">
        <f t="array" ref="S240">_xlfn.SWITCH(tblRestaurant[[#This Row],[Revenue Tier]],"Bronze",1,"Silver",2,"Gold",3,"Platinum",4)</f>
        <v>3</v>
      </c>
      <c r="T240" s="13">
        <f>AVERAGE(tblRestaurant[[#This Row],[Total Bill]],tblRestaurant[[#This Row],[Party Size]])</f>
        <v>27.114999999999998</v>
      </c>
    </row>
    <row r="241" spans="1:20" ht="20.100000000000001" customHeight="1">
      <c r="A241">
        <v>240</v>
      </c>
      <c r="B241" s="2">
        <v>45675</v>
      </c>
      <c r="C241" t="s">
        <v>16</v>
      </c>
      <c r="D241" t="s">
        <v>17</v>
      </c>
      <c r="E241" t="s">
        <v>11</v>
      </c>
      <c r="F241">
        <v>3</v>
      </c>
      <c r="G241" s="3">
        <v>23.43</v>
      </c>
      <c r="H241" s="4">
        <v>0.2</v>
      </c>
      <c r="I241" t="b">
        <v>0</v>
      </c>
      <c r="J241" s="3">
        <f>tblRestaurant[[#This Row],[Total Bill]]*tblRestaurant[[#This Row],[Tip %]]</f>
        <v>4.6859999999999999</v>
      </c>
      <c r="K241" s="7" t="str">
        <f>IF(tblRestaurant[[#This Row],[Cash]]=TRUE,"Cash","Card")</f>
        <v>Card</v>
      </c>
      <c r="L241" s="7" t="str">
        <f>IF(tblRestaurant[[#This Row],[Total Bill]]&lt;20,"Low",IF(tblRestaurant[[#This Row],[Total Bill]]&lt;50,"Medium","High"))</f>
        <v>Medium</v>
      </c>
      <c r="M241" s="7" t="str">
        <f>IF(tblRestaurant[[#This Row],[Party Size]]&lt;=2,"Small",IF(tblRestaurant[[#This Row],[Party Size]]&lt;=4,"Medium","Large"))</f>
        <v>Medium</v>
      </c>
      <c r="N241" t="str">
        <f>TEXT(tblRestaurant[[#This Row],[Date]],"mmmm")</f>
        <v>January</v>
      </c>
      <c r="O241" s="12">
        <f>WEEKNUM(tblRestaurant[[#This Row],[Date]])</f>
        <v>3</v>
      </c>
      <c r="P241" s="7" t="str">
        <f>IF(OR(tblRestaurant[[#This Row],[Day]]="Sat",tblRestaurant[[#This Row],[Day]]="Sun"),"Weekend","Weekday")</f>
        <v>Weekend</v>
      </c>
      <c r="Q241" s="7" t="str">
        <f>IF(OR(tblRestaurant[[#This Row],[Day]]="Fri",tblRestaurant[[#This Row],[Day]]="Thu"),"Weekday","Weekend")</f>
        <v>Weekend</v>
      </c>
      <c r="R241" s="7" t="str">
        <f>IF(tblRestaurant[[#This Row],[Total Bill]]&lt;25,"Bronze",IF(tblRestaurant[[#This Row],[Total Bill]]&lt;50,"Silver",IF(tblRestaurant[[#This Row],[Total Bill]]&lt;75,"Gold","Platinum")))</f>
        <v>Bronze</v>
      </c>
      <c r="S241" s="7" cm="1">
        <f t="array" ref="S241">_xlfn.SWITCH(tblRestaurant[[#This Row],[Revenue Tier]],"Bronze",1,"Silver",2,"Gold",3,"Platinum",4)</f>
        <v>1</v>
      </c>
      <c r="T241" s="13">
        <f>AVERAGE(tblRestaurant[[#This Row],[Total Bill]],tblRestaurant[[#This Row],[Party Size]])</f>
        <v>13.215</v>
      </c>
    </row>
    <row r="242" spans="1:20" ht="20.100000000000001" customHeight="1">
      <c r="A242">
        <v>241</v>
      </c>
      <c r="B242" s="2">
        <v>45675</v>
      </c>
      <c r="C242" t="s">
        <v>16</v>
      </c>
      <c r="D242" t="s">
        <v>17</v>
      </c>
      <c r="E242" t="s">
        <v>11</v>
      </c>
      <c r="F242">
        <v>2</v>
      </c>
      <c r="G242" s="3">
        <v>32.97</v>
      </c>
      <c r="H242" s="4">
        <v>0.15</v>
      </c>
      <c r="I242" t="b">
        <v>0</v>
      </c>
      <c r="J242" s="3">
        <f>tblRestaurant[[#This Row],[Total Bill]]*tblRestaurant[[#This Row],[Tip %]]</f>
        <v>4.9455</v>
      </c>
      <c r="K242" s="7" t="str">
        <f>IF(tblRestaurant[[#This Row],[Cash]]=TRUE,"Cash","Card")</f>
        <v>Card</v>
      </c>
      <c r="L242" s="7" t="str">
        <f>IF(tblRestaurant[[#This Row],[Total Bill]]&lt;20,"Low",IF(tblRestaurant[[#This Row],[Total Bill]]&lt;50,"Medium","High"))</f>
        <v>Medium</v>
      </c>
      <c r="M242" s="7" t="str">
        <f>IF(tblRestaurant[[#This Row],[Party Size]]&lt;=2,"Small",IF(tblRestaurant[[#This Row],[Party Size]]&lt;=4,"Medium","Large"))</f>
        <v>Small</v>
      </c>
      <c r="N242" t="str">
        <f>TEXT(tblRestaurant[[#This Row],[Date]],"mmmm")</f>
        <v>January</v>
      </c>
      <c r="O242" s="12">
        <f>WEEKNUM(tblRestaurant[[#This Row],[Date]])</f>
        <v>3</v>
      </c>
      <c r="P242" s="7" t="str">
        <f>IF(OR(tblRestaurant[[#This Row],[Day]]="Sat",tblRestaurant[[#This Row],[Day]]="Sun"),"Weekend","Weekday")</f>
        <v>Weekend</v>
      </c>
      <c r="Q242" s="7" t="str">
        <f>IF(OR(tblRestaurant[[#This Row],[Day]]="Fri",tblRestaurant[[#This Row],[Day]]="Thu"),"Weekday","Weekend")</f>
        <v>Weekend</v>
      </c>
      <c r="R242" s="7" t="str">
        <f>IF(tblRestaurant[[#This Row],[Total Bill]]&lt;25,"Bronze",IF(tblRestaurant[[#This Row],[Total Bill]]&lt;50,"Silver",IF(tblRestaurant[[#This Row],[Total Bill]]&lt;75,"Gold","Platinum")))</f>
        <v>Silver</v>
      </c>
      <c r="S242" s="7" cm="1">
        <f t="array" ref="S242">_xlfn.SWITCH(tblRestaurant[[#This Row],[Revenue Tier]],"Bronze",1,"Silver",2,"Gold",3,"Platinum",4)</f>
        <v>2</v>
      </c>
      <c r="T242" s="13">
        <f>AVERAGE(tblRestaurant[[#This Row],[Total Bill]],tblRestaurant[[#This Row],[Party Size]])</f>
        <v>17.484999999999999</v>
      </c>
    </row>
    <row r="243" spans="1:20" ht="20.100000000000001" customHeight="1">
      <c r="A243">
        <v>242</v>
      </c>
      <c r="B243" s="2">
        <v>45675</v>
      </c>
      <c r="C243" t="s">
        <v>16</v>
      </c>
      <c r="D243" t="s">
        <v>17</v>
      </c>
      <c r="E243" t="s">
        <v>11</v>
      </c>
      <c r="F243">
        <v>2</v>
      </c>
      <c r="G243" s="3">
        <v>34.71</v>
      </c>
      <c r="H243" s="4">
        <v>0.2</v>
      </c>
      <c r="I243" t="b">
        <v>0</v>
      </c>
      <c r="J243" s="3">
        <f>tblRestaurant[[#This Row],[Total Bill]]*tblRestaurant[[#This Row],[Tip %]]</f>
        <v>6.9420000000000002</v>
      </c>
      <c r="K243" s="7" t="str">
        <f>IF(tblRestaurant[[#This Row],[Cash]]=TRUE,"Cash","Card")</f>
        <v>Card</v>
      </c>
      <c r="L243" s="7" t="str">
        <f>IF(tblRestaurant[[#This Row],[Total Bill]]&lt;20,"Low",IF(tblRestaurant[[#This Row],[Total Bill]]&lt;50,"Medium","High"))</f>
        <v>Medium</v>
      </c>
      <c r="M243" s="7" t="str">
        <f>IF(tblRestaurant[[#This Row],[Party Size]]&lt;=2,"Small",IF(tblRestaurant[[#This Row],[Party Size]]&lt;=4,"Medium","Large"))</f>
        <v>Small</v>
      </c>
      <c r="N243" t="str">
        <f>TEXT(tblRestaurant[[#This Row],[Date]],"mmmm")</f>
        <v>January</v>
      </c>
      <c r="O243" s="12">
        <f>WEEKNUM(tblRestaurant[[#This Row],[Date]])</f>
        <v>3</v>
      </c>
      <c r="P243" s="7" t="str">
        <f>IF(OR(tblRestaurant[[#This Row],[Day]]="Sat",tblRestaurant[[#This Row],[Day]]="Sun"),"Weekend","Weekday")</f>
        <v>Weekend</v>
      </c>
      <c r="Q243" s="7" t="str">
        <f>IF(OR(tblRestaurant[[#This Row],[Day]]="Fri",tblRestaurant[[#This Row],[Day]]="Thu"),"Weekday","Weekend")</f>
        <v>Weekend</v>
      </c>
      <c r="R243" s="7" t="str">
        <f>IF(tblRestaurant[[#This Row],[Total Bill]]&lt;25,"Bronze",IF(tblRestaurant[[#This Row],[Total Bill]]&lt;50,"Silver",IF(tblRestaurant[[#This Row],[Total Bill]]&lt;75,"Gold","Platinum")))</f>
        <v>Silver</v>
      </c>
      <c r="S243" s="7" cm="1">
        <f t="array" ref="S243">_xlfn.SWITCH(tblRestaurant[[#This Row],[Revenue Tier]],"Bronze",1,"Silver",2,"Gold",3,"Platinum",4)</f>
        <v>2</v>
      </c>
      <c r="T243" s="13">
        <f>AVERAGE(tblRestaurant[[#This Row],[Total Bill]],tblRestaurant[[#This Row],[Party Size]])</f>
        <v>18.355</v>
      </c>
    </row>
    <row r="244" spans="1:20" ht="20.100000000000001" customHeight="1">
      <c r="A244">
        <v>243</v>
      </c>
      <c r="B244" s="2">
        <v>45675</v>
      </c>
      <c r="C244" t="s">
        <v>16</v>
      </c>
      <c r="D244" t="s">
        <v>17</v>
      </c>
      <c r="E244" t="s">
        <v>13</v>
      </c>
      <c r="F244">
        <v>2</v>
      </c>
      <c r="G244" s="3">
        <v>20.97</v>
      </c>
      <c r="H244" s="4">
        <v>0.2</v>
      </c>
      <c r="I244" t="b">
        <v>0</v>
      </c>
      <c r="J244" s="3">
        <f>tblRestaurant[[#This Row],[Total Bill]]*tblRestaurant[[#This Row],[Tip %]]</f>
        <v>4.194</v>
      </c>
      <c r="K244" s="7" t="str">
        <f>IF(tblRestaurant[[#This Row],[Cash]]=TRUE,"Cash","Card")</f>
        <v>Card</v>
      </c>
      <c r="L244" s="7" t="str">
        <f>IF(tblRestaurant[[#This Row],[Total Bill]]&lt;20,"Low",IF(tblRestaurant[[#This Row],[Total Bill]]&lt;50,"Medium","High"))</f>
        <v>Medium</v>
      </c>
      <c r="M244" s="7" t="str">
        <f>IF(tblRestaurant[[#This Row],[Party Size]]&lt;=2,"Small",IF(tblRestaurant[[#This Row],[Party Size]]&lt;=4,"Medium","Large"))</f>
        <v>Small</v>
      </c>
      <c r="N244" t="str">
        <f>TEXT(tblRestaurant[[#This Row],[Date]],"mmmm")</f>
        <v>January</v>
      </c>
      <c r="O244" s="12">
        <f>WEEKNUM(tblRestaurant[[#This Row],[Date]])</f>
        <v>3</v>
      </c>
      <c r="P244" s="7" t="str">
        <f>IF(OR(tblRestaurant[[#This Row],[Day]]="Sat",tblRestaurant[[#This Row],[Day]]="Sun"),"Weekend","Weekday")</f>
        <v>Weekend</v>
      </c>
      <c r="Q244" s="7" t="str">
        <f>IF(OR(tblRestaurant[[#This Row],[Day]]="Fri",tblRestaurant[[#This Row],[Day]]="Thu"),"Weekday","Weekend")</f>
        <v>Weekend</v>
      </c>
      <c r="R244" s="7" t="str">
        <f>IF(tblRestaurant[[#This Row],[Total Bill]]&lt;25,"Bronze",IF(tblRestaurant[[#This Row],[Total Bill]]&lt;50,"Silver",IF(tblRestaurant[[#This Row],[Total Bill]]&lt;75,"Gold","Platinum")))</f>
        <v>Bronze</v>
      </c>
      <c r="S244" s="7" cm="1">
        <f t="array" ref="S244">_xlfn.SWITCH(tblRestaurant[[#This Row],[Revenue Tier]],"Bronze",1,"Silver",2,"Gold",3,"Platinum",4)</f>
        <v>1</v>
      </c>
      <c r="T244" s="13">
        <f>AVERAGE(tblRestaurant[[#This Row],[Total Bill]],tblRestaurant[[#This Row],[Party Size]])</f>
        <v>11.484999999999999</v>
      </c>
    </row>
    <row r="245" spans="1:20" ht="20.100000000000001" customHeight="1">
      <c r="A245">
        <v>244</v>
      </c>
      <c r="B245" s="2">
        <v>45676</v>
      </c>
      <c r="C245" t="s">
        <v>18</v>
      </c>
      <c r="D245" t="s">
        <v>19</v>
      </c>
      <c r="E245" t="s">
        <v>11</v>
      </c>
      <c r="F245">
        <v>3</v>
      </c>
      <c r="G245" s="3">
        <v>35.86</v>
      </c>
      <c r="H245" s="4">
        <v>0.1</v>
      </c>
      <c r="I245" t="b">
        <v>0</v>
      </c>
      <c r="J245" s="3">
        <f>tblRestaurant[[#This Row],[Total Bill]]*tblRestaurant[[#This Row],[Tip %]]</f>
        <v>3.5860000000000003</v>
      </c>
      <c r="K245" s="7" t="str">
        <f>IF(tblRestaurant[[#This Row],[Cash]]=TRUE,"Cash","Card")</f>
        <v>Card</v>
      </c>
      <c r="L245" s="7" t="str">
        <f>IF(tblRestaurant[[#This Row],[Total Bill]]&lt;20,"Low",IF(tblRestaurant[[#This Row],[Total Bill]]&lt;50,"Medium","High"))</f>
        <v>Medium</v>
      </c>
      <c r="M245" s="7" t="str">
        <f>IF(tblRestaurant[[#This Row],[Party Size]]&lt;=2,"Small",IF(tblRestaurant[[#This Row],[Party Size]]&lt;=4,"Medium","Large"))</f>
        <v>Medium</v>
      </c>
      <c r="N245" t="str">
        <f>TEXT(tblRestaurant[[#This Row],[Date]],"mmmm")</f>
        <v>January</v>
      </c>
      <c r="O245" s="12">
        <f>WEEKNUM(tblRestaurant[[#This Row],[Date]])</f>
        <v>4</v>
      </c>
      <c r="P245" s="7" t="str">
        <f>IF(OR(tblRestaurant[[#This Row],[Day]]="Sat",tblRestaurant[[#This Row],[Day]]="Sun"),"Weekend","Weekday")</f>
        <v>Weekend</v>
      </c>
      <c r="Q245" s="7" t="str">
        <f>IF(OR(tblRestaurant[[#This Row],[Day]]="Fri",tblRestaurant[[#This Row],[Day]]="Thu"),"Weekday","Weekend")</f>
        <v>Weekend</v>
      </c>
      <c r="R245" s="7" t="str">
        <f>IF(tblRestaurant[[#This Row],[Total Bill]]&lt;25,"Bronze",IF(tblRestaurant[[#This Row],[Total Bill]]&lt;50,"Silver",IF(tblRestaurant[[#This Row],[Total Bill]]&lt;75,"Gold","Platinum")))</f>
        <v>Silver</v>
      </c>
      <c r="S245" s="7" cm="1">
        <f t="array" ref="S245">_xlfn.SWITCH(tblRestaurant[[#This Row],[Revenue Tier]],"Bronze",1,"Silver",2,"Gold",3,"Platinum",4)</f>
        <v>2</v>
      </c>
      <c r="T245" s="13">
        <f>AVERAGE(tblRestaurant[[#This Row],[Total Bill]],tblRestaurant[[#This Row],[Party Size]])</f>
        <v>19.43</v>
      </c>
    </row>
    <row r="246" spans="1:20" ht="20.100000000000001" customHeight="1">
      <c r="A246">
        <v>245</v>
      </c>
      <c r="B246" s="2">
        <v>45676</v>
      </c>
      <c r="C246" t="s">
        <v>18</v>
      </c>
      <c r="D246" t="s">
        <v>19</v>
      </c>
      <c r="E246" t="s">
        <v>11</v>
      </c>
      <c r="F246">
        <v>2</v>
      </c>
      <c r="G246" s="3">
        <v>34.89</v>
      </c>
      <c r="H246" s="4">
        <v>0.18</v>
      </c>
      <c r="I246" t="b">
        <v>1</v>
      </c>
      <c r="J246" s="3">
        <f>tblRestaurant[[#This Row],[Total Bill]]*tblRestaurant[[#This Row],[Tip %]]</f>
        <v>6.2801999999999998</v>
      </c>
      <c r="K246" s="7" t="str">
        <f>IF(tblRestaurant[[#This Row],[Cash]]=TRUE,"Cash","Card")</f>
        <v>Cash</v>
      </c>
      <c r="L246" s="7" t="str">
        <f>IF(tblRestaurant[[#This Row],[Total Bill]]&lt;20,"Low",IF(tblRestaurant[[#This Row],[Total Bill]]&lt;50,"Medium","High"))</f>
        <v>Medium</v>
      </c>
      <c r="M246" s="7" t="str">
        <f>IF(tblRestaurant[[#This Row],[Party Size]]&lt;=2,"Small",IF(tblRestaurant[[#This Row],[Party Size]]&lt;=4,"Medium","Large"))</f>
        <v>Small</v>
      </c>
      <c r="N246" t="str">
        <f>TEXT(tblRestaurant[[#This Row],[Date]],"mmmm")</f>
        <v>January</v>
      </c>
      <c r="O246" s="12">
        <f>WEEKNUM(tblRestaurant[[#This Row],[Date]])</f>
        <v>4</v>
      </c>
      <c r="P246" s="7" t="str">
        <f>IF(OR(tblRestaurant[[#This Row],[Day]]="Sat",tblRestaurant[[#This Row],[Day]]="Sun"),"Weekend","Weekday")</f>
        <v>Weekend</v>
      </c>
      <c r="Q246" s="7" t="str">
        <f>IF(OR(tblRestaurant[[#This Row],[Day]]="Fri",tblRestaurant[[#This Row],[Day]]="Thu"),"Weekday","Weekend")</f>
        <v>Weekend</v>
      </c>
      <c r="R246" s="7" t="str">
        <f>IF(tblRestaurant[[#This Row],[Total Bill]]&lt;25,"Bronze",IF(tblRestaurant[[#This Row],[Total Bill]]&lt;50,"Silver",IF(tblRestaurant[[#This Row],[Total Bill]]&lt;75,"Gold","Platinum")))</f>
        <v>Silver</v>
      </c>
      <c r="S246" s="7" cm="1">
        <f t="array" ref="S246">_xlfn.SWITCH(tblRestaurant[[#This Row],[Revenue Tier]],"Bronze",1,"Silver",2,"Gold",3,"Platinum",4)</f>
        <v>2</v>
      </c>
      <c r="T246" s="13">
        <f>AVERAGE(tblRestaurant[[#This Row],[Total Bill]],tblRestaurant[[#This Row],[Party Size]])</f>
        <v>18.445</v>
      </c>
    </row>
    <row r="247" spans="1:20" ht="20.100000000000001" customHeight="1">
      <c r="A247">
        <v>246</v>
      </c>
      <c r="B247" s="2">
        <v>45676</v>
      </c>
      <c r="C247" t="s">
        <v>18</v>
      </c>
      <c r="D247" t="s">
        <v>19</v>
      </c>
      <c r="E247" t="s">
        <v>13</v>
      </c>
      <c r="F247">
        <v>1</v>
      </c>
      <c r="G247" s="3">
        <v>13.23</v>
      </c>
      <c r="H247" s="4">
        <v>0.2</v>
      </c>
      <c r="I247" t="b">
        <v>0</v>
      </c>
      <c r="J247" s="3">
        <f>tblRestaurant[[#This Row],[Total Bill]]*tblRestaurant[[#This Row],[Tip %]]</f>
        <v>2.6460000000000004</v>
      </c>
      <c r="K247" s="7" t="str">
        <f>IF(tblRestaurant[[#This Row],[Cash]]=TRUE,"Cash","Card")</f>
        <v>Card</v>
      </c>
      <c r="L247" s="7" t="str">
        <f>IF(tblRestaurant[[#This Row],[Total Bill]]&lt;20,"Low",IF(tblRestaurant[[#This Row],[Total Bill]]&lt;50,"Medium","High"))</f>
        <v>Low</v>
      </c>
      <c r="M247" s="7" t="str">
        <f>IF(tblRestaurant[[#This Row],[Party Size]]&lt;=2,"Small",IF(tblRestaurant[[#This Row],[Party Size]]&lt;=4,"Medium","Large"))</f>
        <v>Small</v>
      </c>
      <c r="N247" t="str">
        <f>TEXT(tblRestaurant[[#This Row],[Date]],"mmmm")</f>
        <v>January</v>
      </c>
      <c r="O247" s="12">
        <f>WEEKNUM(tblRestaurant[[#This Row],[Date]])</f>
        <v>4</v>
      </c>
      <c r="P247" s="7" t="str">
        <f>IF(OR(tblRestaurant[[#This Row],[Day]]="Sat",tblRestaurant[[#This Row],[Day]]="Sun"),"Weekend","Weekday")</f>
        <v>Weekend</v>
      </c>
      <c r="Q247" s="7" t="str">
        <f>IF(OR(tblRestaurant[[#This Row],[Day]]="Fri",tblRestaurant[[#This Row],[Day]]="Thu"),"Weekday","Weekend")</f>
        <v>Weekend</v>
      </c>
      <c r="R247" s="7" t="str">
        <f>IF(tblRestaurant[[#This Row],[Total Bill]]&lt;25,"Bronze",IF(tblRestaurant[[#This Row],[Total Bill]]&lt;50,"Silver",IF(tblRestaurant[[#This Row],[Total Bill]]&lt;75,"Gold","Platinum")))</f>
        <v>Bronze</v>
      </c>
      <c r="S247" s="7" cm="1">
        <f t="array" ref="S247">_xlfn.SWITCH(tblRestaurant[[#This Row],[Revenue Tier]],"Bronze",1,"Silver",2,"Gold",3,"Platinum",4)</f>
        <v>1</v>
      </c>
      <c r="T247" s="13">
        <f>AVERAGE(tblRestaurant[[#This Row],[Total Bill]],tblRestaurant[[#This Row],[Party Size]])</f>
        <v>7.1150000000000002</v>
      </c>
    </row>
    <row r="248" spans="1:20" ht="20.100000000000001" customHeight="1">
      <c r="A248">
        <v>247</v>
      </c>
      <c r="B248" s="2">
        <v>45676</v>
      </c>
      <c r="C248" t="s">
        <v>18</v>
      </c>
      <c r="D248" t="s">
        <v>19</v>
      </c>
      <c r="E248" t="s">
        <v>14</v>
      </c>
      <c r="F248">
        <v>3</v>
      </c>
      <c r="G248" s="3">
        <v>41.42</v>
      </c>
      <c r="H248" s="4">
        <v>0.18</v>
      </c>
      <c r="I248" t="b">
        <v>1</v>
      </c>
      <c r="J248" s="3">
        <f>tblRestaurant[[#This Row],[Total Bill]]*tblRestaurant[[#This Row],[Tip %]]</f>
        <v>7.4556000000000004</v>
      </c>
      <c r="K248" s="7" t="str">
        <f>IF(tblRestaurant[[#This Row],[Cash]]=TRUE,"Cash","Card")</f>
        <v>Cash</v>
      </c>
      <c r="L248" s="7" t="str">
        <f>IF(tblRestaurant[[#This Row],[Total Bill]]&lt;20,"Low",IF(tblRestaurant[[#This Row],[Total Bill]]&lt;50,"Medium","High"))</f>
        <v>Medium</v>
      </c>
      <c r="M248" s="7" t="str">
        <f>IF(tblRestaurant[[#This Row],[Party Size]]&lt;=2,"Small",IF(tblRestaurant[[#This Row],[Party Size]]&lt;=4,"Medium","Large"))</f>
        <v>Medium</v>
      </c>
      <c r="N248" t="str">
        <f>TEXT(tblRestaurant[[#This Row],[Date]],"mmmm")</f>
        <v>January</v>
      </c>
      <c r="O248" s="12">
        <f>WEEKNUM(tblRestaurant[[#This Row],[Date]])</f>
        <v>4</v>
      </c>
      <c r="P248" s="7" t="str">
        <f>IF(OR(tblRestaurant[[#This Row],[Day]]="Sat",tblRestaurant[[#This Row],[Day]]="Sun"),"Weekend","Weekday")</f>
        <v>Weekend</v>
      </c>
      <c r="Q248" s="7" t="str">
        <f>IF(OR(tblRestaurant[[#This Row],[Day]]="Fri",tblRestaurant[[#This Row],[Day]]="Thu"),"Weekday","Weekend")</f>
        <v>Weekend</v>
      </c>
      <c r="R248" s="7" t="str">
        <f>IF(tblRestaurant[[#This Row],[Total Bill]]&lt;25,"Bronze",IF(tblRestaurant[[#This Row],[Total Bill]]&lt;50,"Silver",IF(tblRestaurant[[#This Row],[Total Bill]]&lt;75,"Gold","Platinum")))</f>
        <v>Silver</v>
      </c>
      <c r="S248" s="7" cm="1">
        <f t="array" ref="S248">_xlfn.SWITCH(tblRestaurant[[#This Row],[Revenue Tier]],"Bronze",1,"Silver",2,"Gold",3,"Platinum",4)</f>
        <v>2</v>
      </c>
      <c r="T248" s="13">
        <f>AVERAGE(tblRestaurant[[#This Row],[Total Bill]],tblRestaurant[[#This Row],[Party Size]])</f>
        <v>22.21</v>
      </c>
    </row>
    <row r="249" spans="1:20" ht="20.100000000000001" customHeight="1">
      <c r="A249">
        <v>248</v>
      </c>
      <c r="B249" s="2">
        <v>45676</v>
      </c>
      <c r="C249" t="s">
        <v>18</v>
      </c>
      <c r="D249" t="s">
        <v>19</v>
      </c>
      <c r="E249" t="s">
        <v>14</v>
      </c>
      <c r="F249">
        <v>2</v>
      </c>
      <c r="G249" s="3">
        <v>26.1</v>
      </c>
      <c r="H249" s="4">
        <v>0.18</v>
      </c>
      <c r="I249" t="b">
        <v>1</v>
      </c>
      <c r="J249" s="3">
        <f>tblRestaurant[[#This Row],[Total Bill]]*tblRestaurant[[#This Row],[Tip %]]</f>
        <v>4.6980000000000004</v>
      </c>
      <c r="K249" s="7" t="str">
        <f>IF(tblRestaurant[[#This Row],[Cash]]=TRUE,"Cash","Card")</f>
        <v>Cash</v>
      </c>
      <c r="L249" s="7" t="str">
        <f>IF(tblRestaurant[[#This Row],[Total Bill]]&lt;20,"Low",IF(tblRestaurant[[#This Row],[Total Bill]]&lt;50,"Medium","High"))</f>
        <v>Medium</v>
      </c>
      <c r="M249" s="7" t="str">
        <f>IF(tblRestaurant[[#This Row],[Party Size]]&lt;=2,"Small",IF(tblRestaurant[[#This Row],[Party Size]]&lt;=4,"Medium","Large"))</f>
        <v>Small</v>
      </c>
      <c r="N249" t="str">
        <f>TEXT(tblRestaurant[[#This Row],[Date]],"mmmm")</f>
        <v>January</v>
      </c>
      <c r="O249" s="12">
        <f>WEEKNUM(tblRestaurant[[#This Row],[Date]])</f>
        <v>4</v>
      </c>
      <c r="P249" s="7" t="str">
        <f>IF(OR(tblRestaurant[[#This Row],[Day]]="Sat",tblRestaurant[[#This Row],[Day]]="Sun"),"Weekend","Weekday")</f>
        <v>Weekend</v>
      </c>
      <c r="Q249" s="7" t="str">
        <f>IF(OR(tblRestaurant[[#This Row],[Day]]="Fri",tblRestaurant[[#This Row],[Day]]="Thu"),"Weekday","Weekend")</f>
        <v>Weekend</v>
      </c>
      <c r="R249" s="7" t="str">
        <f>IF(tblRestaurant[[#This Row],[Total Bill]]&lt;25,"Bronze",IF(tblRestaurant[[#This Row],[Total Bill]]&lt;50,"Silver",IF(tblRestaurant[[#This Row],[Total Bill]]&lt;75,"Gold","Platinum")))</f>
        <v>Silver</v>
      </c>
      <c r="S249" s="7" cm="1">
        <f t="array" ref="S249">_xlfn.SWITCH(tblRestaurant[[#This Row],[Revenue Tier]],"Bronze",1,"Silver",2,"Gold",3,"Platinum",4)</f>
        <v>2</v>
      </c>
      <c r="T249" s="13">
        <f>AVERAGE(tblRestaurant[[#This Row],[Total Bill]],tblRestaurant[[#This Row],[Party Size]])</f>
        <v>14.05</v>
      </c>
    </row>
    <row r="250" spans="1:20" ht="20.100000000000001" customHeight="1">
      <c r="A250">
        <v>249</v>
      </c>
      <c r="B250" s="2">
        <v>45676</v>
      </c>
      <c r="C250" t="s">
        <v>18</v>
      </c>
      <c r="D250" t="s">
        <v>19</v>
      </c>
      <c r="E250" t="s">
        <v>11</v>
      </c>
      <c r="F250">
        <v>1</v>
      </c>
      <c r="G250" s="3">
        <v>12.05</v>
      </c>
      <c r="H250" s="4">
        <v>0.18</v>
      </c>
      <c r="I250" t="b">
        <v>0</v>
      </c>
      <c r="J250" s="3">
        <f>tblRestaurant[[#This Row],[Total Bill]]*tblRestaurant[[#This Row],[Tip %]]</f>
        <v>2.169</v>
      </c>
      <c r="K250" s="7" t="str">
        <f>IF(tblRestaurant[[#This Row],[Cash]]=TRUE,"Cash","Card")</f>
        <v>Card</v>
      </c>
      <c r="L250" s="7" t="str">
        <f>IF(tblRestaurant[[#This Row],[Total Bill]]&lt;20,"Low",IF(tblRestaurant[[#This Row],[Total Bill]]&lt;50,"Medium","High"))</f>
        <v>Low</v>
      </c>
      <c r="M250" s="7" t="str">
        <f>IF(tblRestaurant[[#This Row],[Party Size]]&lt;=2,"Small",IF(tblRestaurant[[#This Row],[Party Size]]&lt;=4,"Medium","Large"))</f>
        <v>Small</v>
      </c>
      <c r="N250" t="str">
        <f>TEXT(tblRestaurant[[#This Row],[Date]],"mmmm")</f>
        <v>January</v>
      </c>
      <c r="O250" s="12">
        <f>WEEKNUM(tblRestaurant[[#This Row],[Date]])</f>
        <v>4</v>
      </c>
      <c r="P250" s="7" t="str">
        <f>IF(OR(tblRestaurant[[#This Row],[Day]]="Sat",tblRestaurant[[#This Row],[Day]]="Sun"),"Weekend","Weekday")</f>
        <v>Weekend</v>
      </c>
      <c r="Q250" s="7" t="str">
        <f>IF(OR(tblRestaurant[[#This Row],[Day]]="Fri",tblRestaurant[[#This Row],[Day]]="Thu"),"Weekday","Weekend")</f>
        <v>Weekend</v>
      </c>
      <c r="R250" s="7" t="str">
        <f>IF(tblRestaurant[[#This Row],[Total Bill]]&lt;25,"Bronze",IF(tblRestaurant[[#This Row],[Total Bill]]&lt;50,"Silver",IF(tblRestaurant[[#This Row],[Total Bill]]&lt;75,"Gold","Platinum")))</f>
        <v>Bronze</v>
      </c>
      <c r="S250" s="7" cm="1">
        <f t="array" ref="S250">_xlfn.SWITCH(tblRestaurant[[#This Row],[Revenue Tier]],"Bronze",1,"Silver",2,"Gold",3,"Platinum",4)</f>
        <v>1</v>
      </c>
      <c r="T250" s="13">
        <f>AVERAGE(tblRestaurant[[#This Row],[Total Bill]],tblRestaurant[[#This Row],[Party Size]])</f>
        <v>6.5250000000000004</v>
      </c>
    </row>
    <row r="251" spans="1:20" ht="20.100000000000001" customHeight="1">
      <c r="A251">
        <v>250</v>
      </c>
      <c r="B251" s="2">
        <v>45676</v>
      </c>
      <c r="C251" t="s">
        <v>18</v>
      </c>
      <c r="D251" t="s">
        <v>19</v>
      </c>
      <c r="E251" t="s">
        <v>14</v>
      </c>
      <c r="F251">
        <v>1</v>
      </c>
      <c r="G251" s="3">
        <v>6.02</v>
      </c>
      <c r="H251" s="4">
        <v>0.2</v>
      </c>
      <c r="I251" t="b">
        <v>0</v>
      </c>
      <c r="J251" s="3">
        <f>tblRestaurant[[#This Row],[Total Bill]]*tblRestaurant[[#This Row],[Tip %]]</f>
        <v>1.204</v>
      </c>
      <c r="K251" s="7" t="str">
        <f>IF(tblRestaurant[[#This Row],[Cash]]=TRUE,"Cash","Card")</f>
        <v>Card</v>
      </c>
      <c r="L251" s="7" t="str">
        <f>IF(tblRestaurant[[#This Row],[Total Bill]]&lt;20,"Low",IF(tblRestaurant[[#This Row],[Total Bill]]&lt;50,"Medium","High"))</f>
        <v>Low</v>
      </c>
      <c r="M251" s="7" t="str">
        <f>IF(tblRestaurant[[#This Row],[Party Size]]&lt;=2,"Small",IF(tblRestaurant[[#This Row],[Party Size]]&lt;=4,"Medium","Large"))</f>
        <v>Small</v>
      </c>
      <c r="N251" t="str">
        <f>TEXT(tblRestaurant[[#This Row],[Date]],"mmmm")</f>
        <v>January</v>
      </c>
      <c r="O251" s="12">
        <f>WEEKNUM(tblRestaurant[[#This Row],[Date]])</f>
        <v>4</v>
      </c>
      <c r="P251" s="7" t="str">
        <f>IF(OR(tblRestaurant[[#This Row],[Day]]="Sat",tblRestaurant[[#This Row],[Day]]="Sun"),"Weekend","Weekday")</f>
        <v>Weekend</v>
      </c>
      <c r="Q251" s="7" t="str">
        <f>IF(OR(tblRestaurant[[#This Row],[Day]]="Fri",tblRestaurant[[#This Row],[Day]]="Thu"),"Weekday","Weekend")</f>
        <v>Weekend</v>
      </c>
      <c r="R251" s="7" t="str">
        <f>IF(tblRestaurant[[#This Row],[Total Bill]]&lt;25,"Bronze",IF(tblRestaurant[[#This Row],[Total Bill]]&lt;50,"Silver",IF(tblRestaurant[[#This Row],[Total Bill]]&lt;75,"Gold","Platinum")))</f>
        <v>Bronze</v>
      </c>
      <c r="S251" s="7" cm="1">
        <f t="array" ref="S251">_xlfn.SWITCH(tblRestaurant[[#This Row],[Revenue Tier]],"Bronze",1,"Silver",2,"Gold",3,"Platinum",4)</f>
        <v>1</v>
      </c>
      <c r="T251" s="13">
        <f>AVERAGE(tblRestaurant[[#This Row],[Total Bill]],tblRestaurant[[#This Row],[Party Size]])</f>
        <v>3.51</v>
      </c>
    </row>
    <row r="252" spans="1:20" ht="20.100000000000001" customHeight="1">
      <c r="A252">
        <v>251</v>
      </c>
      <c r="B252" s="2">
        <v>45676</v>
      </c>
      <c r="C252" t="s">
        <v>18</v>
      </c>
      <c r="D252" t="s">
        <v>19</v>
      </c>
      <c r="E252" t="s">
        <v>11</v>
      </c>
      <c r="F252">
        <v>3</v>
      </c>
      <c r="G252" s="3">
        <v>47.27</v>
      </c>
      <c r="H252" s="4">
        <v>0.15</v>
      </c>
      <c r="I252" t="b">
        <v>0</v>
      </c>
      <c r="J252" s="3">
        <f>tblRestaurant[[#This Row],[Total Bill]]*tblRestaurant[[#This Row],[Tip %]]</f>
        <v>7.0905000000000005</v>
      </c>
      <c r="K252" s="7" t="str">
        <f>IF(tblRestaurant[[#This Row],[Cash]]=TRUE,"Cash","Card")</f>
        <v>Card</v>
      </c>
      <c r="L252" s="7" t="str">
        <f>IF(tblRestaurant[[#This Row],[Total Bill]]&lt;20,"Low",IF(tblRestaurant[[#This Row],[Total Bill]]&lt;50,"Medium","High"))</f>
        <v>Medium</v>
      </c>
      <c r="M252" s="7" t="str">
        <f>IF(tblRestaurant[[#This Row],[Party Size]]&lt;=2,"Small",IF(tblRestaurant[[#This Row],[Party Size]]&lt;=4,"Medium","Large"))</f>
        <v>Medium</v>
      </c>
      <c r="N252" t="str">
        <f>TEXT(tblRestaurant[[#This Row],[Date]],"mmmm")</f>
        <v>January</v>
      </c>
      <c r="O252" s="12">
        <f>WEEKNUM(tblRestaurant[[#This Row],[Date]])</f>
        <v>4</v>
      </c>
      <c r="P252" s="7" t="str">
        <f>IF(OR(tblRestaurant[[#This Row],[Day]]="Sat",tblRestaurant[[#This Row],[Day]]="Sun"),"Weekend","Weekday")</f>
        <v>Weekend</v>
      </c>
      <c r="Q252" s="7" t="str">
        <f>IF(OR(tblRestaurant[[#This Row],[Day]]="Fri",tblRestaurant[[#This Row],[Day]]="Thu"),"Weekday","Weekend")</f>
        <v>Weekend</v>
      </c>
      <c r="R252" s="7" t="str">
        <f>IF(tblRestaurant[[#This Row],[Total Bill]]&lt;25,"Bronze",IF(tblRestaurant[[#This Row],[Total Bill]]&lt;50,"Silver",IF(tblRestaurant[[#This Row],[Total Bill]]&lt;75,"Gold","Platinum")))</f>
        <v>Silver</v>
      </c>
      <c r="S252" s="7" cm="1">
        <f t="array" ref="S252">_xlfn.SWITCH(tblRestaurant[[#This Row],[Revenue Tier]],"Bronze",1,"Silver",2,"Gold",3,"Platinum",4)</f>
        <v>2</v>
      </c>
      <c r="T252" s="13">
        <f>AVERAGE(tblRestaurant[[#This Row],[Total Bill]],tblRestaurant[[#This Row],[Party Size]])</f>
        <v>25.135000000000002</v>
      </c>
    </row>
    <row r="253" spans="1:20" ht="20.100000000000001" customHeight="1">
      <c r="A253">
        <v>252</v>
      </c>
      <c r="B253" s="2">
        <v>45676</v>
      </c>
      <c r="C253" t="s">
        <v>18</v>
      </c>
      <c r="D253" t="s">
        <v>17</v>
      </c>
      <c r="E253" t="s">
        <v>14</v>
      </c>
      <c r="F253">
        <v>1</v>
      </c>
      <c r="G253" s="3">
        <v>3.84</v>
      </c>
      <c r="H253" s="4">
        <v>0.2</v>
      </c>
      <c r="I253" t="b">
        <v>0</v>
      </c>
      <c r="J253" s="3">
        <f>tblRestaurant[[#This Row],[Total Bill]]*tblRestaurant[[#This Row],[Tip %]]</f>
        <v>0.76800000000000002</v>
      </c>
      <c r="K253" s="7" t="str">
        <f>IF(tblRestaurant[[#This Row],[Cash]]=TRUE,"Cash","Card")</f>
        <v>Card</v>
      </c>
      <c r="L253" s="7" t="str">
        <f>IF(tblRestaurant[[#This Row],[Total Bill]]&lt;20,"Low",IF(tblRestaurant[[#This Row],[Total Bill]]&lt;50,"Medium","High"))</f>
        <v>Low</v>
      </c>
      <c r="M253" s="7" t="str">
        <f>IF(tblRestaurant[[#This Row],[Party Size]]&lt;=2,"Small",IF(tblRestaurant[[#This Row],[Party Size]]&lt;=4,"Medium","Large"))</f>
        <v>Small</v>
      </c>
      <c r="N253" t="str">
        <f>TEXT(tblRestaurant[[#This Row],[Date]],"mmmm")</f>
        <v>January</v>
      </c>
      <c r="O253" s="12">
        <f>WEEKNUM(tblRestaurant[[#This Row],[Date]])</f>
        <v>4</v>
      </c>
      <c r="P253" s="7" t="str">
        <f>IF(OR(tblRestaurant[[#This Row],[Day]]="Sat",tblRestaurant[[#This Row],[Day]]="Sun"),"Weekend","Weekday")</f>
        <v>Weekend</v>
      </c>
      <c r="Q253" s="7" t="str">
        <f>IF(OR(tblRestaurant[[#This Row],[Day]]="Fri",tblRestaurant[[#This Row],[Day]]="Thu"),"Weekday","Weekend")</f>
        <v>Weekend</v>
      </c>
      <c r="R253" s="7" t="str">
        <f>IF(tblRestaurant[[#This Row],[Total Bill]]&lt;25,"Bronze",IF(tblRestaurant[[#This Row],[Total Bill]]&lt;50,"Silver",IF(tblRestaurant[[#This Row],[Total Bill]]&lt;75,"Gold","Platinum")))</f>
        <v>Bronze</v>
      </c>
      <c r="S253" s="7" cm="1">
        <f t="array" ref="S253">_xlfn.SWITCH(tblRestaurant[[#This Row],[Revenue Tier]],"Bronze",1,"Silver",2,"Gold",3,"Platinum",4)</f>
        <v>1</v>
      </c>
      <c r="T253" s="13">
        <f>AVERAGE(tblRestaurant[[#This Row],[Total Bill]],tblRestaurant[[#This Row],[Party Size]])</f>
        <v>2.42</v>
      </c>
    </row>
    <row r="254" spans="1:20" ht="20.100000000000001" customHeight="1">
      <c r="A254">
        <v>253</v>
      </c>
      <c r="B254" s="2">
        <v>45676</v>
      </c>
      <c r="C254" t="s">
        <v>18</v>
      </c>
      <c r="D254" t="s">
        <v>17</v>
      </c>
      <c r="E254" t="s">
        <v>13</v>
      </c>
      <c r="F254">
        <v>2</v>
      </c>
      <c r="G254" s="3">
        <v>11.1</v>
      </c>
      <c r="H254" s="4">
        <v>0.25</v>
      </c>
      <c r="I254" t="b">
        <v>0</v>
      </c>
      <c r="J254" s="3">
        <f>tblRestaurant[[#This Row],[Total Bill]]*tblRestaurant[[#This Row],[Tip %]]</f>
        <v>2.7749999999999999</v>
      </c>
      <c r="K254" s="7" t="str">
        <f>IF(tblRestaurant[[#This Row],[Cash]]=TRUE,"Cash","Card")</f>
        <v>Card</v>
      </c>
      <c r="L254" s="7" t="str">
        <f>IF(tblRestaurant[[#This Row],[Total Bill]]&lt;20,"Low",IF(tblRestaurant[[#This Row],[Total Bill]]&lt;50,"Medium","High"))</f>
        <v>Low</v>
      </c>
      <c r="M254" s="7" t="str">
        <f>IF(tblRestaurant[[#This Row],[Party Size]]&lt;=2,"Small",IF(tblRestaurant[[#This Row],[Party Size]]&lt;=4,"Medium","Large"))</f>
        <v>Small</v>
      </c>
      <c r="N254" t="str">
        <f>TEXT(tblRestaurant[[#This Row],[Date]],"mmmm")</f>
        <v>January</v>
      </c>
      <c r="O254" s="12">
        <f>WEEKNUM(tblRestaurant[[#This Row],[Date]])</f>
        <v>4</v>
      </c>
      <c r="P254" s="7" t="str">
        <f>IF(OR(tblRestaurant[[#This Row],[Day]]="Sat",tblRestaurant[[#This Row],[Day]]="Sun"),"Weekend","Weekday")</f>
        <v>Weekend</v>
      </c>
      <c r="Q254" s="7" t="str">
        <f>IF(OR(tblRestaurant[[#This Row],[Day]]="Fri",tblRestaurant[[#This Row],[Day]]="Thu"),"Weekday","Weekend")</f>
        <v>Weekend</v>
      </c>
      <c r="R254" s="7" t="str">
        <f>IF(tblRestaurant[[#This Row],[Total Bill]]&lt;25,"Bronze",IF(tblRestaurant[[#This Row],[Total Bill]]&lt;50,"Silver",IF(tblRestaurant[[#This Row],[Total Bill]]&lt;75,"Gold","Platinum")))</f>
        <v>Bronze</v>
      </c>
      <c r="S254" s="7" cm="1">
        <f t="array" ref="S254">_xlfn.SWITCH(tblRestaurant[[#This Row],[Revenue Tier]],"Bronze",1,"Silver",2,"Gold",3,"Platinum",4)</f>
        <v>1</v>
      </c>
      <c r="T254" s="13">
        <f>AVERAGE(tblRestaurant[[#This Row],[Total Bill]],tblRestaurant[[#This Row],[Party Size]])</f>
        <v>6.55</v>
      </c>
    </row>
    <row r="255" spans="1:20" ht="20.100000000000001" customHeight="1">
      <c r="A255">
        <v>254</v>
      </c>
      <c r="B255" s="2">
        <v>45676</v>
      </c>
      <c r="C255" t="s">
        <v>18</v>
      </c>
      <c r="D255" t="s">
        <v>17</v>
      </c>
      <c r="E255" t="s">
        <v>14</v>
      </c>
      <c r="F255">
        <v>2</v>
      </c>
      <c r="G255" s="3">
        <v>28.29</v>
      </c>
      <c r="H255" s="4">
        <v>0.18</v>
      </c>
      <c r="I255" t="b">
        <v>0</v>
      </c>
      <c r="J255" s="3">
        <f>tblRestaurant[[#This Row],[Total Bill]]*tblRestaurant[[#This Row],[Tip %]]</f>
        <v>5.0922000000000001</v>
      </c>
      <c r="K255" s="7" t="str">
        <f>IF(tblRestaurant[[#This Row],[Cash]]=TRUE,"Cash","Card")</f>
        <v>Card</v>
      </c>
      <c r="L255" s="7" t="str">
        <f>IF(tblRestaurant[[#This Row],[Total Bill]]&lt;20,"Low",IF(tblRestaurant[[#This Row],[Total Bill]]&lt;50,"Medium","High"))</f>
        <v>Medium</v>
      </c>
      <c r="M255" s="7" t="str">
        <f>IF(tblRestaurant[[#This Row],[Party Size]]&lt;=2,"Small",IF(tblRestaurant[[#This Row],[Party Size]]&lt;=4,"Medium","Large"))</f>
        <v>Small</v>
      </c>
      <c r="N255" t="str">
        <f>TEXT(tblRestaurant[[#This Row],[Date]],"mmmm")</f>
        <v>January</v>
      </c>
      <c r="O255" s="12">
        <f>WEEKNUM(tblRestaurant[[#This Row],[Date]])</f>
        <v>4</v>
      </c>
      <c r="P255" s="7" t="str">
        <f>IF(OR(tblRestaurant[[#This Row],[Day]]="Sat",tblRestaurant[[#This Row],[Day]]="Sun"),"Weekend","Weekday")</f>
        <v>Weekend</v>
      </c>
      <c r="Q255" s="7" t="str">
        <f>IF(OR(tblRestaurant[[#This Row],[Day]]="Fri",tblRestaurant[[#This Row],[Day]]="Thu"),"Weekday","Weekend")</f>
        <v>Weekend</v>
      </c>
      <c r="R255" s="7" t="str">
        <f>IF(tblRestaurant[[#This Row],[Total Bill]]&lt;25,"Bronze",IF(tblRestaurant[[#This Row],[Total Bill]]&lt;50,"Silver",IF(tblRestaurant[[#This Row],[Total Bill]]&lt;75,"Gold","Platinum")))</f>
        <v>Silver</v>
      </c>
      <c r="S255" s="7" cm="1">
        <f t="array" ref="S255">_xlfn.SWITCH(tblRestaurant[[#This Row],[Revenue Tier]],"Bronze",1,"Silver",2,"Gold",3,"Platinum",4)</f>
        <v>2</v>
      </c>
      <c r="T255" s="13">
        <f>AVERAGE(tblRestaurant[[#This Row],[Total Bill]],tblRestaurant[[#This Row],[Party Size]])</f>
        <v>15.145</v>
      </c>
    </row>
    <row r="256" spans="1:20" ht="20.100000000000001" customHeight="1">
      <c r="A256">
        <v>255</v>
      </c>
      <c r="B256" s="2">
        <v>45676</v>
      </c>
      <c r="C256" t="s">
        <v>18</v>
      </c>
      <c r="D256" t="s">
        <v>17</v>
      </c>
      <c r="E256" t="s">
        <v>14</v>
      </c>
      <c r="F256">
        <v>2</v>
      </c>
      <c r="G256" s="3">
        <v>15.15</v>
      </c>
      <c r="H256" s="4">
        <v>0.2</v>
      </c>
      <c r="I256" t="b">
        <v>0</v>
      </c>
      <c r="J256" s="3">
        <f>tblRestaurant[[#This Row],[Total Bill]]*tblRestaurant[[#This Row],[Tip %]]</f>
        <v>3.0300000000000002</v>
      </c>
      <c r="K256" s="7" t="str">
        <f>IF(tblRestaurant[[#This Row],[Cash]]=TRUE,"Cash","Card")</f>
        <v>Card</v>
      </c>
      <c r="L256" s="7" t="str">
        <f>IF(tblRestaurant[[#This Row],[Total Bill]]&lt;20,"Low",IF(tblRestaurant[[#This Row],[Total Bill]]&lt;50,"Medium","High"))</f>
        <v>Low</v>
      </c>
      <c r="M256" s="7" t="str">
        <f>IF(tblRestaurant[[#This Row],[Party Size]]&lt;=2,"Small",IF(tblRestaurant[[#This Row],[Party Size]]&lt;=4,"Medium","Large"))</f>
        <v>Small</v>
      </c>
      <c r="N256" t="str">
        <f>TEXT(tblRestaurant[[#This Row],[Date]],"mmmm")</f>
        <v>January</v>
      </c>
      <c r="O256" s="12">
        <f>WEEKNUM(tblRestaurant[[#This Row],[Date]])</f>
        <v>4</v>
      </c>
      <c r="P256" s="7" t="str">
        <f>IF(OR(tblRestaurant[[#This Row],[Day]]="Sat",tblRestaurant[[#This Row],[Day]]="Sun"),"Weekend","Weekday")</f>
        <v>Weekend</v>
      </c>
      <c r="Q256" s="7" t="str">
        <f>IF(OR(tblRestaurant[[#This Row],[Day]]="Fri",tblRestaurant[[#This Row],[Day]]="Thu"),"Weekday","Weekend")</f>
        <v>Weekend</v>
      </c>
      <c r="R256" s="7" t="str">
        <f>IF(tblRestaurant[[#This Row],[Total Bill]]&lt;25,"Bronze",IF(tblRestaurant[[#This Row],[Total Bill]]&lt;50,"Silver",IF(tblRestaurant[[#This Row],[Total Bill]]&lt;75,"Gold","Platinum")))</f>
        <v>Bronze</v>
      </c>
      <c r="S256" s="7" cm="1">
        <f t="array" ref="S256">_xlfn.SWITCH(tblRestaurant[[#This Row],[Revenue Tier]],"Bronze",1,"Silver",2,"Gold",3,"Platinum",4)</f>
        <v>1</v>
      </c>
      <c r="T256" s="13">
        <f>AVERAGE(tblRestaurant[[#This Row],[Total Bill]],tblRestaurant[[#This Row],[Party Size]])</f>
        <v>8.5749999999999993</v>
      </c>
    </row>
    <row r="257" spans="1:20" ht="20.100000000000001" customHeight="1">
      <c r="A257">
        <v>256</v>
      </c>
      <c r="B257" s="2">
        <v>45676</v>
      </c>
      <c r="C257" t="s">
        <v>18</v>
      </c>
      <c r="D257" t="s">
        <v>17</v>
      </c>
      <c r="E257" t="s">
        <v>14</v>
      </c>
      <c r="F257">
        <v>2</v>
      </c>
      <c r="G257" s="3">
        <v>13.64</v>
      </c>
      <c r="H257" s="4">
        <v>0.2</v>
      </c>
      <c r="I257" t="b">
        <v>1</v>
      </c>
      <c r="J257" s="3">
        <f>tblRestaurant[[#This Row],[Total Bill]]*tblRestaurant[[#This Row],[Tip %]]</f>
        <v>2.7280000000000002</v>
      </c>
      <c r="K257" s="7" t="str">
        <f>IF(tblRestaurant[[#This Row],[Cash]]=TRUE,"Cash","Card")</f>
        <v>Cash</v>
      </c>
      <c r="L257" s="7" t="str">
        <f>IF(tblRestaurant[[#This Row],[Total Bill]]&lt;20,"Low",IF(tblRestaurant[[#This Row],[Total Bill]]&lt;50,"Medium","High"))</f>
        <v>Low</v>
      </c>
      <c r="M257" s="7" t="str">
        <f>IF(tblRestaurant[[#This Row],[Party Size]]&lt;=2,"Small",IF(tblRestaurant[[#This Row],[Party Size]]&lt;=4,"Medium","Large"))</f>
        <v>Small</v>
      </c>
      <c r="N257" t="str">
        <f>TEXT(tblRestaurant[[#This Row],[Date]],"mmmm")</f>
        <v>January</v>
      </c>
      <c r="O257" s="12">
        <f>WEEKNUM(tblRestaurant[[#This Row],[Date]])</f>
        <v>4</v>
      </c>
      <c r="P257" s="7" t="str">
        <f>IF(OR(tblRestaurant[[#This Row],[Day]]="Sat",tblRestaurant[[#This Row],[Day]]="Sun"),"Weekend","Weekday")</f>
        <v>Weekend</v>
      </c>
      <c r="Q257" s="7" t="str">
        <f>IF(OR(tblRestaurant[[#This Row],[Day]]="Fri",tblRestaurant[[#This Row],[Day]]="Thu"),"Weekday","Weekend")</f>
        <v>Weekend</v>
      </c>
      <c r="R257" s="7" t="str">
        <f>IF(tblRestaurant[[#This Row],[Total Bill]]&lt;25,"Bronze",IF(tblRestaurant[[#This Row],[Total Bill]]&lt;50,"Silver",IF(tblRestaurant[[#This Row],[Total Bill]]&lt;75,"Gold","Platinum")))</f>
        <v>Bronze</v>
      </c>
      <c r="S257" s="7" cm="1">
        <f t="array" ref="S257">_xlfn.SWITCH(tblRestaurant[[#This Row],[Revenue Tier]],"Bronze",1,"Silver",2,"Gold",3,"Platinum",4)</f>
        <v>1</v>
      </c>
      <c r="T257" s="13">
        <f>AVERAGE(tblRestaurant[[#This Row],[Total Bill]],tblRestaurant[[#This Row],[Party Size]])</f>
        <v>7.82</v>
      </c>
    </row>
    <row r="258" spans="1:20" ht="20.100000000000001" customHeight="1">
      <c r="A258">
        <v>257</v>
      </c>
      <c r="B258" s="2">
        <v>45676</v>
      </c>
      <c r="C258" t="s">
        <v>18</v>
      </c>
      <c r="D258" t="s">
        <v>17</v>
      </c>
      <c r="E258" t="s">
        <v>12</v>
      </c>
      <c r="F258">
        <v>5</v>
      </c>
      <c r="G258" s="3">
        <v>57</v>
      </c>
      <c r="H258" s="4">
        <v>0.1</v>
      </c>
      <c r="I258" t="b">
        <v>0</v>
      </c>
      <c r="J258" s="3">
        <f>tblRestaurant[[#This Row],[Total Bill]]*tblRestaurant[[#This Row],[Tip %]]</f>
        <v>5.7</v>
      </c>
      <c r="K258" s="7" t="str">
        <f>IF(tblRestaurant[[#This Row],[Cash]]=TRUE,"Cash","Card")</f>
        <v>Card</v>
      </c>
      <c r="L258" s="7" t="str">
        <f>IF(tblRestaurant[[#This Row],[Total Bill]]&lt;20,"Low",IF(tblRestaurant[[#This Row],[Total Bill]]&lt;50,"Medium","High"))</f>
        <v>High</v>
      </c>
      <c r="M258" s="7" t="str">
        <f>IF(tblRestaurant[[#This Row],[Party Size]]&lt;=2,"Small",IF(tblRestaurant[[#This Row],[Party Size]]&lt;=4,"Medium","Large"))</f>
        <v>Large</v>
      </c>
      <c r="N258" t="str">
        <f>TEXT(tblRestaurant[[#This Row],[Date]],"mmmm")</f>
        <v>January</v>
      </c>
      <c r="O258" s="12">
        <f>WEEKNUM(tblRestaurant[[#This Row],[Date]])</f>
        <v>4</v>
      </c>
      <c r="P258" s="7" t="str">
        <f>IF(OR(tblRestaurant[[#This Row],[Day]]="Sat",tblRestaurant[[#This Row],[Day]]="Sun"),"Weekend","Weekday")</f>
        <v>Weekend</v>
      </c>
      <c r="Q258" s="7" t="str">
        <f>IF(OR(tblRestaurant[[#This Row],[Day]]="Fri",tblRestaurant[[#This Row],[Day]]="Thu"),"Weekday","Weekend")</f>
        <v>Weekend</v>
      </c>
      <c r="R258" s="7" t="str">
        <f>IF(tblRestaurant[[#This Row],[Total Bill]]&lt;25,"Bronze",IF(tblRestaurant[[#This Row],[Total Bill]]&lt;50,"Silver",IF(tblRestaurant[[#This Row],[Total Bill]]&lt;75,"Gold","Platinum")))</f>
        <v>Gold</v>
      </c>
      <c r="S258" s="7" cm="1">
        <f t="array" ref="S258">_xlfn.SWITCH(tblRestaurant[[#This Row],[Revenue Tier]],"Bronze",1,"Silver",2,"Gold",3,"Platinum",4)</f>
        <v>3</v>
      </c>
      <c r="T258" s="13">
        <f>AVERAGE(tblRestaurant[[#This Row],[Total Bill]],tblRestaurant[[#This Row],[Party Size]])</f>
        <v>31</v>
      </c>
    </row>
    <row r="259" spans="1:20" ht="20.100000000000001" customHeight="1">
      <c r="A259">
        <v>258</v>
      </c>
      <c r="B259" s="2">
        <v>45676</v>
      </c>
      <c r="C259" t="s">
        <v>18</v>
      </c>
      <c r="D259" t="s">
        <v>17</v>
      </c>
      <c r="E259" t="s">
        <v>14</v>
      </c>
      <c r="F259">
        <v>2</v>
      </c>
      <c r="G259" s="3">
        <v>14.86</v>
      </c>
      <c r="H259" s="4">
        <v>0.2</v>
      </c>
      <c r="I259" t="b">
        <v>0</v>
      </c>
      <c r="J259" s="3">
        <f>tblRestaurant[[#This Row],[Total Bill]]*tblRestaurant[[#This Row],[Tip %]]</f>
        <v>2.972</v>
      </c>
      <c r="K259" s="7" t="str">
        <f>IF(tblRestaurant[[#This Row],[Cash]]=TRUE,"Cash","Card")</f>
        <v>Card</v>
      </c>
      <c r="L259" s="7" t="str">
        <f>IF(tblRestaurant[[#This Row],[Total Bill]]&lt;20,"Low",IF(tblRestaurant[[#This Row],[Total Bill]]&lt;50,"Medium","High"))</f>
        <v>Low</v>
      </c>
      <c r="M259" s="7" t="str">
        <f>IF(tblRestaurant[[#This Row],[Party Size]]&lt;=2,"Small",IF(tblRestaurant[[#This Row],[Party Size]]&lt;=4,"Medium","Large"))</f>
        <v>Small</v>
      </c>
      <c r="N259" t="str">
        <f>TEXT(tblRestaurant[[#This Row],[Date]],"mmmm")</f>
        <v>January</v>
      </c>
      <c r="O259" s="12">
        <f>WEEKNUM(tblRestaurant[[#This Row],[Date]])</f>
        <v>4</v>
      </c>
      <c r="P259" s="7" t="str">
        <f>IF(OR(tblRestaurant[[#This Row],[Day]]="Sat",tblRestaurant[[#This Row],[Day]]="Sun"),"Weekend","Weekday")</f>
        <v>Weekend</v>
      </c>
      <c r="Q259" s="7" t="str">
        <f>IF(OR(tblRestaurant[[#This Row],[Day]]="Fri",tblRestaurant[[#This Row],[Day]]="Thu"),"Weekday","Weekend")</f>
        <v>Weekend</v>
      </c>
      <c r="R259" s="7" t="str">
        <f>IF(tblRestaurant[[#This Row],[Total Bill]]&lt;25,"Bronze",IF(tblRestaurant[[#This Row],[Total Bill]]&lt;50,"Silver",IF(tblRestaurant[[#This Row],[Total Bill]]&lt;75,"Gold","Platinum")))</f>
        <v>Bronze</v>
      </c>
      <c r="S259" s="7" cm="1">
        <f t="array" ref="S259">_xlfn.SWITCH(tblRestaurant[[#This Row],[Revenue Tier]],"Bronze",1,"Silver",2,"Gold",3,"Platinum",4)</f>
        <v>1</v>
      </c>
      <c r="T259" s="13">
        <f>AVERAGE(tblRestaurant[[#This Row],[Total Bill]],tblRestaurant[[#This Row],[Party Size]])</f>
        <v>8.43</v>
      </c>
    </row>
    <row r="260" spans="1:20" ht="20.100000000000001" customHeight="1">
      <c r="A260">
        <v>259</v>
      </c>
      <c r="B260" s="2">
        <v>45676</v>
      </c>
      <c r="C260" t="s">
        <v>18</v>
      </c>
      <c r="D260" t="s">
        <v>17</v>
      </c>
      <c r="E260" t="s">
        <v>11</v>
      </c>
      <c r="F260">
        <v>3</v>
      </c>
      <c r="G260" s="3">
        <v>36.51</v>
      </c>
      <c r="H260" s="4">
        <v>0.15</v>
      </c>
      <c r="I260" t="b">
        <v>0</v>
      </c>
      <c r="J260" s="3">
        <f>tblRestaurant[[#This Row],[Total Bill]]*tblRestaurant[[#This Row],[Tip %]]</f>
        <v>5.4764999999999997</v>
      </c>
      <c r="K260" s="7" t="str">
        <f>IF(tblRestaurant[[#This Row],[Cash]]=TRUE,"Cash","Card")</f>
        <v>Card</v>
      </c>
      <c r="L260" s="7" t="str">
        <f>IF(tblRestaurant[[#This Row],[Total Bill]]&lt;20,"Low",IF(tblRestaurant[[#This Row],[Total Bill]]&lt;50,"Medium","High"))</f>
        <v>Medium</v>
      </c>
      <c r="M260" s="7" t="str">
        <f>IF(tblRestaurant[[#This Row],[Party Size]]&lt;=2,"Small",IF(tblRestaurant[[#This Row],[Party Size]]&lt;=4,"Medium","Large"))</f>
        <v>Medium</v>
      </c>
      <c r="N260" t="str">
        <f>TEXT(tblRestaurant[[#This Row],[Date]],"mmmm")</f>
        <v>January</v>
      </c>
      <c r="O260" s="12">
        <f>WEEKNUM(tblRestaurant[[#This Row],[Date]])</f>
        <v>4</v>
      </c>
      <c r="P260" s="7" t="str">
        <f>IF(OR(tblRestaurant[[#This Row],[Day]]="Sat",tblRestaurant[[#This Row],[Day]]="Sun"),"Weekend","Weekday")</f>
        <v>Weekend</v>
      </c>
      <c r="Q260" s="7" t="str">
        <f>IF(OR(tblRestaurant[[#This Row],[Day]]="Fri",tblRestaurant[[#This Row],[Day]]="Thu"),"Weekday","Weekend")</f>
        <v>Weekend</v>
      </c>
      <c r="R260" s="7" t="str">
        <f>IF(tblRestaurant[[#This Row],[Total Bill]]&lt;25,"Bronze",IF(tblRestaurant[[#This Row],[Total Bill]]&lt;50,"Silver",IF(tblRestaurant[[#This Row],[Total Bill]]&lt;75,"Gold","Platinum")))</f>
        <v>Silver</v>
      </c>
      <c r="S260" s="7" cm="1">
        <f t="array" ref="S260">_xlfn.SWITCH(tblRestaurant[[#This Row],[Revenue Tier]],"Bronze",1,"Silver",2,"Gold",3,"Platinum",4)</f>
        <v>2</v>
      </c>
      <c r="T260" s="13">
        <f>AVERAGE(tblRestaurant[[#This Row],[Total Bill]],tblRestaurant[[#This Row],[Party Size]])</f>
        <v>19.754999999999999</v>
      </c>
    </row>
    <row r="261" spans="1:20" ht="20.100000000000001" customHeight="1">
      <c r="A261">
        <v>260</v>
      </c>
      <c r="B261" s="2">
        <v>45676</v>
      </c>
      <c r="C261" t="s">
        <v>18</v>
      </c>
      <c r="D261" t="s">
        <v>17</v>
      </c>
      <c r="E261" t="s">
        <v>13</v>
      </c>
      <c r="F261">
        <v>3</v>
      </c>
      <c r="G261" s="3">
        <v>32.07</v>
      </c>
      <c r="H261" s="4">
        <v>0.18</v>
      </c>
      <c r="I261" t="b">
        <v>1</v>
      </c>
      <c r="J261" s="3">
        <f>tblRestaurant[[#This Row],[Total Bill]]*tblRestaurant[[#This Row],[Tip %]]</f>
        <v>5.7725999999999997</v>
      </c>
      <c r="K261" s="7" t="str">
        <f>IF(tblRestaurant[[#This Row],[Cash]]=TRUE,"Cash","Card")</f>
        <v>Cash</v>
      </c>
      <c r="L261" s="7" t="str">
        <f>IF(tblRestaurant[[#This Row],[Total Bill]]&lt;20,"Low",IF(tblRestaurant[[#This Row],[Total Bill]]&lt;50,"Medium","High"))</f>
        <v>Medium</v>
      </c>
      <c r="M261" s="7" t="str">
        <f>IF(tblRestaurant[[#This Row],[Party Size]]&lt;=2,"Small",IF(tblRestaurant[[#This Row],[Party Size]]&lt;=4,"Medium","Large"))</f>
        <v>Medium</v>
      </c>
      <c r="N261" t="str">
        <f>TEXT(tblRestaurant[[#This Row],[Date]],"mmmm")</f>
        <v>January</v>
      </c>
      <c r="O261" s="12">
        <f>WEEKNUM(tblRestaurant[[#This Row],[Date]])</f>
        <v>4</v>
      </c>
      <c r="P261" s="7" t="str">
        <f>IF(OR(tblRestaurant[[#This Row],[Day]]="Sat",tblRestaurant[[#This Row],[Day]]="Sun"),"Weekend","Weekday")</f>
        <v>Weekend</v>
      </c>
      <c r="Q261" s="7" t="str">
        <f>IF(OR(tblRestaurant[[#This Row],[Day]]="Fri",tblRestaurant[[#This Row],[Day]]="Thu"),"Weekday","Weekend")</f>
        <v>Weekend</v>
      </c>
      <c r="R261" s="7" t="str">
        <f>IF(tblRestaurant[[#This Row],[Total Bill]]&lt;25,"Bronze",IF(tblRestaurant[[#This Row],[Total Bill]]&lt;50,"Silver",IF(tblRestaurant[[#This Row],[Total Bill]]&lt;75,"Gold","Platinum")))</f>
        <v>Silver</v>
      </c>
      <c r="S261" s="7" cm="1">
        <f t="array" ref="S261">_xlfn.SWITCH(tblRestaurant[[#This Row],[Revenue Tier]],"Bronze",1,"Silver",2,"Gold",3,"Platinum",4)</f>
        <v>2</v>
      </c>
      <c r="T261" s="13">
        <f>AVERAGE(tblRestaurant[[#This Row],[Total Bill]],tblRestaurant[[#This Row],[Party Size]])</f>
        <v>17.535</v>
      </c>
    </row>
    <row r="262" spans="1:20" ht="20.100000000000001" customHeight="1">
      <c r="A262">
        <v>261</v>
      </c>
      <c r="B262" s="2">
        <v>45676</v>
      </c>
      <c r="C262" t="s">
        <v>18</v>
      </c>
      <c r="D262" t="s">
        <v>17</v>
      </c>
      <c r="E262" t="s">
        <v>12</v>
      </c>
      <c r="F262">
        <v>3</v>
      </c>
      <c r="G262" s="3">
        <v>25.42</v>
      </c>
      <c r="H262" s="4">
        <v>0.15</v>
      </c>
      <c r="I262" t="b">
        <v>0</v>
      </c>
      <c r="J262" s="3">
        <f>tblRestaurant[[#This Row],[Total Bill]]*tblRestaurant[[#This Row],[Tip %]]</f>
        <v>3.8130000000000002</v>
      </c>
      <c r="K262" s="7" t="str">
        <f>IF(tblRestaurant[[#This Row],[Cash]]=TRUE,"Cash","Card")</f>
        <v>Card</v>
      </c>
      <c r="L262" s="7" t="str">
        <f>IF(tblRestaurant[[#This Row],[Total Bill]]&lt;20,"Low",IF(tblRestaurant[[#This Row],[Total Bill]]&lt;50,"Medium","High"))</f>
        <v>Medium</v>
      </c>
      <c r="M262" s="7" t="str">
        <f>IF(tblRestaurant[[#This Row],[Party Size]]&lt;=2,"Small",IF(tblRestaurant[[#This Row],[Party Size]]&lt;=4,"Medium","Large"))</f>
        <v>Medium</v>
      </c>
      <c r="N262" t="str">
        <f>TEXT(tblRestaurant[[#This Row],[Date]],"mmmm")</f>
        <v>January</v>
      </c>
      <c r="O262" s="12">
        <f>WEEKNUM(tblRestaurant[[#This Row],[Date]])</f>
        <v>4</v>
      </c>
      <c r="P262" s="7" t="str">
        <f>IF(OR(tblRestaurant[[#This Row],[Day]]="Sat",tblRestaurant[[#This Row],[Day]]="Sun"),"Weekend","Weekday")</f>
        <v>Weekend</v>
      </c>
      <c r="Q262" s="7" t="str">
        <f>IF(OR(tblRestaurant[[#This Row],[Day]]="Fri",tblRestaurant[[#This Row],[Day]]="Thu"),"Weekday","Weekend")</f>
        <v>Weekend</v>
      </c>
      <c r="R262" s="7" t="str">
        <f>IF(tblRestaurant[[#This Row],[Total Bill]]&lt;25,"Bronze",IF(tblRestaurant[[#This Row],[Total Bill]]&lt;50,"Silver",IF(tblRestaurant[[#This Row],[Total Bill]]&lt;75,"Gold","Platinum")))</f>
        <v>Silver</v>
      </c>
      <c r="S262" s="7" cm="1">
        <f t="array" ref="S262">_xlfn.SWITCH(tblRestaurant[[#This Row],[Revenue Tier]],"Bronze",1,"Silver",2,"Gold",3,"Platinum",4)</f>
        <v>2</v>
      </c>
      <c r="T262" s="13">
        <f>AVERAGE(tblRestaurant[[#This Row],[Total Bill]],tblRestaurant[[#This Row],[Party Size]])</f>
        <v>14.21</v>
      </c>
    </row>
    <row r="263" spans="1:20" ht="20.100000000000001" customHeight="1">
      <c r="A263">
        <v>262</v>
      </c>
      <c r="B263" s="2">
        <v>45676</v>
      </c>
      <c r="C263" t="s">
        <v>18</v>
      </c>
      <c r="D263" t="s">
        <v>17</v>
      </c>
      <c r="E263" t="s">
        <v>14</v>
      </c>
      <c r="F263">
        <v>2</v>
      </c>
      <c r="G263" s="3">
        <v>23.48</v>
      </c>
      <c r="H263" s="4">
        <v>0.25</v>
      </c>
      <c r="I263" t="b">
        <v>1</v>
      </c>
      <c r="J263" s="3">
        <f>tblRestaurant[[#This Row],[Total Bill]]*tblRestaurant[[#This Row],[Tip %]]</f>
        <v>5.87</v>
      </c>
      <c r="K263" s="7" t="str">
        <f>IF(tblRestaurant[[#This Row],[Cash]]=TRUE,"Cash","Card")</f>
        <v>Cash</v>
      </c>
      <c r="L263" s="7" t="str">
        <f>IF(tblRestaurant[[#This Row],[Total Bill]]&lt;20,"Low",IF(tblRestaurant[[#This Row],[Total Bill]]&lt;50,"Medium","High"))</f>
        <v>Medium</v>
      </c>
      <c r="M263" s="7" t="str">
        <f>IF(tblRestaurant[[#This Row],[Party Size]]&lt;=2,"Small",IF(tblRestaurant[[#This Row],[Party Size]]&lt;=4,"Medium","Large"))</f>
        <v>Small</v>
      </c>
      <c r="N263" t="str">
        <f>TEXT(tblRestaurant[[#This Row],[Date]],"mmmm")</f>
        <v>January</v>
      </c>
      <c r="O263" s="12">
        <f>WEEKNUM(tblRestaurant[[#This Row],[Date]])</f>
        <v>4</v>
      </c>
      <c r="P263" s="7" t="str">
        <f>IF(OR(tblRestaurant[[#This Row],[Day]]="Sat",tblRestaurant[[#This Row],[Day]]="Sun"),"Weekend","Weekday")</f>
        <v>Weekend</v>
      </c>
      <c r="Q263" s="7" t="str">
        <f>IF(OR(tblRestaurant[[#This Row],[Day]]="Fri",tblRestaurant[[#This Row],[Day]]="Thu"),"Weekday","Weekend")</f>
        <v>Weekend</v>
      </c>
      <c r="R263" s="7" t="str">
        <f>IF(tblRestaurant[[#This Row],[Total Bill]]&lt;25,"Bronze",IF(tblRestaurant[[#This Row],[Total Bill]]&lt;50,"Silver",IF(tblRestaurant[[#This Row],[Total Bill]]&lt;75,"Gold","Platinum")))</f>
        <v>Bronze</v>
      </c>
      <c r="S263" s="7" cm="1">
        <f t="array" ref="S263">_xlfn.SWITCH(tblRestaurant[[#This Row],[Revenue Tier]],"Bronze",1,"Silver",2,"Gold",3,"Platinum",4)</f>
        <v>1</v>
      </c>
      <c r="T263" s="13">
        <f>AVERAGE(tblRestaurant[[#This Row],[Total Bill]],tblRestaurant[[#This Row],[Party Size]])</f>
        <v>12.74</v>
      </c>
    </row>
    <row r="264" spans="1:20" ht="20.100000000000001" customHeight="1">
      <c r="A264">
        <v>263</v>
      </c>
      <c r="B264" s="2">
        <v>45676</v>
      </c>
      <c r="C264" t="s">
        <v>18</v>
      </c>
      <c r="D264" t="s">
        <v>17</v>
      </c>
      <c r="E264" t="s">
        <v>12</v>
      </c>
      <c r="F264">
        <v>2</v>
      </c>
      <c r="G264" s="3">
        <v>30.43</v>
      </c>
      <c r="H264" s="4">
        <v>0.2</v>
      </c>
      <c r="I264" t="b">
        <v>1</v>
      </c>
      <c r="J264" s="3">
        <f>tblRestaurant[[#This Row],[Total Bill]]*tblRestaurant[[#This Row],[Tip %]]</f>
        <v>6.0860000000000003</v>
      </c>
      <c r="K264" s="7" t="str">
        <f>IF(tblRestaurant[[#This Row],[Cash]]=TRUE,"Cash","Card")</f>
        <v>Cash</v>
      </c>
      <c r="L264" s="7" t="str">
        <f>IF(tblRestaurant[[#This Row],[Total Bill]]&lt;20,"Low",IF(tblRestaurant[[#This Row],[Total Bill]]&lt;50,"Medium","High"))</f>
        <v>Medium</v>
      </c>
      <c r="M264" s="7" t="str">
        <f>IF(tblRestaurant[[#This Row],[Party Size]]&lt;=2,"Small",IF(tblRestaurant[[#This Row],[Party Size]]&lt;=4,"Medium","Large"))</f>
        <v>Small</v>
      </c>
      <c r="N264" t="str">
        <f>TEXT(tblRestaurant[[#This Row],[Date]],"mmmm")</f>
        <v>January</v>
      </c>
      <c r="O264" s="12">
        <f>WEEKNUM(tblRestaurant[[#This Row],[Date]])</f>
        <v>4</v>
      </c>
      <c r="P264" s="7" t="str">
        <f>IF(OR(tblRestaurant[[#This Row],[Day]]="Sat",tblRestaurant[[#This Row],[Day]]="Sun"),"Weekend","Weekday")</f>
        <v>Weekend</v>
      </c>
      <c r="Q264" s="7" t="str">
        <f>IF(OR(tblRestaurant[[#This Row],[Day]]="Fri",tblRestaurant[[#This Row],[Day]]="Thu"),"Weekday","Weekend")</f>
        <v>Weekend</v>
      </c>
      <c r="R264" s="7" t="str">
        <f>IF(tblRestaurant[[#This Row],[Total Bill]]&lt;25,"Bronze",IF(tblRestaurant[[#This Row],[Total Bill]]&lt;50,"Silver",IF(tblRestaurant[[#This Row],[Total Bill]]&lt;75,"Gold","Platinum")))</f>
        <v>Silver</v>
      </c>
      <c r="S264" s="7" cm="1">
        <f t="array" ref="S264">_xlfn.SWITCH(tblRestaurant[[#This Row],[Revenue Tier]],"Bronze",1,"Silver",2,"Gold",3,"Platinum",4)</f>
        <v>2</v>
      </c>
      <c r="T264" s="13">
        <f>AVERAGE(tblRestaurant[[#This Row],[Total Bill]],tblRestaurant[[#This Row],[Party Size]])</f>
        <v>16.215</v>
      </c>
    </row>
    <row r="265" spans="1:20" ht="20.100000000000001" customHeight="1">
      <c r="A265">
        <v>264</v>
      </c>
      <c r="B265" s="2">
        <v>45676</v>
      </c>
      <c r="C265" t="s">
        <v>18</v>
      </c>
      <c r="D265" t="s">
        <v>17</v>
      </c>
      <c r="E265" t="s">
        <v>12</v>
      </c>
      <c r="F265">
        <v>1</v>
      </c>
      <c r="G265" s="3">
        <v>19.329999999999998</v>
      </c>
      <c r="H265" s="4">
        <v>0.25</v>
      </c>
      <c r="I265" t="b">
        <v>0</v>
      </c>
      <c r="J265" s="3">
        <f>tblRestaurant[[#This Row],[Total Bill]]*tblRestaurant[[#This Row],[Tip %]]</f>
        <v>4.8324999999999996</v>
      </c>
      <c r="K265" s="7" t="str">
        <f>IF(tblRestaurant[[#This Row],[Cash]]=TRUE,"Cash","Card")</f>
        <v>Card</v>
      </c>
      <c r="L265" s="7" t="str">
        <f>IF(tblRestaurant[[#This Row],[Total Bill]]&lt;20,"Low",IF(tblRestaurant[[#This Row],[Total Bill]]&lt;50,"Medium","High"))</f>
        <v>Low</v>
      </c>
      <c r="M265" s="7" t="str">
        <f>IF(tblRestaurant[[#This Row],[Party Size]]&lt;=2,"Small",IF(tblRestaurant[[#This Row],[Party Size]]&lt;=4,"Medium","Large"))</f>
        <v>Small</v>
      </c>
      <c r="N265" t="str">
        <f>TEXT(tblRestaurant[[#This Row],[Date]],"mmmm")</f>
        <v>January</v>
      </c>
      <c r="O265" s="12">
        <f>WEEKNUM(tblRestaurant[[#This Row],[Date]])</f>
        <v>4</v>
      </c>
      <c r="P265" s="7" t="str">
        <f>IF(OR(tblRestaurant[[#This Row],[Day]]="Sat",tblRestaurant[[#This Row],[Day]]="Sun"),"Weekend","Weekday")</f>
        <v>Weekend</v>
      </c>
      <c r="Q265" s="7" t="str">
        <f>IF(OR(tblRestaurant[[#This Row],[Day]]="Fri",tblRestaurant[[#This Row],[Day]]="Thu"),"Weekday","Weekend")</f>
        <v>Weekend</v>
      </c>
      <c r="R265" s="7" t="str">
        <f>IF(tblRestaurant[[#This Row],[Total Bill]]&lt;25,"Bronze",IF(tblRestaurant[[#This Row],[Total Bill]]&lt;50,"Silver",IF(tblRestaurant[[#This Row],[Total Bill]]&lt;75,"Gold","Platinum")))</f>
        <v>Bronze</v>
      </c>
      <c r="S265" s="7" cm="1">
        <f t="array" ref="S265">_xlfn.SWITCH(tblRestaurant[[#This Row],[Revenue Tier]],"Bronze",1,"Silver",2,"Gold",3,"Platinum",4)</f>
        <v>1</v>
      </c>
      <c r="T265" s="13">
        <f>AVERAGE(tblRestaurant[[#This Row],[Total Bill]],tblRestaurant[[#This Row],[Party Size]])</f>
        <v>10.164999999999999</v>
      </c>
    </row>
    <row r="266" spans="1:20" ht="20.100000000000001" customHeight="1">
      <c r="A266">
        <v>265</v>
      </c>
      <c r="B266" s="2">
        <v>45676</v>
      </c>
      <c r="C266" t="s">
        <v>18</v>
      </c>
      <c r="D266" t="s">
        <v>17</v>
      </c>
      <c r="E266" t="s">
        <v>11</v>
      </c>
      <c r="F266">
        <v>5</v>
      </c>
      <c r="G266" s="3">
        <v>72.67</v>
      </c>
      <c r="H266" s="4">
        <v>0.18</v>
      </c>
      <c r="I266" t="b">
        <v>0</v>
      </c>
      <c r="J266" s="3">
        <f>tblRestaurant[[#This Row],[Total Bill]]*tblRestaurant[[#This Row],[Tip %]]</f>
        <v>13.0806</v>
      </c>
      <c r="K266" s="7" t="str">
        <f>IF(tblRestaurant[[#This Row],[Cash]]=TRUE,"Cash","Card")</f>
        <v>Card</v>
      </c>
      <c r="L266" s="7" t="str">
        <f>IF(tblRestaurant[[#This Row],[Total Bill]]&lt;20,"Low",IF(tblRestaurant[[#This Row],[Total Bill]]&lt;50,"Medium","High"))</f>
        <v>High</v>
      </c>
      <c r="M266" s="7" t="str">
        <f>IF(tblRestaurant[[#This Row],[Party Size]]&lt;=2,"Small",IF(tblRestaurant[[#This Row],[Party Size]]&lt;=4,"Medium","Large"))</f>
        <v>Large</v>
      </c>
      <c r="N266" t="str">
        <f>TEXT(tblRestaurant[[#This Row],[Date]],"mmmm")</f>
        <v>January</v>
      </c>
      <c r="O266" s="12">
        <f>WEEKNUM(tblRestaurant[[#This Row],[Date]])</f>
        <v>4</v>
      </c>
      <c r="P266" s="7" t="str">
        <f>IF(OR(tblRestaurant[[#This Row],[Day]]="Sat",tblRestaurant[[#This Row],[Day]]="Sun"),"Weekend","Weekday")</f>
        <v>Weekend</v>
      </c>
      <c r="Q266" s="7" t="str">
        <f>IF(OR(tblRestaurant[[#This Row],[Day]]="Fri",tblRestaurant[[#This Row],[Day]]="Thu"),"Weekday","Weekend")</f>
        <v>Weekend</v>
      </c>
      <c r="R266" s="7" t="str">
        <f>IF(tblRestaurant[[#This Row],[Total Bill]]&lt;25,"Bronze",IF(tblRestaurant[[#This Row],[Total Bill]]&lt;50,"Silver",IF(tblRestaurant[[#This Row],[Total Bill]]&lt;75,"Gold","Platinum")))</f>
        <v>Gold</v>
      </c>
      <c r="S266" s="7" cm="1">
        <f t="array" ref="S266">_xlfn.SWITCH(tblRestaurant[[#This Row],[Revenue Tier]],"Bronze",1,"Silver",2,"Gold",3,"Platinum",4)</f>
        <v>3</v>
      </c>
      <c r="T266" s="13">
        <f>AVERAGE(tblRestaurant[[#This Row],[Total Bill]],tblRestaurant[[#This Row],[Party Size]])</f>
        <v>38.835000000000001</v>
      </c>
    </row>
    <row r="267" spans="1:20" ht="20.100000000000001" customHeight="1">
      <c r="A267">
        <v>266</v>
      </c>
      <c r="B267" s="2">
        <v>45676</v>
      </c>
      <c r="C267" t="s">
        <v>18</v>
      </c>
      <c r="D267" t="s">
        <v>17</v>
      </c>
      <c r="E267" t="s">
        <v>13</v>
      </c>
      <c r="F267">
        <v>3</v>
      </c>
      <c r="G267" s="3">
        <v>50.05</v>
      </c>
      <c r="H267" s="4">
        <v>0.2</v>
      </c>
      <c r="I267" t="b">
        <v>1</v>
      </c>
      <c r="J267" s="3">
        <f>tblRestaurant[[#This Row],[Total Bill]]*tblRestaurant[[#This Row],[Tip %]]</f>
        <v>10.01</v>
      </c>
      <c r="K267" s="7" t="str">
        <f>IF(tblRestaurant[[#This Row],[Cash]]=TRUE,"Cash","Card")</f>
        <v>Cash</v>
      </c>
      <c r="L267" s="7" t="str">
        <f>IF(tblRestaurant[[#This Row],[Total Bill]]&lt;20,"Low",IF(tblRestaurant[[#This Row],[Total Bill]]&lt;50,"Medium","High"))</f>
        <v>High</v>
      </c>
      <c r="M267" s="7" t="str">
        <f>IF(tblRestaurant[[#This Row],[Party Size]]&lt;=2,"Small",IF(tblRestaurant[[#This Row],[Party Size]]&lt;=4,"Medium","Large"))</f>
        <v>Medium</v>
      </c>
      <c r="N267" t="str">
        <f>TEXT(tblRestaurant[[#This Row],[Date]],"mmmm")</f>
        <v>January</v>
      </c>
      <c r="O267" s="12">
        <f>WEEKNUM(tblRestaurant[[#This Row],[Date]])</f>
        <v>4</v>
      </c>
      <c r="P267" s="7" t="str">
        <f>IF(OR(tblRestaurant[[#This Row],[Day]]="Sat",tblRestaurant[[#This Row],[Day]]="Sun"),"Weekend","Weekday")</f>
        <v>Weekend</v>
      </c>
      <c r="Q267" s="7" t="str">
        <f>IF(OR(tblRestaurant[[#This Row],[Day]]="Fri",tblRestaurant[[#This Row],[Day]]="Thu"),"Weekday","Weekend")</f>
        <v>Weekend</v>
      </c>
      <c r="R267" s="7" t="str">
        <f>IF(tblRestaurant[[#This Row],[Total Bill]]&lt;25,"Bronze",IF(tblRestaurant[[#This Row],[Total Bill]]&lt;50,"Silver",IF(tblRestaurant[[#This Row],[Total Bill]]&lt;75,"Gold","Platinum")))</f>
        <v>Gold</v>
      </c>
      <c r="S267" s="7" cm="1">
        <f t="array" ref="S267">_xlfn.SWITCH(tblRestaurant[[#This Row],[Revenue Tier]],"Bronze",1,"Silver",2,"Gold",3,"Platinum",4)</f>
        <v>3</v>
      </c>
      <c r="T267" s="13">
        <f>AVERAGE(tblRestaurant[[#This Row],[Total Bill]],tblRestaurant[[#This Row],[Party Size]])</f>
        <v>26.524999999999999</v>
      </c>
    </row>
    <row r="268" spans="1:20" ht="20.100000000000001" customHeight="1">
      <c r="A268">
        <v>267</v>
      </c>
      <c r="B268" s="2">
        <v>45676</v>
      </c>
      <c r="C268" t="s">
        <v>18</v>
      </c>
      <c r="D268" t="s">
        <v>17</v>
      </c>
      <c r="E268" t="s">
        <v>11</v>
      </c>
      <c r="F268">
        <v>5</v>
      </c>
      <c r="G268" s="3">
        <v>70.48</v>
      </c>
      <c r="H268" s="4">
        <v>0.1</v>
      </c>
      <c r="I268" t="b">
        <v>0</v>
      </c>
      <c r="J268" s="3">
        <f>tblRestaurant[[#This Row],[Total Bill]]*tblRestaurant[[#This Row],[Tip %]]</f>
        <v>7.0480000000000009</v>
      </c>
      <c r="K268" s="7" t="str">
        <f>IF(tblRestaurant[[#This Row],[Cash]]=TRUE,"Cash","Card")</f>
        <v>Card</v>
      </c>
      <c r="L268" s="7" t="str">
        <f>IF(tblRestaurant[[#This Row],[Total Bill]]&lt;20,"Low",IF(tblRestaurant[[#This Row],[Total Bill]]&lt;50,"Medium","High"))</f>
        <v>High</v>
      </c>
      <c r="M268" s="7" t="str">
        <f>IF(tblRestaurant[[#This Row],[Party Size]]&lt;=2,"Small",IF(tblRestaurant[[#This Row],[Party Size]]&lt;=4,"Medium","Large"))</f>
        <v>Large</v>
      </c>
      <c r="N268" t="str">
        <f>TEXT(tblRestaurant[[#This Row],[Date]],"mmmm")</f>
        <v>January</v>
      </c>
      <c r="O268" s="12">
        <f>WEEKNUM(tblRestaurant[[#This Row],[Date]])</f>
        <v>4</v>
      </c>
      <c r="P268" s="7" t="str">
        <f>IF(OR(tblRestaurant[[#This Row],[Day]]="Sat",tblRestaurant[[#This Row],[Day]]="Sun"),"Weekend","Weekday")</f>
        <v>Weekend</v>
      </c>
      <c r="Q268" s="7" t="str">
        <f>IF(OR(tblRestaurant[[#This Row],[Day]]="Fri",tblRestaurant[[#This Row],[Day]]="Thu"),"Weekday","Weekend")</f>
        <v>Weekend</v>
      </c>
      <c r="R268" s="7" t="str">
        <f>IF(tblRestaurant[[#This Row],[Total Bill]]&lt;25,"Bronze",IF(tblRestaurant[[#This Row],[Total Bill]]&lt;50,"Silver",IF(tblRestaurant[[#This Row],[Total Bill]]&lt;75,"Gold","Platinum")))</f>
        <v>Gold</v>
      </c>
      <c r="S268" s="7" cm="1">
        <f t="array" ref="S268">_xlfn.SWITCH(tblRestaurant[[#This Row],[Revenue Tier]],"Bronze",1,"Silver",2,"Gold",3,"Platinum",4)</f>
        <v>3</v>
      </c>
      <c r="T268" s="13">
        <f>AVERAGE(tblRestaurant[[#This Row],[Total Bill]],tblRestaurant[[#This Row],[Party Size]])</f>
        <v>37.74</v>
      </c>
    </row>
  </sheetData>
  <pageMargins left="0" right="0" top="0.25" bottom="0" header="0" footer="0"/>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2F6C-895D-4B00-8631-15A83168F110}">
  <dimension ref="B3:D26"/>
  <sheetViews>
    <sheetView tabSelected="1" topLeftCell="A16" zoomScale="130" zoomScaleNormal="130" workbookViewId="0">
      <selection activeCell="H16" sqref="H16"/>
    </sheetView>
  </sheetViews>
  <sheetFormatPr defaultRowHeight="20.100000000000001" customHeight="1"/>
  <cols>
    <col min="1" max="1" width="9.140625" style="7"/>
    <col min="2" max="2" width="36.42578125" style="7" bestFit="1" customWidth="1"/>
    <col min="3" max="3" width="9.140625" style="7"/>
    <col min="4" max="4" width="39.140625" style="7" bestFit="1" customWidth="1"/>
    <col min="5" max="5" width="9.140625" style="7"/>
    <col min="6" max="6" width="33.28515625" style="7" bestFit="1" customWidth="1"/>
    <col min="7" max="7" width="9.140625" style="7"/>
    <col min="8" max="8" width="38.42578125" style="7" bestFit="1" customWidth="1"/>
    <col min="9" max="9" width="9.140625" style="7"/>
    <col min="10" max="10" width="36.42578125" style="7" bestFit="1" customWidth="1"/>
    <col min="11" max="11" width="9.140625" style="7"/>
    <col min="12" max="12" width="39.140625" style="7" bestFit="1" customWidth="1"/>
    <col min="13" max="13" width="9.140625" style="7"/>
    <col min="14" max="14" width="25" style="7" bestFit="1" customWidth="1"/>
    <col min="15" max="16384" width="9.140625" style="7"/>
  </cols>
  <sheetData>
    <row r="3" spans="2:4" ht="20.100000000000001" customHeight="1">
      <c r="B3" s="57" t="s">
        <v>85</v>
      </c>
      <c r="C3" s="57"/>
      <c r="D3" s="57"/>
    </row>
    <row r="4" spans="2:4" ht="20.100000000000001" customHeight="1">
      <c r="B4" s="57"/>
      <c r="C4" s="57"/>
      <c r="D4" s="57"/>
    </row>
    <row r="6" spans="2:4" ht="24.95" customHeight="1">
      <c r="B6" s="39" t="s">
        <v>28</v>
      </c>
      <c r="D6" s="42" t="s">
        <v>30</v>
      </c>
    </row>
    <row r="7" spans="2:4" ht="20.100000000000001" customHeight="1">
      <c r="B7" s="40"/>
      <c r="D7" s="43"/>
    </row>
    <row r="8" spans="2:4" ht="20.100000000000001" customHeight="1">
      <c r="B8" s="41" t="s">
        <v>29</v>
      </c>
      <c r="D8" s="44" t="s">
        <v>2</v>
      </c>
    </row>
    <row r="9" spans="2:4" ht="20.100000000000001" customHeight="1">
      <c r="B9" s="40" t="str" cm="1">
        <f t="array" ref="B9:B12">_xlfn._xlws.SORT(_xlfn.UNIQUE(tblRestaurant[Server]))</f>
        <v>Charlie</v>
      </c>
      <c r="D9" s="43" t="str" cm="1">
        <f t="array" ref="D9:D12">_xlfn._xlws.SORT(_xlfn.UNIQUE(tblRestaurant[Day]))</f>
        <v>Fri</v>
      </c>
    </row>
    <row r="10" spans="2:4" ht="20.100000000000001" customHeight="1">
      <c r="B10" s="40" t="str">
        <v>Dee</v>
      </c>
      <c r="D10" s="43" t="str">
        <v>Sat</v>
      </c>
    </row>
    <row r="11" spans="2:4" ht="20.100000000000001" customHeight="1">
      <c r="B11" s="40" t="str">
        <v>Dennis</v>
      </c>
      <c r="D11" s="43" t="str">
        <v>Sun</v>
      </c>
    </row>
    <row r="12" spans="2:4" ht="20.100000000000001" customHeight="1">
      <c r="B12" s="40" t="str">
        <v>Mac</v>
      </c>
      <c r="D12" s="43" t="str">
        <v>Thu</v>
      </c>
    </row>
    <row r="13" spans="2:4" ht="20.100000000000001" customHeight="1">
      <c r="D13" s="37"/>
    </row>
    <row r="14" spans="2:4" ht="20.100000000000001" customHeight="1">
      <c r="B14" s="45" t="s">
        <v>31</v>
      </c>
      <c r="D14" s="48" t="s">
        <v>33</v>
      </c>
    </row>
    <row r="15" spans="2:4" ht="20.100000000000001" customHeight="1">
      <c r="B15" s="46"/>
      <c r="D15" s="49"/>
    </row>
    <row r="16" spans="2:4" ht="20.100000000000001" customHeight="1">
      <c r="B16" s="47" t="s">
        <v>32</v>
      </c>
      <c r="C16" s="14"/>
      <c r="D16" s="50" t="s">
        <v>21</v>
      </c>
    </row>
    <row r="17" spans="2:4" ht="20.100000000000001" customHeight="1">
      <c r="B17" s="46" t="str" cm="1">
        <f t="array" ref="B17:B19">_xlfn._xlws.SORT(_xlfn.UNIQUE(tblRestaurant[Time]))</f>
        <v>Breakfast</v>
      </c>
      <c r="C17" s="38"/>
      <c r="D17" s="49" t="str" cm="1">
        <f t="array" ref="D17:D18">_xlfn._xlws.SORT(_xlfn.UNIQUE(tblRestaurant[Payment Type]))</f>
        <v>Card</v>
      </c>
    </row>
    <row r="18" spans="2:4" ht="20.100000000000001" customHeight="1">
      <c r="B18" s="46" t="str">
        <v>Dinner</v>
      </c>
      <c r="C18" s="38"/>
      <c r="D18" s="49" t="str">
        <v>Cash</v>
      </c>
    </row>
    <row r="19" spans="2:4" ht="20.100000000000001" customHeight="1">
      <c r="B19" s="46" t="str">
        <v>Lunch</v>
      </c>
      <c r="C19" s="38"/>
    </row>
    <row r="20" spans="2:4" ht="20.100000000000001" customHeight="1">
      <c r="B20" s="38"/>
      <c r="C20" s="38"/>
    </row>
    <row r="21" spans="2:4" ht="20.100000000000001" customHeight="1">
      <c r="B21" s="51" t="s">
        <v>34</v>
      </c>
      <c r="C21" s="38"/>
      <c r="D21" s="54" t="s">
        <v>35</v>
      </c>
    </row>
    <row r="22" spans="2:4" ht="20.100000000000001" customHeight="1">
      <c r="B22" s="52"/>
      <c r="C22" s="38"/>
      <c r="D22" s="55"/>
    </row>
    <row r="23" spans="2:4" ht="20.100000000000001" customHeight="1">
      <c r="B23" s="53" t="s">
        <v>36</v>
      </c>
      <c r="D23" s="56" t="s">
        <v>23</v>
      </c>
    </row>
    <row r="24" spans="2:4" ht="20.100000000000001" customHeight="1">
      <c r="B24" s="52" t="str" cm="1">
        <f t="array" ref="B24:B26">_xlfn._xlws.SORT(_xlfn.UNIQUE(tblRestaurant[Bill Category]))</f>
        <v>High</v>
      </c>
      <c r="D24" s="55" t="str" cm="1">
        <f t="array" ref="D24:D26">_xlfn._xlws.SORT(_xlfn.UNIQUE(tblRestaurant[Party Category]))</f>
        <v>Large</v>
      </c>
    </row>
    <row r="25" spans="2:4" ht="20.100000000000001" customHeight="1">
      <c r="B25" s="52" t="str">
        <v>Low</v>
      </c>
      <c r="D25" s="55" t="str">
        <v>Medium</v>
      </c>
    </row>
    <row r="26" spans="2:4" ht="20.100000000000001" customHeight="1">
      <c r="B26" s="52" t="str">
        <v>Medium</v>
      </c>
      <c r="D26" s="55" t="str">
        <v>Small</v>
      </c>
    </row>
  </sheetData>
  <mergeCells count="1">
    <mergeCell ref="B3:D4"/>
  </mergeCells>
  <pageMargins left="0" right="0" top="0.25" bottom="0"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C355E-2A96-4AF1-94E0-8F192CAA9741}">
  <dimension ref="B1:L28"/>
  <sheetViews>
    <sheetView tabSelected="1" workbookViewId="0">
      <selection activeCell="H16" sqref="H16"/>
    </sheetView>
  </sheetViews>
  <sheetFormatPr defaultRowHeight="20.100000000000001" customHeight="1"/>
  <cols>
    <col min="1" max="1" width="9.140625" style="7"/>
    <col min="2" max="2" width="28.28515625" style="7" customWidth="1"/>
    <col min="3" max="3" width="18" style="7" customWidth="1"/>
    <col min="4" max="4" width="12.42578125" style="7" customWidth="1"/>
    <col min="5" max="5" width="27" style="7" bestFit="1" customWidth="1"/>
    <col min="6" max="6" width="9.7109375" style="7" bestFit="1" customWidth="1"/>
    <col min="7" max="7" width="8.5703125" style="7" customWidth="1"/>
    <col min="8" max="8" width="27" style="7" bestFit="1" customWidth="1"/>
    <col min="9" max="9" width="9.7109375" style="7" bestFit="1" customWidth="1"/>
    <col min="10" max="16384" width="9.140625" style="7"/>
  </cols>
  <sheetData>
    <row r="1" spans="2:12" ht="20.100000000000001" customHeight="1">
      <c r="C1" s="57" t="s">
        <v>88</v>
      </c>
      <c r="D1" s="57"/>
      <c r="E1" s="57"/>
    </row>
    <row r="2" spans="2:12" ht="20.100000000000001" customHeight="1">
      <c r="C2" s="57"/>
      <c r="D2" s="57"/>
      <c r="E2" s="57"/>
    </row>
    <row r="3" spans="2:12" ht="20.100000000000001" customHeight="1">
      <c r="C3" s="57"/>
      <c r="D3" s="57"/>
      <c r="E3" s="57"/>
    </row>
    <row r="7" spans="2:12" ht="24.95" customHeight="1">
      <c r="B7" s="58" t="s">
        <v>90</v>
      </c>
      <c r="C7" s="58"/>
      <c r="E7" s="61" t="s">
        <v>44</v>
      </c>
      <c r="F7" s="61"/>
    </row>
    <row r="8" spans="2:12" ht="20.100000000000001" customHeight="1">
      <c r="B8" s="34" t="s">
        <v>37</v>
      </c>
      <c r="C8" s="23">
        <f>SUM(tblRestaurant[Total Bill])</f>
        <v>8454.0099999999984</v>
      </c>
      <c r="E8" s="32" t="s">
        <v>4</v>
      </c>
      <c r="F8" s="62" t="s">
        <v>13</v>
      </c>
    </row>
    <row r="9" spans="2:12" ht="20.100000000000001" customHeight="1">
      <c r="B9" s="34" t="s">
        <v>38</v>
      </c>
      <c r="C9" s="59">
        <f>ROWS(tblRestaurant[])</f>
        <v>267</v>
      </c>
      <c r="E9" s="32" t="s">
        <v>2</v>
      </c>
      <c r="F9" s="63" t="s">
        <v>18</v>
      </c>
      <c r="K9" s="68"/>
      <c r="L9" s="68"/>
    </row>
    <row r="10" spans="2:12" ht="20.100000000000001" customHeight="1">
      <c r="B10" s="34" t="s">
        <v>39</v>
      </c>
      <c r="C10" s="23">
        <f>AVERAGE(tblRestaurant[Total Bill])</f>
        <v>31.662958801498121</v>
      </c>
      <c r="E10" s="32" t="s">
        <v>32</v>
      </c>
      <c r="F10" s="63" t="s">
        <v>19</v>
      </c>
      <c r="K10" s="68"/>
      <c r="L10" s="68"/>
    </row>
    <row r="11" spans="2:12" ht="20.100000000000001" customHeight="1">
      <c r="B11" s="34" t="s">
        <v>40</v>
      </c>
      <c r="C11" s="23">
        <f>SUM(tblRestaurant[Tip Amount ($)])</f>
        <v>1545.5603000000001</v>
      </c>
      <c r="E11" s="32" t="s">
        <v>21</v>
      </c>
      <c r="F11" s="63" t="s">
        <v>8</v>
      </c>
      <c r="K11" s="68"/>
      <c r="L11" s="68"/>
    </row>
    <row r="12" spans="2:12" ht="20.100000000000001" customHeight="1">
      <c r="B12" s="34" t="s">
        <v>41</v>
      </c>
      <c r="C12" s="60">
        <f>AVERAGE(tblRestaurant[Tip Amount ($)])/100</f>
        <v>5.788615355805244E-2</v>
      </c>
    </row>
    <row r="13" spans="2:12" ht="20.100000000000001" customHeight="1">
      <c r="B13" s="34" t="s">
        <v>42</v>
      </c>
      <c r="C13" s="23">
        <f>AVERAGE(tblRestaurant[Party Size])</f>
        <v>2.5617977528089888</v>
      </c>
    </row>
    <row r="14" spans="2:12" ht="20.100000000000001" customHeight="1">
      <c r="B14" s="34" t="s">
        <v>43</v>
      </c>
      <c r="C14" s="23">
        <f>MAX(tblRestaurant[Total Bill])</f>
        <v>98.61</v>
      </c>
    </row>
    <row r="15" spans="2:12" ht="20.100000000000001" customHeight="1">
      <c r="B15" s="69"/>
      <c r="C15" s="69"/>
    </row>
    <row r="17" spans="2:8" ht="24.95" customHeight="1"/>
    <row r="18" spans="2:8" ht="24.95" customHeight="1">
      <c r="B18" s="70" t="s">
        <v>89</v>
      </c>
      <c r="C18" s="70"/>
      <c r="E18" s="65" t="s">
        <v>45</v>
      </c>
      <c r="F18" s="65"/>
    </row>
    <row r="19" spans="2:8" ht="20.100000000000001" customHeight="1">
      <c r="B19" s="36" t="s">
        <v>50</v>
      </c>
      <c r="C19" s="31" t="str">
        <f>INDEX('Pivot Tables'!B5:B9,MATCH(MAX('Pivot Tables'!C5:C9),'Pivot Tables'!C5:C9,0))</f>
        <v>Mac</v>
      </c>
      <c r="E19" s="35" t="s">
        <v>46</v>
      </c>
      <c r="F19" s="24">
        <f>SUMIFS(tblRestaurant[Total Bill],tblRestaurant[Server],$F$8,tblRestaurant[Day],$F$9,tblRestaurant[Time],$F$10,tblRestaurant[Payment Type],$F$11)</f>
        <v>45.53</v>
      </c>
    </row>
    <row r="20" spans="2:8" ht="20.100000000000001" customHeight="1">
      <c r="B20" s="36" t="s">
        <v>51</v>
      </c>
      <c r="C20" s="31" t="str">
        <f>INDEX('Pivot Tables'!B5:B9,MATCH(MIN('Pivot Tables'!C5:C9),'Pivot Tables'!C5:C9,0))</f>
        <v>Dee</v>
      </c>
      <c r="E20" s="35" t="s">
        <v>47</v>
      </c>
      <c r="F20" s="66">
        <f>COUNTIFS(tblRestaurant[Server],$F$8,tblRestaurant[Day],$F$9,tblRestaurant[Time],$F$10,tblRestaurant[Payment Type],$F$11)</f>
        <v>2</v>
      </c>
    </row>
    <row r="21" spans="2:8" ht="20.100000000000001" customHeight="1">
      <c r="B21" s="36" t="s">
        <v>52</v>
      </c>
      <c r="C21" s="31" t="str">
        <f>INDEX('Pivot Tables'!F23:F27,MATCH(MAX('Pivot Tables'!G23:G27),'Pivot Tables'!G23:G27,0))</f>
        <v>Sat</v>
      </c>
      <c r="E21" s="35" t="s">
        <v>39</v>
      </c>
      <c r="F21" s="24">
        <f>IFERROR(AVERAGEIFS(tblRestaurant[Total Bill],tblRestaurant[Server],$F$8,tblRestaurant[Day],$F$9,tblRestaurant[Time],$F$10,tblRestaurant[Payment Type],$F$11),0)</f>
        <v>22.765000000000001</v>
      </c>
    </row>
    <row r="22" spans="2:8" ht="20.100000000000001" customHeight="1">
      <c r="B22" s="36" t="s">
        <v>53</v>
      </c>
      <c r="C22" s="31" t="str">
        <f>INDEX('Pivot Tables'!B15:B18,MATCH(MAX('Pivot Tables'!C15:C18),'Pivot Tables'!C15:C18,0))</f>
        <v>Lunch</v>
      </c>
      <c r="E22" s="35" t="s">
        <v>40</v>
      </c>
      <c r="F22" s="24">
        <f>SUMIFS(tblRestaurant[Tip Amount ($)],tblRestaurant[Server],$F$8,tblRestaurant[Day],$F$9,tblRestaurant[Time],$F$10,tblRestaurant[Payment Type],$F$11)</f>
        <v>7.389899999999999</v>
      </c>
    </row>
    <row r="23" spans="2:8" ht="20.100000000000001" customHeight="1">
      <c r="B23" s="36" t="s">
        <v>54</v>
      </c>
      <c r="C23" s="31" t="str">
        <f>INDEX('Pivot Tables'!F33:F37,MATCH(MAX('Pivot Tables'!G33:G37),'Pivot Tables'!G33:G37,0))</f>
        <v>Charlie</v>
      </c>
      <c r="E23" s="35" t="s">
        <v>48</v>
      </c>
      <c r="F23" s="67">
        <f>IFERROR(AVERAGEIFS(tblRestaurant[Tip %],tblRestaurant[Server],$F$8,tblRestaurant[Day],$F$9,tblRestaurant[Time],$F$10,tblRestaurant[Payment Type],$F$11),0)</f>
        <v>0.16499999999999998</v>
      </c>
    </row>
    <row r="24" spans="2:8" ht="20.100000000000001" customHeight="1">
      <c r="B24" s="36" t="s">
        <v>55</v>
      </c>
      <c r="C24" s="25">
        <f>AVERAGE(tblRestaurant[Average Spend Per Person])</f>
        <v>17.11237827715355</v>
      </c>
    </row>
    <row r="25" spans="2:8" ht="20.100000000000001" customHeight="1">
      <c r="B25" s="36" t="s">
        <v>56</v>
      </c>
      <c r="C25" s="64">
        <f>COUNTIF(tblRestaurant[Payment Type],"Cash")/ROWS(tblRestaurant[])</f>
        <v>0.21722846441947566</v>
      </c>
      <c r="H25" s="17"/>
    </row>
    <row r="26" spans="2:8" ht="20.100000000000001" customHeight="1">
      <c r="B26" s="36" t="s">
        <v>57</v>
      </c>
      <c r="C26" s="64">
        <f>COUNTIF(tblRestaurant[Payment Type],"Card")/ROWS(tblRestaurant[])</f>
        <v>0.78277153558052437</v>
      </c>
    </row>
    <row r="27" spans="2:8" ht="20.100000000000001" customHeight="1">
      <c r="B27" s="36" t="s">
        <v>59</v>
      </c>
      <c r="C27" s="25" cm="1">
        <f t="array" ref="C27">SUM(SUMIFS(tblRestaurant[Total Bill],tblRestaurant[Day],{"Thu","Fri"}))</f>
        <v>2774.4299999999994</v>
      </c>
    </row>
    <row r="28" spans="2:8" ht="20.100000000000001" customHeight="1">
      <c r="B28" s="36" t="s">
        <v>58</v>
      </c>
      <c r="C28" s="25" cm="1">
        <f t="array" ref="C28">SUM(SUMIFS(tblRestaurant[Total Bill],tblRestaurant[Day],{"Sat","Sun"}))</f>
        <v>5679.579999999999</v>
      </c>
    </row>
  </sheetData>
  <mergeCells count="5">
    <mergeCell ref="B7:C7"/>
    <mergeCell ref="E18:F18"/>
    <mergeCell ref="K9:L11"/>
    <mergeCell ref="C1:E3"/>
    <mergeCell ref="B18:C18"/>
  </mergeCells>
  <dataValidations count="4">
    <dataValidation type="list" allowBlank="1" showInputMessage="1" showErrorMessage="1" sqref="F8" xr:uid="{1D09903B-6855-4EE6-A66D-C6D824C86156}">
      <formula1>_Server</formula1>
    </dataValidation>
    <dataValidation type="list" allowBlank="1" showInputMessage="1" showErrorMessage="1" sqref="F9" xr:uid="{5605C0AA-C366-458B-A393-87B3D81680C3}">
      <formula1>_day</formula1>
    </dataValidation>
    <dataValidation type="list" allowBlank="1" showInputMessage="1" showErrorMessage="1" sqref="F10" xr:uid="{985CD4D5-C460-478F-A9FB-D8D4FFE705C2}">
      <formula1>_MealType</formula1>
    </dataValidation>
    <dataValidation type="list" allowBlank="1" showInputMessage="1" showErrorMessage="1" sqref="F11" xr:uid="{E1A28667-A253-4A5F-917E-1DDA66E5CD7B}">
      <formula1>_PaymentType</formula1>
    </dataValidation>
  </dataValidations>
  <pageMargins left="0" right="0" top="0.25" bottom="0"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12FF-3025-4D95-ADB9-973C94677873}">
  <dimension ref="B1:G41"/>
  <sheetViews>
    <sheetView tabSelected="1" topLeftCell="B1" workbookViewId="0">
      <selection activeCell="H16" sqref="H16"/>
    </sheetView>
  </sheetViews>
  <sheetFormatPr defaultRowHeight="20.100000000000001" customHeight="1"/>
  <cols>
    <col min="1" max="1" width="5.7109375" customWidth="1"/>
    <col min="2" max="2" width="16" bestFit="1" customWidth="1"/>
    <col min="3" max="3" width="16.140625" bestFit="1" customWidth="1"/>
    <col min="4" max="4" width="15.5703125" bestFit="1" customWidth="1"/>
    <col min="5" max="6" width="13.7109375" bestFit="1" customWidth="1"/>
    <col min="7" max="7" width="17" bestFit="1" customWidth="1"/>
    <col min="8" max="8" width="20.42578125" bestFit="1" customWidth="1"/>
    <col min="9" max="9" width="13.42578125" bestFit="1" customWidth="1"/>
    <col min="10" max="10" width="16.5703125" bestFit="1" customWidth="1"/>
    <col min="11" max="11" width="4" bestFit="1" customWidth="1"/>
    <col min="12" max="12" width="3" bestFit="1" customWidth="1"/>
    <col min="13" max="13" width="2" bestFit="1" customWidth="1"/>
    <col min="14" max="14" width="11.28515625" bestFit="1" customWidth="1"/>
    <col min="15" max="15" width="19.85546875" bestFit="1" customWidth="1"/>
  </cols>
  <sheetData>
    <row r="1" spans="2:7" ht="20.100000000000001" customHeight="1">
      <c r="C1" s="71" t="s">
        <v>91</v>
      </c>
      <c r="D1" s="71"/>
      <c r="E1" s="71"/>
      <c r="F1" s="71"/>
    </row>
    <row r="2" spans="2:7" ht="20.100000000000001" customHeight="1">
      <c r="C2" s="71"/>
      <c r="D2" s="71"/>
      <c r="E2" s="71"/>
      <c r="F2" s="71"/>
    </row>
    <row r="4" spans="2:7" ht="24.95" customHeight="1">
      <c r="B4" s="72" t="s">
        <v>65</v>
      </c>
      <c r="C4" s="72"/>
      <c r="E4" s="73" t="s">
        <v>68</v>
      </c>
      <c r="F4" s="73"/>
      <c r="G4" s="73"/>
    </row>
    <row r="5" spans="2:7" ht="15.75">
      <c r="B5" s="74" t="s">
        <v>61</v>
      </c>
      <c r="C5" s="74" t="s">
        <v>63</v>
      </c>
      <c r="E5" s="77" t="s">
        <v>61</v>
      </c>
      <c r="F5" s="77" t="s">
        <v>63</v>
      </c>
      <c r="G5" s="77" t="s">
        <v>69</v>
      </c>
    </row>
    <row r="6" spans="2:7" ht="15.75">
      <c r="B6" s="75" t="s">
        <v>13</v>
      </c>
      <c r="C6" s="76">
        <v>1997.8799999999994</v>
      </c>
      <c r="E6" s="78">
        <v>1</v>
      </c>
      <c r="F6" s="79">
        <v>106.77</v>
      </c>
      <c r="G6" s="79">
        <v>11.863333333333333</v>
      </c>
    </row>
    <row r="7" spans="2:7" ht="15.75">
      <c r="B7" s="75" t="s">
        <v>12</v>
      </c>
      <c r="C7" s="76">
        <v>1759.8599999999994</v>
      </c>
      <c r="E7" s="78">
        <v>2</v>
      </c>
      <c r="F7" s="79">
        <v>4083.5299999999997</v>
      </c>
      <c r="G7" s="79">
        <v>24.899573170731706</v>
      </c>
    </row>
    <row r="8" spans="2:7" ht="15.75">
      <c r="B8" s="75" t="s">
        <v>11</v>
      </c>
      <c r="C8" s="76">
        <v>2148.9900000000002</v>
      </c>
      <c r="E8" s="78">
        <v>3</v>
      </c>
      <c r="F8" s="79">
        <v>1631.6399999999994</v>
      </c>
      <c r="G8" s="79">
        <v>36.258666666666656</v>
      </c>
    </row>
    <row r="9" spans="2:7" ht="15.75">
      <c r="B9" s="75" t="s">
        <v>14</v>
      </c>
      <c r="C9" s="76">
        <v>2547.2800000000002</v>
      </c>
      <c r="E9" s="78">
        <v>4</v>
      </c>
      <c r="F9" s="79">
        <v>1807.0800000000004</v>
      </c>
      <c r="G9" s="79">
        <v>48.840000000000011</v>
      </c>
    </row>
    <row r="10" spans="2:7" ht="15.75">
      <c r="B10" s="75" t="s">
        <v>62</v>
      </c>
      <c r="C10" s="76">
        <v>8454.01</v>
      </c>
      <c r="E10" s="78">
        <v>5</v>
      </c>
      <c r="F10" s="79">
        <v>552.57000000000005</v>
      </c>
      <c r="G10" s="79">
        <v>69.071250000000006</v>
      </c>
    </row>
    <row r="11" spans="2:7" ht="20.100000000000001" customHeight="1">
      <c r="E11" s="78">
        <v>6</v>
      </c>
      <c r="F11" s="79">
        <v>272.42</v>
      </c>
      <c r="G11" s="79">
        <v>68.105000000000004</v>
      </c>
    </row>
    <row r="12" spans="2:7" ht="20.100000000000001" customHeight="1">
      <c r="E12" s="78" t="s">
        <v>62</v>
      </c>
      <c r="F12" s="79">
        <v>8454.0099999999966</v>
      </c>
      <c r="G12" s="79">
        <v>31.662958801498114</v>
      </c>
    </row>
    <row r="14" spans="2:7" ht="20.100000000000001" customHeight="1">
      <c r="B14" s="80" t="s">
        <v>66</v>
      </c>
      <c r="C14" s="80"/>
      <c r="F14" s="84" t="s">
        <v>70</v>
      </c>
      <c r="G14" s="84"/>
    </row>
    <row r="15" spans="2:7" ht="20.100000000000001" customHeight="1">
      <c r="B15" s="81" t="s">
        <v>61</v>
      </c>
      <c r="C15" s="81" t="s">
        <v>63</v>
      </c>
      <c r="F15" s="104" t="s">
        <v>61</v>
      </c>
      <c r="G15" s="104" t="s">
        <v>64</v>
      </c>
    </row>
    <row r="16" spans="2:7" ht="20.100000000000001" customHeight="1">
      <c r="B16" s="82" t="s">
        <v>19</v>
      </c>
      <c r="C16" s="83">
        <v>726.43</v>
      </c>
      <c r="F16" s="105">
        <v>1</v>
      </c>
      <c r="G16" s="106">
        <v>102</v>
      </c>
    </row>
    <row r="17" spans="2:7" ht="20.100000000000001" customHeight="1">
      <c r="B17" s="82" t="s">
        <v>17</v>
      </c>
      <c r="C17" s="83">
        <v>3291.1099999999988</v>
      </c>
      <c r="F17" s="105">
        <v>2</v>
      </c>
      <c r="G17" s="106">
        <v>127</v>
      </c>
    </row>
    <row r="18" spans="2:7" ht="18.75" customHeight="1">
      <c r="B18" s="82" t="s">
        <v>10</v>
      </c>
      <c r="C18" s="83">
        <v>4436.4700000000021</v>
      </c>
      <c r="F18" s="105">
        <v>3</v>
      </c>
      <c r="G18" s="106">
        <v>32</v>
      </c>
    </row>
    <row r="19" spans="2:7" ht="20.100000000000001" customHeight="1">
      <c r="B19" s="82" t="s">
        <v>62</v>
      </c>
      <c r="C19" s="83">
        <v>8454.01</v>
      </c>
      <c r="F19" s="105">
        <v>4</v>
      </c>
      <c r="G19" s="106">
        <v>6</v>
      </c>
    </row>
    <row r="20" spans="2:7" ht="20.100000000000001" customHeight="1">
      <c r="F20" s="105" t="s">
        <v>62</v>
      </c>
      <c r="G20" s="106">
        <v>267</v>
      </c>
    </row>
    <row r="22" spans="2:7" ht="20.100000000000001" customHeight="1">
      <c r="B22" s="86" t="s">
        <v>67</v>
      </c>
      <c r="C22" s="86"/>
      <c r="D22" s="95"/>
      <c r="F22" s="88" t="s">
        <v>92</v>
      </c>
      <c r="G22" s="88"/>
    </row>
    <row r="23" spans="2:7" ht="20.100000000000001" customHeight="1">
      <c r="B23" s="87" t="s">
        <v>61</v>
      </c>
      <c r="C23" s="87" t="s">
        <v>63</v>
      </c>
      <c r="F23" s="89" t="s">
        <v>61</v>
      </c>
      <c r="G23" s="89" t="s">
        <v>63</v>
      </c>
    </row>
    <row r="24" spans="2:7" ht="20.100000000000001" customHeight="1">
      <c r="B24" s="94" t="s">
        <v>49</v>
      </c>
      <c r="C24" s="96">
        <v>6458.4400000000005</v>
      </c>
      <c r="F24" s="102" t="s">
        <v>18</v>
      </c>
      <c r="G24" s="103">
        <v>2249.44</v>
      </c>
    </row>
    <row r="25" spans="2:7" ht="20.100000000000001" customHeight="1">
      <c r="B25" s="94" t="s">
        <v>8</v>
      </c>
      <c r="C25" s="96">
        <v>1995.5700000000002</v>
      </c>
      <c r="F25" s="102" t="s">
        <v>9</v>
      </c>
      <c r="G25" s="103">
        <v>1355.3999999999996</v>
      </c>
    </row>
    <row r="26" spans="2:7" ht="20.100000000000001" customHeight="1">
      <c r="B26" s="94" t="s">
        <v>62</v>
      </c>
      <c r="C26" s="96">
        <v>8454.01</v>
      </c>
      <c r="F26" s="102" t="s">
        <v>15</v>
      </c>
      <c r="G26" s="103">
        <v>1419.0299999999997</v>
      </c>
    </row>
    <row r="27" spans="2:7" ht="20.100000000000001" customHeight="1">
      <c r="F27" s="102" t="s">
        <v>16</v>
      </c>
      <c r="G27" s="103">
        <v>3430.139999999999</v>
      </c>
    </row>
    <row r="28" spans="2:7" ht="20.100000000000001" customHeight="1">
      <c r="F28" s="102" t="s">
        <v>62</v>
      </c>
      <c r="G28" s="103">
        <v>8454.0099999999984</v>
      </c>
    </row>
    <row r="32" spans="2:7" ht="20.100000000000001" customHeight="1">
      <c r="B32" s="93" t="s">
        <v>84</v>
      </c>
      <c r="C32" s="93"/>
      <c r="F32" s="91" t="s">
        <v>86</v>
      </c>
      <c r="G32" s="91"/>
    </row>
    <row r="33" spans="2:7" ht="20.100000000000001" customHeight="1">
      <c r="B33" s="92" t="s">
        <v>61</v>
      </c>
      <c r="C33" s="92" t="s">
        <v>63</v>
      </c>
      <c r="F33" s="90" t="s">
        <v>61</v>
      </c>
      <c r="G33" s="90" t="s">
        <v>87</v>
      </c>
    </row>
    <row r="34" spans="2:7" ht="20.100000000000001" customHeight="1">
      <c r="B34" s="100">
        <v>1</v>
      </c>
      <c r="C34" s="101">
        <v>106.77</v>
      </c>
      <c r="F34" s="97" t="s">
        <v>13</v>
      </c>
      <c r="G34" s="98">
        <v>0.19032786885245889</v>
      </c>
    </row>
    <row r="35" spans="2:7" ht="20.100000000000001" customHeight="1">
      <c r="B35" s="100">
        <v>2</v>
      </c>
      <c r="C35" s="101">
        <v>4083.5299999999997</v>
      </c>
      <c r="F35" s="97" t="s">
        <v>12</v>
      </c>
      <c r="G35" s="98">
        <v>0.17666666666666664</v>
      </c>
    </row>
    <row r="36" spans="2:7" ht="20.100000000000001" customHeight="1">
      <c r="B36" s="100">
        <v>3</v>
      </c>
      <c r="C36" s="101">
        <v>1631.6399999999994</v>
      </c>
      <c r="F36" s="97" t="s">
        <v>11</v>
      </c>
      <c r="G36" s="98">
        <v>0.17369230769230759</v>
      </c>
    </row>
    <row r="37" spans="2:7" ht="20.100000000000001" customHeight="1">
      <c r="B37" s="100">
        <v>4</v>
      </c>
      <c r="C37" s="101">
        <v>1807.0800000000004</v>
      </c>
      <c r="F37" s="97" t="s">
        <v>14</v>
      </c>
      <c r="G37" s="98">
        <v>0.18923076923076915</v>
      </c>
    </row>
    <row r="38" spans="2:7" ht="20.100000000000001" customHeight="1">
      <c r="B38" s="100">
        <v>5</v>
      </c>
      <c r="C38" s="101">
        <v>552.57000000000005</v>
      </c>
      <c r="F38" s="97" t="s">
        <v>62</v>
      </c>
      <c r="G38" s="99">
        <v>0.18273408239700381</v>
      </c>
    </row>
    <row r="39" spans="2:7" ht="20.100000000000001" customHeight="1">
      <c r="B39" s="100">
        <v>6</v>
      </c>
      <c r="C39" s="101">
        <v>272.42</v>
      </c>
    </row>
    <row r="40" spans="2:7" ht="20.100000000000001" customHeight="1">
      <c r="B40" s="100" t="s">
        <v>62</v>
      </c>
      <c r="C40" s="101">
        <v>8454.01</v>
      </c>
      <c r="F40" s="85"/>
    </row>
    <row r="41" spans="2:7" ht="20.100000000000001" customHeight="1">
      <c r="F41" s="21"/>
    </row>
  </sheetData>
  <mergeCells count="9">
    <mergeCell ref="E4:G4"/>
    <mergeCell ref="F32:G32"/>
    <mergeCell ref="B32:C32"/>
    <mergeCell ref="C1:F2"/>
    <mergeCell ref="F22:G22"/>
    <mergeCell ref="B22:C22"/>
    <mergeCell ref="F14:G14"/>
    <mergeCell ref="B4:C4"/>
    <mergeCell ref="B14:C14"/>
  </mergeCells>
  <pageMargins left="0" right="0" top="0.25" bottom="0" header="0" footer="0"/>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40706-1A54-433D-BEBF-C4F1ED389D7A}">
  <dimension ref="A1:L20"/>
  <sheetViews>
    <sheetView tabSelected="1" zoomScaleNormal="100" workbookViewId="0">
      <selection activeCell="H16" sqref="H16"/>
    </sheetView>
  </sheetViews>
  <sheetFormatPr defaultRowHeight="20.100000000000001" customHeight="1"/>
  <cols>
    <col min="1" max="1" width="16.7109375" bestFit="1" customWidth="1"/>
    <col min="2" max="2" width="15.140625" bestFit="1" customWidth="1"/>
    <col min="3" max="3" width="12" bestFit="1" customWidth="1"/>
    <col min="4" max="4" width="11.85546875" bestFit="1" customWidth="1"/>
    <col min="5" max="5" width="15.140625" bestFit="1" customWidth="1"/>
    <col min="6" max="6" width="18.42578125" bestFit="1" customWidth="1"/>
    <col min="7" max="7" width="12.7109375" bestFit="1" customWidth="1"/>
    <col min="8" max="8" width="16.7109375" bestFit="1" customWidth="1"/>
  </cols>
  <sheetData>
    <row r="1" spans="1:12" ht="20.100000000000001" customHeight="1">
      <c r="A1" s="19" t="s">
        <v>82</v>
      </c>
      <c r="B1" s="19"/>
      <c r="C1" s="19"/>
      <c r="D1" s="19"/>
      <c r="E1" s="19"/>
      <c r="F1" s="19"/>
      <c r="G1" s="19"/>
      <c r="H1" s="20"/>
      <c r="I1" s="20"/>
      <c r="J1" s="20"/>
      <c r="K1" s="20"/>
      <c r="L1" s="20"/>
    </row>
    <row r="2" spans="1:12" ht="20.100000000000001" customHeight="1">
      <c r="A2" s="19"/>
      <c r="B2" s="19"/>
      <c r="C2" s="19"/>
      <c r="D2" s="19"/>
      <c r="E2" s="19"/>
      <c r="F2" s="19"/>
      <c r="G2" s="19"/>
      <c r="H2" s="20"/>
      <c r="I2" s="20"/>
      <c r="J2" s="20"/>
      <c r="K2" s="20"/>
      <c r="L2" s="20"/>
    </row>
    <row r="3" spans="1:12" ht="20.100000000000001" customHeight="1">
      <c r="C3" s="22" t="s">
        <v>83</v>
      </c>
      <c r="D3" s="22"/>
      <c r="E3" s="22"/>
    </row>
    <row r="4" spans="1:12" ht="15"/>
    <row r="5" spans="1:12" ht="20.100000000000001" customHeight="1">
      <c r="A5" s="14"/>
      <c r="B5" s="32" t="str">
        <f>Calculations!B8</f>
        <v>Total Revenue</v>
      </c>
      <c r="C5" s="33" t="str">
        <f>Calculations!B9</f>
        <v>Total Orders</v>
      </c>
      <c r="D5" s="34" t="str">
        <f>Calculations!B10</f>
        <v>Average Bill</v>
      </c>
      <c r="E5" s="35" t="str">
        <f>Calculations!B11</f>
        <v>Total Tips</v>
      </c>
      <c r="F5" s="36" t="str">
        <f>Calculations!B13</f>
        <v>Average Party Size</v>
      </c>
    </row>
    <row r="6" spans="1:12" ht="20.100000000000001" customHeight="1">
      <c r="A6" s="14"/>
      <c r="B6" s="26">
        <f>Calculations!C8</f>
        <v>8454.0099999999984</v>
      </c>
      <c r="C6" s="27">
        <f>Calculations!C9</f>
        <v>267</v>
      </c>
      <c r="D6" s="28">
        <f>Calculations!C10</f>
        <v>31.662958801498121</v>
      </c>
      <c r="E6" s="29">
        <f>Calculations!C11</f>
        <v>1545.5603000000001</v>
      </c>
      <c r="F6" s="30">
        <f>Calculations!C13</f>
        <v>2.5617977528089888</v>
      </c>
    </row>
    <row r="7" spans="1:12" ht="20.100000000000001" customHeight="1">
      <c r="A7" s="15"/>
      <c r="B7" s="18"/>
    </row>
    <row r="8" spans="1:12" ht="20.100000000000001" customHeight="1">
      <c r="A8" s="15"/>
      <c r="B8" s="16"/>
    </row>
    <row r="9" spans="1:12" ht="20.100000000000001" customHeight="1">
      <c r="A9" s="15"/>
      <c r="B9" s="16"/>
    </row>
    <row r="10" spans="1:12" ht="20.100000000000001" customHeight="1">
      <c r="A10" s="15"/>
      <c r="B10" s="16"/>
    </row>
    <row r="11" spans="1:12" ht="20.100000000000001" customHeight="1">
      <c r="A11" s="15"/>
      <c r="B11" s="16"/>
    </row>
    <row r="12" spans="1:12" ht="20.100000000000001" customHeight="1">
      <c r="A12" s="15"/>
      <c r="B12" s="16"/>
    </row>
    <row r="13" spans="1:12" ht="20.100000000000001" customHeight="1">
      <c r="A13" s="15"/>
      <c r="B13" s="16"/>
    </row>
    <row r="14" spans="1:12" ht="20.100000000000001" customHeight="1">
      <c r="A14" s="15"/>
      <c r="B14" s="16"/>
    </row>
    <row r="15" spans="1:12" ht="20.100000000000001" customHeight="1">
      <c r="A15" s="15"/>
      <c r="B15" s="16"/>
    </row>
    <row r="16" spans="1:12" ht="20.100000000000001" customHeight="1">
      <c r="A16" s="15"/>
      <c r="B16" s="16"/>
    </row>
    <row r="17" spans="1:2" ht="20.100000000000001" customHeight="1">
      <c r="A17" s="15"/>
      <c r="B17" s="16"/>
    </row>
    <row r="18" spans="1:2" ht="20.100000000000001" customHeight="1">
      <c r="A18" s="15"/>
      <c r="B18" s="16"/>
    </row>
    <row r="19" spans="1:2" ht="20.100000000000001" customHeight="1">
      <c r="A19" s="15"/>
      <c r="B19" s="16"/>
    </row>
    <row r="20" spans="1:2" ht="20.100000000000001" customHeight="1">
      <c r="A20" s="15"/>
      <c r="B20" s="16"/>
    </row>
  </sheetData>
  <mergeCells count="2">
    <mergeCell ref="C3:E3"/>
    <mergeCell ref="A1:G2"/>
  </mergeCells>
  <pageMargins left="0" right="0" top="0" bottom="0" header="0" footer="0"/>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08C69-B812-4B02-A9A1-436353A76174}">
  <dimension ref="A1:A13"/>
  <sheetViews>
    <sheetView topLeftCell="A9" workbookViewId="0">
      <selection activeCell="H16" sqref="H16"/>
    </sheetView>
  </sheetViews>
  <sheetFormatPr defaultRowHeight="30" customHeight="1"/>
  <sheetData>
    <row r="1" spans="1:1" ht="30" customHeight="1">
      <c r="A1" t="s">
        <v>72</v>
      </c>
    </row>
    <row r="2" spans="1:1" ht="30" customHeight="1">
      <c r="A2" t="s">
        <v>73</v>
      </c>
    </row>
    <row r="3" spans="1:1" ht="30" customHeight="1">
      <c r="A3" t="s">
        <v>74</v>
      </c>
    </row>
    <row r="4" spans="1:1" ht="30" customHeight="1">
      <c r="A4" t="s">
        <v>75</v>
      </c>
    </row>
    <row r="5" spans="1:1" ht="30" customHeight="1">
      <c r="A5" t="s">
        <v>74</v>
      </c>
    </row>
    <row r="6" spans="1:1" ht="30" customHeight="1">
      <c r="A6" t="s">
        <v>76</v>
      </c>
    </row>
    <row r="7" spans="1:1" ht="30" customHeight="1">
      <c r="A7" t="s">
        <v>77</v>
      </c>
    </row>
    <row r="8" spans="1:1" ht="30" customHeight="1">
      <c r="A8" t="s">
        <v>78</v>
      </c>
    </row>
    <row r="9" spans="1:1" ht="30" customHeight="1">
      <c r="A9" t="s">
        <v>77</v>
      </c>
    </row>
    <row r="10" spans="1:1" ht="30" customHeight="1">
      <c r="A10" t="s">
        <v>79</v>
      </c>
    </row>
    <row r="11" spans="1:1" ht="30" customHeight="1">
      <c r="A11" t="s">
        <v>74</v>
      </c>
    </row>
    <row r="12" spans="1:1" ht="30" customHeight="1">
      <c r="A12" t="s">
        <v>80</v>
      </c>
    </row>
    <row r="13" spans="1:1" ht="30" customHeight="1">
      <c r="A13" t="s">
        <v>81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Master Sheet</vt:lpstr>
      <vt:lpstr>Lookup_Lists</vt:lpstr>
      <vt:lpstr>Calculations</vt:lpstr>
      <vt:lpstr>Pivot Tables</vt:lpstr>
      <vt:lpstr>Dashboard</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sabbir hossain</cp:lastModifiedBy>
  <cp:lastPrinted>2026-07-02T14:15:25Z</cp:lastPrinted>
  <dcterms:created xsi:type="dcterms:W3CDTF">2025-03-26T22:49:46Z</dcterms:created>
  <dcterms:modified xsi:type="dcterms:W3CDTF">2026-07-02T14:16:51Z</dcterms:modified>
</cp:coreProperties>
</file>